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360" yWindow="300" windowWidth="14880" windowHeight="7815"/>
  </bookViews>
  <sheets>
    <sheet name="Hoja1" sheetId="1" r:id="rId1"/>
    <sheet name="Hoja2" sheetId="2" r:id="rId2"/>
    <sheet name="Hoja3" sheetId="3" r:id="rId3"/>
  </sheets>
  <calcPr calcId="152511"/>
</workbook>
</file>

<file path=xl/calcChain.xml><?xml version="1.0" encoding="utf-8"?>
<calcChain xmlns="http://schemas.openxmlformats.org/spreadsheetml/2006/main">
  <c r="O100" i="1" l="1"/>
  <c r="O101" i="1"/>
  <c r="O102" i="1"/>
  <c r="O103" i="1"/>
  <c r="O104" i="1"/>
  <c r="O105" i="1"/>
  <c r="M105" i="1"/>
  <c r="M104" i="1"/>
  <c r="M103" i="1"/>
  <c r="M102" i="1"/>
  <c r="M101" i="1"/>
  <c r="M100" i="1"/>
  <c r="K101" i="1"/>
  <c r="K100" i="1"/>
  <c r="K99" i="1"/>
  <c r="K98" i="1"/>
  <c r="K97" i="1"/>
  <c r="K96" i="1"/>
  <c r="I98" i="1"/>
  <c r="I97" i="1"/>
  <c r="I96" i="1"/>
  <c r="I95" i="1"/>
  <c r="I94" i="1"/>
  <c r="G96" i="1"/>
  <c r="G95" i="1"/>
  <c r="G94" i="1"/>
  <c r="G93" i="1"/>
  <c r="G92" i="1"/>
  <c r="E93" i="1"/>
  <c r="E92" i="1"/>
  <c r="E91" i="1"/>
  <c r="C93" i="1"/>
  <c r="C92" i="1"/>
  <c r="C91" i="1"/>
  <c r="C90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81" i="1"/>
  <c r="I82" i="1"/>
  <c r="I83" i="1"/>
  <c r="I84" i="1"/>
  <c r="I85" i="1"/>
  <c r="I86" i="1"/>
  <c r="I87" i="1"/>
  <c r="I88" i="1"/>
  <c r="I89" i="1"/>
  <c r="I90" i="1"/>
  <c r="I91" i="1"/>
  <c r="I92" i="1"/>
  <c r="I93" i="1"/>
  <c r="I81" i="1"/>
  <c r="G82" i="1"/>
  <c r="G83" i="1"/>
  <c r="G84" i="1"/>
  <c r="G85" i="1"/>
  <c r="G86" i="1"/>
  <c r="G87" i="1"/>
  <c r="G88" i="1"/>
  <c r="G89" i="1"/>
  <c r="G90" i="1"/>
  <c r="G91" i="1"/>
  <c r="G81" i="1"/>
  <c r="E82" i="1"/>
  <c r="E83" i="1"/>
  <c r="E84" i="1"/>
  <c r="E85" i="1"/>
  <c r="E86" i="1"/>
  <c r="E87" i="1"/>
  <c r="E88" i="1"/>
  <c r="E89" i="1"/>
  <c r="E90" i="1"/>
  <c r="E81" i="1"/>
  <c r="C82" i="1"/>
  <c r="C83" i="1"/>
  <c r="C84" i="1"/>
  <c r="C85" i="1"/>
  <c r="C86" i="1"/>
  <c r="C87" i="1"/>
  <c r="C88" i="1"/>
  <c r="C89" i="1"/>
  <c r="C81" i="1"/>
  <c r="O55" i="1"/>
  <c r="O56" i="1"/>
  <c r="O57" i="1"/>
  <c r="O58" i="1"/>
  <c r="O59" i="1"/>
  <c r="M59" i="1"/>
  <c r="M58" i="1"/>
  <c r="M57" i="1"/>
  <c r="M56" i="1"/>
  <c r="M55" i="1"/>
  <c r="K55" i="1"/>
  <c r="K54" i="1"/>
  <c r="K53" i="1"/>
  <c r="K52" i="1"/>
  <c r="K51" i="1"/>
  <c r="I53" i="1"/>
  <c r="I52" i="1"/>
  <c r="I51" i="1"/>
  <c r="I50" i="1"/>
  <c r="G51" i="1"/>
  <c r="E50" i="1"/>
  <c r="G50" i="1"/>
  <c r="G49" i="1"/>
  <c r="E49" i="1"/>
  <c r="E48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K42" i="1"/>
  <c r="K43" i="1"/>
  <c r="K44" i="1"/>
  <c r="K45" i="1"/>
  <c r="K46" i="1"/>
  <c r="K47" i="1"/>
  <c r="K48" i="1"/>
  <c r="K49" i="1"/>
  <c r="K50" i="1"/>
  <c r="I42" i="1"/>
  <c r="I43" i="1"/>
  <c r="I44" i="1"/>
  <c r="I45" i="1"/>
  <c r="I46" i="1"/>
  <c r="I47" i="1"/>
  <c r="I48" i="1"/>
  <c r="I49" i="1"/>
  <c r="G42" i="1"/>
  <c r="G43" i="1"/>
  <c r="G44" i="1"/>
  <c r="G45" i="1"/>
  <c r="G46" i="1"/>
  <c r="G47" i="1"/>
  <c r="G48" i="1"/>
  <c r="E42" i="1"/>
  <c r="E43" i="1"/>
  <c r="E44" i="1"/>
  <c r="E45" i="1"/>
  <c r="E46" i="1"/>
  <c r="E47" i="1"/>
  <c r="O41" i="1"/>
  <c r="M41" i="1"/>
  <c r="K41" i="1"/>
  <c r="I41" i="1"/>
  <c r="G41" i="1"/>
  <c r="E41" i="1"/>
  <c r="C49" i="1"/>
  <c r="C48" i="1"/>
  <c r="C47" i="1"/>
  <c r="C42" i="1"/>
  <c r="C43" i="1"/>
  <c r="C44" i="1"/>
  <c r="C45" i="1"/>
  <c r="C46" i="1"/>
  <c r="C41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7" i="1"/>
  <c r="K16" i="1"/>
  <c r="K8" i="1"/>
  <c r="K9" i="1"/>
  <c r="K10" i="1"/>
  <c r="K11" i="1"/>
  <c r="K12" i="1"/>
  <c r="K13" i="1"/>
  <c r="K14" i="1"/>
  <c r="K15" i="1"/>
  <c r="K7" i="1"/>
  <c r="I8" i="1"/>
  <c r="I9" i="1"/>
  <c r="I10" i="1"/>
  <c r="I11" i="1"/>
  <c r="I12" i="1"/>
  <c r="I13" i="1"/>
  <c r="I14" i="1"/>
  <c r="I15" i="1"/>
  <c r="I7" i="1"/>
  <c r="G8" i="1"/>
  <c r="G9" i="1"/>
  <c r="G10" i="1"/>
  <c r="G11" i="1"/>
  <c r="G12" i="1"/>
  <c r="G13" i="1"/>
  <c r="G14" i="1"/>
  <c r="G7" i="1"/>
  <c r="E8" i="1"/>
  <c r="E9" i="1"/>
  <c r="E10" i="1"/>
  <c r="E11" i="1"/>
  <c r="E12" i="1"/>
  <c r="E13" i="1"/>
  <c r="E7" i="1"/>
  <c r="C8" i="1"/>
  <c r="C9" i="1"/>
  <c r="C10" i="1"/>
  <c r="C11" i="1"/>
  <c r="C12" i="1"/>
  <c r="C7" i="1"/>
</calcChain>
</file>

<file path=xl/sharedStrings.xml><?xml version="1.0" encoding="utf-8"?>
<sst xmlns="http://schemas.openxmlformats.org/spreadsheetml/2006/main" count="79" uniqueCount="17">
  <si>
    <t>Cálculo de velovidades para el "Volga" en el tiro "Al Alcance"</t>
  </si>
  <si>
    <t>Velocidad del blanco de 420 mts/seg</t>
  </si>
  <si>
    <t>Velocidad del cohete</t>
  </si>
  <si>
    <t>500 a 1000</t>
  </si>
  <si>
    <t>Altura de vuelo del blancoen metros</t>
  </si>
  <si>
    <t>Distancia destrucción</t>
  </si>
  <si>
    <t>Distancia de lanzamiento en metros</t>
  </si>
  <si>
    <t>Velocidad del blanco de 300 mts/seg</t>
  </si>
  <si>
    <t>Velocidad del blanco de 150 mts/seg</t>
  </si>
  <si>
    <t>Dlanz mín</t>
  </si>
  <si>
    <t>Dlanz máx</t>
  </si>
  <si>
    <t>Dzdr mín</t>
  </si>
  <si>
    <t>Dzdr máx</t>
  </si>
  <si>
    <t>Dvdp ecc mín para Ttrab = 25 seg</t>
  </si>
  <si>
    <t>Dvdp ecc mín para Ttrab = 0 seg</t>
  </si>
  <si>
    <t>Dvdp ecc mín para Ttrab = 35 seg</t>
  </si>
  <si>
    <t>Dvdp ecc mín para Ttrab = 14 seg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</si>
</sst>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8"/>
  <sheetViews>
    <sheetView tabSelected="1" topLeftCell="A37" workbookViewId="0">
      <selection activeCell="I65" sqref="I65:I66"/>
    </sheetView>
  </sheetViews>
  <sheetFormatPr baseColWidth="10" defaultRowHeight="15" x14ac:dyDescent="0.25"/>
  <cols>
    <col min="1" max="1" width="12.28515625" customWidth="1"/>
  </cols>
  <sheetData>
    <row r="1" spans="1:15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5">
      <c r="A3" s="2" t="s">
        <v>6</v>
      </c>
      <c r="B3" s="3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x14ac:dyDescent="0.25">
      <c r="A4" s="2"/>
      <c r="B4" s="3" t="s">
        <v>3</v>
      </c>
      <c r="C4" s="3"/>
      <c r="D4" s="3">
        <v>2000</v>
      </c>
      <c r="E4" s="3"/>
      <c r="F4" s="3">
        <v>4000</v>
      </c>
      <c r="G4" s="3"/>
      <c r="H4" s="3">
        <v>6000</v>
      </c>
      <c r="I4" s="3"/>
      <c r="J4" s="3">
        <v>10000</v>
      </c>
      <c r="K4" s="3"/>
      <c r="L4" s="3">
        <v>17000</v>
      </c>
      <c r="M4" s="3"/>
      <c r="N4" s="3">
        <v>30000</v>
      </c>
      <c r="O4" s="3"/>
    </row>
    <row r="5" spans="1:15" x14ac:dyDescent="0.25">
      <c r="A5" s="2"/>
      <c r="B5" s="2" t="s">
        <v>2</v>
      </c>
      <c r="C5" s="2" t="s">
        <v>5</v>
      </c>
      <c r="D5" s="2" t="s">
        <v>2</v>
      </c>
      <c r="E5" s="2" t="s">
        <v>5</v>
      </c>
      <c r="F5" s="2" t="s">
        <v>2</v>
      </c>
      <c r="G5" s="2" t="s">
        <v>5</v>
      </c>
      <c r="H5" s="2" t="s">
        <v>2</v>
      </c>
      <c r="I5" s="2" t="s">
        <v>5</v>
      </c>
      <c r="J5" s="2" t="s">
        <v>2</v>
      </c>
      <c r="K5" s="2" t="s">
        <v>5</v>
      </c>
      <c r="L5" s="2" t="s">
        <v>2</v>
      </c>
      <c r="M5" s="2" t="s">
        <v>5</v>
      </c>
      <c r="N5" s="2" t="s">
        <v>2</v>
      </c>
      <c r="O5" s="2" t="s">
        <v>5</v>
      </c>
    </row>
    <row r="6" spans="1:15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x14ac:dyDescent="0.25">
      <c r="A7" s="1">
        <v>6000</v>
      </c>
      <c r="B7">
        <v>870</v>
      </c>
      <c r="C7">
        <f>PRODUCT(A7,B7,1/(420*(-1)+0.96*B7))</f>
        <v>12572.254335260117</v>
      </c>
      <c r="D7">
        <v>870</v>
      </c>
      <c r="E7">
        <f>PRODUCT(A7,D7,1/(420*(-1)+0.96*D7))</f>
        <v>12572.254335260117</v>
      </c>
      <c r="F7">
        <v>870</v>
      </c>
      <c r="G7">
        <f>PRODUCT(A7,F7,1/(420*(-1)+0.96*F7))</f>
        <v>12572.254335260117</v>
      </c>
      <c r="H7">
        <v>840</v>
      </c>
      <c r="I7">
        <f>PRODUCT(A7,H7,1/(420*(-1)+0.96*H7))</f>
        <v>13043.478260869566</v>
      </c>
      <c r="J7">
        <v>0</v>
      </c>
      <c r="K7">
        <f>PRODUCT(A7,J7,1/(420*(-1)+0.96*J7))</f>
        <v>0</v>
      </c>
      <c r="L7">
        <v>0</v>
      </c>
      <c r="M7">
        <f>PRODUCT(A7,L7,1/(420*(-1)+0.96*L7))</f>
        <v>0</v>
      </c>
      <c r="N7">
        <v>0</v>
      </c>
      <c r="O7">
        <v>0</v>
      </c>
    </row>
    <row r="8" spans="1:15" x14ac:dyDescent="0.25">
      <c r="A8" s="1">
        <v>7000</v>
      </c>
      <c r="B8">
        <v>860</v>
      </c>
      <c r="C8">
        <f t="shared" ref="C8:C12" si="0">PRODUCT(A8,B8,1/(420*(-1)+0.96*B8))</f>
        <v>14842.209072978303</v>
      </c>
      <c r="D8">
        <v>860</v>
      </c>
      <c r="E8">
        <f t="shared" ref="E8:E13" si="1">PRODUCT(A8,D8,1/(420*(-1)+0.96*D8))</f>
        <v>14842.209072978303</v>
      </c>
      <c r="F8">
        <v>865</v>
      </c>
      <c r="G8">
        <f t="shared" ref="G8:G14" si="2">PRODUCT(A8,F8,1/(420*(-1)+0.96*F8))</f>
        <v>14753.898635477584</v>
      </c>
      <c r="H8">
        <v>836</v>
      </c>
      <c r="I8">
        <f t="shared" ref="I8:I15" si="3">PRODUCT(A8,H8,1/(420*(-1)+0.96*H8))</f>
        <v>15296.946884148894</v>
      </c>
      <c r="J8">
        <v>770</v>
      </c>
      <c r="K8">
        <f t="shared" ref="K8:K16" si="4">PRODUCT(A8,J8,1/(420*(-1)+0.96*J8))</f>
        <v>16885.964912280706</v>
      </c>
      <c r="L8">
        <v>0</v>
      </c>
      <c r="M8">
        <f t="shared" ref="M8:M20" si="5">PRODUCT(A8,L8,1/(420*(-1)+0.96*L8))</f>
        <v>0</v>
      </c>
      <c r="N8">
        <v>0</v>
      </c>
      <c r="O8">
        <v>0</v>
      </c>
    </row>
    <row r="9" spans="1:15" x14ac:dyDescent="0.25">
      <c r="A9" s="1">
        <v>8000</v>
      </c>
      <c r="B9">
        <v>850</v>
      </c>
      <c r="C9">
        <f t="shared" si="0"/>
        <v>17171.717171717173</v>
      </c>
      <c r="D9">
        <v>850</v>
      </c>
      <c r="E9">
        <f t="shared" si="1"/>
        <v>17171.717171717173</v>
      </c>
      <c r="F9">
        <v>860</v>
      </c>
      <c r="G9">
        <f t="shared" si="2"/>
        <v>16962.524654832348</v>
      </c>
      <c r="H9">
        <v>832</v>
      </c>
      <c r="I9">
        <f t="shared" si="3"/>
        <v>17574.989438107306</v>
      </c>
      <c r="J9">
        <v>774</v>
      </c>
      <c r="K9">
        <f t="shared" si="4"/>
        <v>19167.904903417537</v>
      </c>
      <c r="L9">
        <v>0</v>
      </c>
      <c r="M9">
        <f t="shared" si="5"/>
        <v>0</v>
      </c>
      <c r="N9">
        <v>0</v>
      </c>
      <c r="O9">
        <v>0</v>
      </c>
    </row>
    <row r="10" spans="1:15" x14ac:dyDescent="0.25">
      <c r="A10" s="1">
        <v>9000</v>
      </c>
      <c r="B10">
        <v>840</v>
      </c>
      <c r="C10">
        <f t="shared" si="0"/>
        <v>19565.217391304348</v>
      </c>
      <c r="D10">
        <v>840</v>
      </c>
      <c r="E10">
        <f t="shared" si="1"/>
        <v>19565.217391304348</v>
      </c>
      <c r="F10">
        <v>855</v>
      </c>
      <c r="G10">
        <f t="shared" si="2"/>
        <v>19199.101796407191</v>
      </c>
      <c r="H10">
        <v>828</v>
      </c>
      <c r="I10">
        <f t="shared" si="3"/>
        <v>19878.361075544173</v>
      </c>
      <c r="J10">
        <v>778</v>
      </c>
      <c r="K10">
        <f t="shared" si="4"/>
        <v>21420.70484581498</v>
      </c>
      <c r="L10">
        <v>770</v>
      </c>
      <c r="M10">
        <f t="shared" si="5"/>
        <v>21710.526315789477</v>
      </c>
      <c r="N10">
        <v>0</v>
      </c>
      <c r="O10">
        <v>0</v>
      </c>
    </row>
    <row r="11" spans="1:15" x14ac:dyDescent="0.25">
      <c r="A11" s="1">
        <v>10000</v>
      </c>
      <c r="B11">
        <v>830</v>
      </c>
      <c r="C11">
        <f t="shared" si="0"/>
        <v>22027.600849256902</v>
      </c>
      <c r="D11">
        <v>830</v>
      </c>
      <c r="E11">
        <f t="shared" si="1"/>
        <v>22027.600849256902</v>
      </c>
      <c r="F11">
        <v>855</v>
      </c>
      <c r="G11">
        <f t="shared" si="2"/>
        <v>21332.33532934132</v>
      </c>
      <c r="H11">
        <v>824</v>
      </c>
      <c r="I11">
        <f t="shared" si="3"/>
        <v>22207.848210435535</v>
      </c>
      <c r="J11">
        <v>782</v>
      </c>
      <c r="K11">
        <f t="shared" si="4"/>
        <v>23645.379777455248</v>
      </c>
      <c r="L11">
        <v>780</v>
      </c>
      <c r="M11">
        <f t="shared" si="5"/>
        <v>23722.627737226281</v>
      </c>
      <c r="N11">
        <v>0</v>
      </c>
      <c r="O11">
        <v>0</v>
      </c>
    </row>
    <row r="12" spans="1:15" x14ac:dyDescent="0.25">
      <c r="A12" s="1">
        <v>11000</v>
      </c>
      <c r="B12">
        <v>820</v>
      </c>
      <c r="C12">
        <f t="shared" si="0"/>
        <v>24564.270152505451</v>
      </c>
      <c r="D12">
        <v>825</v>
      </c>
      <c r="E12">
        <f t="shared" si="1"/>
        <v>24395.161290322583</v>
      </c>
      <c r="F12">
        <v>850</v>
      </c>
      <c r="G12">
        <f t="shared" si="2"/>
        <v>23611.111111111113</v>
      </c>
      <c r="H12">
        <v>820</v>
      </c>
      <c r="I12">
        <f t="shared" si="3"/>
        <v>24564.270152505451</v>
      </c>
      <c r="J12">
        <v>786</v>
      </c>
      <c r="K12">
        <f t="shared" si="4"/>
        <v>25842.898134863706</v>
      </c>
      <c r="L12">
        <v>790</v>
      </c>
      <c r="M12">
        <f t="shared" si="5"/>
        <v>25679.669030732864</v>
      </c>
      <c r="N12">
        <v>0</v>
      </c>
      <c r="O12">
        <v>0</v>
      </c>
    </row>
    <row r="13" spans="1:15" x14ac:dyDescent="0.25">
      <c r="A13" s="1">
        <v>12000</v>
      </c>
      <c r="D13">
        <v>820</v>
      </c>
      <c r="E13">
        <f t="shared" si="1"/>
        <v>26797.38562091504</v>
      </c>
      <c r="F13">
        <v>845</v>
      </c>
      <c r="G13">
        <f t="shared" si="2"/>
        <v>25920.245398773011</v>
      </c>
      <c r="H13">
        <v>816</v>
      </c>
      <c r="I13">
        <f t="shared" si="3"/>
        <v>26948.480845442533</v>
      </c>
      <c r="J13">
        <v>790</v>
      </c>
      <c r="K13">
        <f t="shared" si="4"/>
        <v>28014.184397163124</v>
      </c>
      <c r="L13">
        <v>800</v>
      </c>
      <c r="M13">
        <f t="shared" si="5"/>
        <v>27586.206896551725</v>
      </c>
      <c r="N13">
        <v>0</v>
      </c>
      <c r="O13">
        <v>0</v>
      </c>
    </row>
    <row r="14" spans="1:15" x14ac:dyDescent="0.25">
      <c r="A14" s="1">
        <v>13000</v>
      </c>
      <c r="F14">
        <v>840</v>
      </c>
      <c r="G14">
        <f t="shared" si="2"/>
        <v>28260.869565217392</v>
      </c>
      <c r="H14">
        <v>812</v>
      </c>
      <c r="I14">
        <f t="shared" si="3"/>
        <v>29361.370716510904</v>
      </c>
      <c r="J14">
        <v>794</v>
      </c>
      <c r="K14">
        <f t="shared" si="4"/>
        <v>30160.121552127162</v>
      </c>
      <c r="L14">
        <v>810</v>
      </c>
      <c r="M14">
        <f t="shared" si="5"/>
        <v>29446.308724832212</v>
      </c>
      <c r="N14">
        <v>0</v>
      </c>
      <c r="O14">
        <v>0</v>
      </c>
    </row>
    <row r="15" spans="1:15" x14ac:dyDescent="0.25">
      <c r="A15" s="1">
        <v>14000</v>
      </c>
      <c r="H15">
        <v>808</v>
      </c>
      <c r="I15">
        <f t="shared" si="3"/>
        <v>31803.868645973915</v>
      </c>
      <c r="J15">
        <v>798</v>
      </c>
      <c r="K15">
        <f t="shared" si="4"/>
        <v>32281.553398058262</v>
      </c>
      <c r="L15">
        <v>820</v>
      </c>
      <c r="M15">
        <f t="shared" si="5"/>
        <v>31263.616557734211</v>
      </c>
      <c r="N15">
        <v>0</v>
      </c>
      <c r="O15">
        <v>0</v>
      </c>
    </row>
    <row r="16" spans="1:15" x14ac:dyDescent="0.25">
      <c r="A16" s="1">
        <v>15000</v>
      </c>
      <c r="J16">
        <v>800</v>
      </c>
      <c r="K16">
        <f t="shared" si="4"/>
        <v>34482.758620689652</v>
      </c>
      <c r="L16">
        <v>830</v>
      </c>
      <c r="M16">
        <f t="shared" si="5"/>
        <v>33041.401273885356</v>
      </c>
      <c r="N16">
        <v>0</v>
      </c>
      <c r="O16">
        <v>0</v>
      </c>
    </row>
    <row r="17" spans="1:15" x14ac:dyDescent="0.25">
      <c r="A17" s="1">
        <v>16000</v>
      </c>
      <c r="L17">
        <v>840</v>
      </c>
      <c r="M17">
        <f t="shared" si="5"/>
        <v>34782.608695652176</v>
      </c>
      <c r="N17">
        <v>0</v>
      </c>
      <c r="O17">
        <v>0</v>
      </c>
    </row>
    <row r="18" spans="1:15" x14ac:dyDescent="0.25">
      <c r="A18" s="1">
        <v>17000</v>
      </c>
      <c r="L18">
        <v>845</v>
      </c>
      <c r="M18">
        <f t="shared" si="5"/>
        <v>36720.34764826177</v>
      </c>
      <c r="N18">
        <v>0</v>
      </c>
      <c r="O18">
        <v>0</v>
      </c>
    </row>
    <row r="19" spans="1:15" x14ac:dyDescent="0.25">
      <c r="A19" s="1">
        <v>18000</v>
      </c>
      <c r="L19">
        <v>847</v>
      </c>
      <c r="M19">
        <f t="shared" si="5"/>
        <v>38782.051282051281</v>
      </c>
      <c r="N19">
        <v>0</v>
      </c>
      <c r="O19">
        <v>0</v>
      </c>
    </row>
    <row r="20" spans="1:15" x14ac:dyDescent="0.25">
      <c r="A20" s="1">
        <v>19000</v>
      </c>
      <c r="L20">
        <v>850</v>
      </c>
      <c r="M20">
        <f t="shared" si="5"/>
        <v>40782.828282828283</v>
      </c>
      <c r="N20">
        <v>0</v>
      </c>
      <c r="O20">
        <v>0</v>
      </c>
    </row>
    <row r="22" spans="1:15" x14ac:dyDescent="0.25">
      <c r="A22" t="s">
        <v>9</v>
      </c>
      <c r="C22">
        <v>6000</v>
      </c>
      <c r="E22">
        <v>6000</v>
      </c>
      <c r="G22">
        <v>6000</v>
      </c>
      <c r="I22">
        <v>6000</v>
      </c>
      <c r="K22">
        <v>7000</v>
      </c>
      <c r="M22">
        <v>9000</v>
      </c>
      <c r="O22">
        <v>0</v>
      </c>
    </row>
    <row r="23" spans="1:15" x14ac:dyDescent="0.25">
      <c r="A23" t="s">
        <v>10</v>
      </c>
      <c r="C23">
        <v>11000</v>
      </c>
      <c r="E23">
        <v>12000</v>
      </c>
      <c r="G23">
        <v>13000</v>
      </c>
      <c r="I23">
        <v>14000</v>
      </c>
      <c r="K23">
        <v>15000</v>
      </c>
      <c r="M23">
        <v>19000</v>
      </c>
      <c r="O23">
        <v>0</v>
      </c>
    </row>
    <row r="24" spans="1:15" x14ac:dyDescent="0.25">
      <c r="A24" t="s">
        <v>11</v>
      </c>
      <c r="C24">
        <v>12572</v>
      </c>
      <c r="E24">
        <v>12572</v>
      </c>
      <c r="G24">
        <v>12572</v>
      </c>
      <c r="I24">
        <v>13043</v>
      </c>
      <c r="K24">
        <v>16886</v>
      </c>
      <c r="M24">
        <v>21710</v>
      </c>
      <c r="O24">
        <v>0</v>
      </c>
    </row>
    <row r="25" spans="1:15" x14ac:dyDescent="0.25">
      <c r="A25" t="s">
        <v>12</v>
      </c>
      <c r="C25">
        <v>24564</v>
      </c>
      <c r="E25">
        <v>26797</v>
      </c>
      <c r="G25">
        <v>28261</v>
      </c>
      <c r="I25">
        <v>31804</v>
      </c>
      <c r="K25">
        <v>34483</v>
      </c>
      <c r="M25">
        <v>40783</v>
      </c>
      <c r="O25">
        <v>0</v>
      </c>
    </row>
    <row r="26" spans="1:15" x14ac:dyDescent="0.25">
      <c r="A26" s="2" t="s">
        <v>14</v>
      </c>
      <c r="B26" s="2"/>
      <c r="C26" s="3">
        <v>13500</v>
      </c>
      <c r="E26" s="3">
        <v>13500</v>
      </c>
      <c r="G26" s="3">
        <v>13500</v>
      </c>
      <c r="I26" s="3">
        <v>14000</v>
      </c>
      <c r="K26" s="3">
        <v>17800</v>
      </c>
      <c r="M26" s="3">
        <v>22600</v>
      </c>
      <c r="O26" s="3">
        <v>0</v>
      </c>
    </row>
    <row r="27" spans="1:15" x14ac:dyDescent="0.25">
      <c r="A27" s="2"/>
      <c r="B27" s="2"/>
      <c r="C27" s="3"/>
      <c r="E27" s="3"/>
      <c r="G27" s="3"/>
      <c r="I27" s="3"/>
      <c r="K27" s="3"/>
      <c r="M27" s="3"/>
      <c r="O27" s="3"/>
    </row>
    <row r="28" spans="1:15" x14ac:dyDescent="0.25">
      <c r="A28" s="2" t="s">
        <v>16</v>
      </c>
      <c r="B28" s="2"/>
      <c r="C28" s="3">
        <v>13500</v>
      </c>
      <c r="E28" s="3">
        <v>13500</v>
      </c>
      <c r="G28" s="3">
        <v>13500</v>
      </c>
      <c r="I28" s="3">
        <v>14000</v>
      </c>
      <c r="K28" s="3">
        <v>17800</v>
      </c>
      <c r="M28" s="3">
        <v>22600</v>
      </c>
      <c r="O28" s="3">
        <v>0</v>
      </c>
    </row>
    <row r="29" spans="1:15" x14ac:dyDescent="0.25">
      <c r="A29" s="2"/>
      <c r="B29" s="2"/>
      <c r="C29" s="3"/>
      <c r="E29" s="3"/>
      <c r="G29" s="3"/>
      <c r="I29" s="3"/>
      <c r="K29" s="3"/>
      <c r="M29" s="3"/>
      <c r="O29" s="3"/>
    </row>
    <row r="30" spans="1:15" x14ac:dyDescent="0.25">
      <c r="A30" s="2" t="s">
        <v>13</v>
      </c>
      <c r="B30" s="2"/>
      <c r="C30" s="3">
        <v>18000</v>
      </c>
      <c r="E30" s="3">
        <v>18000</v>
      </c>
      <c r="G30" s="3">
        <v>18000</v>
      </c>
      <c r="I30" s="3">
        <v>18500</v>
      </c>
      <c r="K30" s="3">
        <v>22000</v>
      </c>
      <c r="M30" s="3">
        <v>26800</v>
      </c>
      <c r="O30" s="3">
        <v>0</v>
      </c>
    </row>
    <row r="31" spans="1:15" x14ac:dyDescent="0.25">
      <c r="A31" s="2"/>
      <c r="B31" s="2"/>
      <c r="C31" s="3"/>
      <c r="E31" s="3"/>
      <c r="G31" s="3"/>
      <c r="I31" s="3"/>
      <c r="K31" s="3"/>
      <c r="M31" s="3"/>
      <c r="O31" s="3"/>
    </row>
    <row r="32" spans="1:15" x14ac:dyDescent="0.25">
      <c r="A32" s="2" t="s">
        <v>15</v>
      </c>
      <c r="B32" s="2"/>
      <c r="C32" s="3">
        <v>22200</v>
      </c>
      <c r="E32" s="3">
        <v>22200</v>
      </c>
      <c r="G32" s="3">
        <v>22200</v>
      </c>
      <c r="I32" s="3">
        <v>22700</v>
      </c>
      <c r="K32" s="3">
        <v>26200</v>
      </c>
      <c r="M32" s="3">
        <v>31000</v>
      </c>
      <c r="O32" s="3">
        <v>0</v>
      </c>
    </row>
    <row r="33" spans="1:15" x14ac:dyDescent="0.25">
      <c r="A33" s="2"/>
      <c r="B33" s="2"/>
      <c r="C33" s="3"/>
      <c r="E33" s="3"/>
      <c r="G33" s="3"/>
      <c r="I33" s="3"/>
      <c r="K33" s="3"/>
      <c r="M33" s="3"/>
      <c r="O33" s="3"/>
    </row>
    <row r="36" spans="1:15" x14ac:dyDescent="0.25">
      <c r="A36" s="3" t="s">
        <v>7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6</v>
      </c>
      <c r="B37" s="3" t="s">
        <v>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/>
      <c r="B38" s="3" t="s">
        <v>3</v>
      </c>
      <c r="C38" s="3"/>
      <c r="D38" s="3">
        <v>2000</v>
      </c>
      <c r="E38" s="3"/>
      <c r="F38" s="3">
        <v>4000</v>
      </c>
      <c r="G38" s="3"/>
      <c r="H38" s="3">
        <v>6000</v>
      </c>
      <c r="I38" s="3"/>
      <c r="J38" s="3">
        <v>10000</v>
      </c>
      <c r="K38" s="3"/>
      <c r="L38" s="3">
        <v>17000</v>
      </c>
      <c r="M38" s="3"/>
      <c r="N38" s="3">
        <v>30000</v>
      </c>
      <c r="O38" s="3"/>
    </row>
    <row r="39" spans="1:15" x14ac:dyDescent="0.25">
      <c r="A39" s="2"/>
      <c r="B39" s="2" t="s">
        <v>2</v>
      </c>
      <c r="C39" s="2" t="s">
        <v>5</v>
      </c>
      <c r="D39" s="2" t="s">
        <v>2</v>
      </c>
      <c r="E39" s="2" t="s">
        <v>5</v>
      </c>
      <c r="F39" s="2" t="s">
        <v>2</v>
      </c>
      <c r="G39" s="2" t="s">
        <v>5</v>
      </c>
      <c r="H39" s="2" t="s">
        <v>2</v>
      </c>
      <c r="I39" s="2" t="s">
        <v>5</v>
      </c>
      <c r="J39" s="2" t="s">
        <v>2</v>
      </c>
      <c r="K39" s="2" t="s">
        <v>5</v>
      </c>
      <c r="L39" s="2" t="s">
        <v>2</v>
      </c>
      <c r="M39" s="2" t="s">
        <v>5</v>
      </c>
      <c r="N39" s="2" t="s">
        <v>2</v>
      </c>
      <c r="O39" s="2" t="s">
        <v>5</v>
      </c>
    </row>
    <row r="40" spans="1:15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x14ac:dyDescent="0.25">
      <c r="A41" s="1">
        <v>6000</v>
      </c>
      <c r="B41">
        <v>870</v>
      </c>
      <c r="C41">
        <f>PRODUCT(A41,B41,1/(300*(-1)+0.96*B41))</f>
        <v>9753.3632286995526</v>
      </c>
      <c r="D41">
        <v>870</v>
      </c>
      <c r="E41">
        <f>PRODUCT(A41,D41,1/(300*(-1)+0.96*D41))</f>
        <v>9753.3632286995526</v>
      </c>
      <c r="F41">
        <v>870</v>
      </c>
      <c r="G41">
        <f>PRODUCT(A41,F41,1/(300*(-1)+0.96*F41))</f>
        <v>9753.3632286995526</v>
      </c>
      <c r="H41">
        <v>840</v>
      </c>
      <c r="I41">
        <f>PRODUCT(A41,H41,1/(300*(-1)+0.96*H41))</f>
        <v>9952.6066350710917</v>
      </c>
      <c r="J41">
        <v>0</v>
      </c>
      <c r="K41">
        <f>PRODUCT(A41,J41,1/(300*(-1)+0.96*J41))</f>
        <v>0</v>
      </c>
      <c r="L41">
        <v>0</v>
      </c>
      <c r="M41">
        <f>PRODUCT(A41,L41,1/(300*(-1)+0.96*L41))</f>
        <v>0</v>
      </c>
      <c r="N41">
        <v>0</v>
      </c>
      <c r="O41">
        <f>PRODUCT(A41,N41,1/(300*(-1)+0.96*N41))</f>
        <v>0</v>
      </c>
    </row>
    <row r="42" spans="1:15" x14ac:dyDescent="0.25">
      <c r="A42" s="1">
        <v>7000</v>
      </c>
      <c r="B42">
        <v>860</v>
      </c>
      <c r="C42">
        <f t="shared" ref="C42:C49" si="6">PRODUCT(A42,B42,1/(300*(-1)+0.96*B42))</f>
        <v>11453.576864535768</v>
      </c>
      <c r="D42">
        <v>860</v>
      </c>
      <c r="E42">
        <f t="shared" ref="E42:E50" si="7">PRODUCT(A42,D42,1/(300*(-1)+0.96*D42))</f>
        <v>11453.576864535768</v>
      </c>
      <c r="F42">
        <v>865</v>
      </c>
      <c r="G42">
        <f t="shared" ref="G42:G51" si="8">PRODUCT(A42,F42,1/(300*(-1)+0.96*F42))</f>
        <v>11415.912518853695</v>
      </c>
      <c r="H42">
        <v>836</v>
      </c>
      <c r="I42">
        <f t="shared" ref="I42:I53" si="9">PRODUCT(A42,H42,1/(300*(-1)+0.96*H42))</f>
        <v>11644.380770455269</v>
      </c>
      <c r="J42">
        <v>770</v>
      </c>
      <c r="K42">
        <f t="shared" ref="K42:K55" si="10">PRODUCT(A42,J42,1/(300*(-1)+0.96*J42))</f>
        <v>12272.313296903461</v>
      </c>
      <c r="L42">
        <v>0</v>
      </c>
      <c r="M42">
        <f t="shared" ref="M42:M59" si="11">PRODUCT(A42,L42,1/(300*(-1)+0.96*L42))</f>
        <v>0</v>
      </c>
      <c r="N42">
        <v>0</v>
      </c>
      <c r="O42">
        <f t="shared" ref="O42:O59" si="12">PRODUCT(A42,N42,1/(300*(-1)+0.96*N42))</f>
        <v>0</v>
      </c>
    </row>
    <row r="43" spans="1:15" x14ac:dyDescent="0.25">
      <c r="A43" s="1">
        <v>8000</v>
      </c>
      <c r="B43">
        <v>850</v>
      </c>
      <c r="C43">
        <f t="shared" si="6"/>
        <v>13178.29457364341</v>
      </c>
      <c r="D43">
        <v>850</v>
      </c>
      <c r="E43">
        <f t="shared" si="7"/>
        <v>13178.29457364341</v>
      </c>
      <c r="F43">
        <v>860</v>
      </c>
      <c r="G43">
        <f t="shared" si="8"/>
        <v>13089.802130898021</v>
      </c>
      <c r="H43">
        <v>832</v>
      </c>
      <c r="I43">
        <f t="shared" si="9"/>
        <v>13346.166185434711</v>
      </c>
      <c r="J43">
        <v>774</v>
      </c>
      <c r="K43">
        <f t="shared" si="10"/>
        <v>13976.164680390033</v>
      </c>
      <c r="L43">
        <v>0</v>
      </c>
      <c r="M43">
        <f t="shared" si="11"/>
        <v>0</v>
      </c>
      <c r="N43">
        <v>0</v>
      </c>
      <c r="O43">
        <f t="shared" si="12"/>
        <v>0</v>
      </c>
    </row>
    <row r="44" spans="1:15" x14ac:dyDescent="0.25">
      <c r="A44" s="1">
        <v>9000</v>
      </c>
      <c r="B44">
        <v>840</v>
      </c>
      <c r="C44">
        <f t="shared" si="6"/>
        <v>14928.909952606637</v>
      </c>
      <c r="D44">
        <v>840</v>
      </c>
      <c r="E44">
        <f t="shared" si="7"/>
        <v>14928.909952606637</v>
      </c>
      <c r="F44">
        <v>855</v>
      </c>
      <c r="G44">
        <f t="shared" si="8"/>
        <v>14775.345622119818</v>
      </c>
      <c r="H44">
        <v>828</v>
      </c>
      <c r="I44">
        <f t="shared" si="9"/>
        <v>15058.19592628516</v>
      </c>
      <c r="J44">
        <v>778</v>
      </c>
      <c r="K44">
        <f t="shared" si="10"/>
        <v>15668.635875402791</v>
      </c>
      <c r="L44">
        <v>770</v>
      </c>
      <c r="M44">
        <f t="shared" si="11"/>
        <v>15778.688524590165</v>
      </c>
      <c r="N44">
        <v>0</v>
      </c>
      <c r="O44">
        <f t="shared" si="12"/>
        <v>0</v>
      </c>
    </row>
    <row r="45" spans="1:15" x14ac:dyDescent="0.25">
      <c r="A45" s="1">
        <v>10000</v>
      </c>
      <c r="B45">
        <v>830</v>
      </c>
      <c r="C45">
        <f t="shared" si="6"/>
        <v>16706.92431561997</v>
      </c>
      <c r="D45">
        <v>830</v>
      </c>
      <c r="E45">
        <f t="shared" si="7"/>
        <v>16706.92431561997</v>
      </c>
      <c r="F45">
        <v>855</v>
      </c>
      <c r="G45">
        <f t="shared" si="8"/>
        <v>16417.05069124424</v>
      </c>
      <c r="H45">
        <v>824</v>
      </c>
      <c r="I45">
        <f t="shared" si="9"/>
        <v>16780.710329097426</v>
      </c>
      <c r="J45">
        <v>782</v>
      </c>
      <c r="K45">
        <f t="shared" si="10"/>
        <v>17350.017749378771</v>
      </c>
      <c r="L45">
        <v>780</v>
      </c>
      <c r="M45">
        <f t="shared" si="11"/>
        <v>17379.679144385027</v>
      </c>
      <c r="N45">
        <v>0</v>
      </c>
      <c r="O45">
        <f t="shared" si="12"/>
        <v>0</v>
      </c>
    </row>
    <row r="46" spans="1:15" x14ac:dyDescent="0.25">
      <c r="A46" s="1">
        <v>11000</v>
      </c>
      <c r="B46">
        <v>820</v>
      </c>
      <c r="C46">
        <f t="shared" si="6"/>
        <v>18513.957307060755</v>
      </c>
      <c r="D46">
        <v>825</v>
      </c>
      <c r="E46">
        <f t="shared" si="7"/>
        <v>18445.121951219513</v>
      </c>
      <c r="F46">
        <v>850</v>
      </c>
      <c r="G46">
        <f t="shared" si="8"/>
        <v>18120.155038759691</v>
      </c>
      <c r="H46">
        <v>820</v>
      </c>
      <c r="I46">
        <f t="shared" si="9"/>
        <v>18513.957307060755</v>
      </c>
      <c r="J46">
        <v>786</v>
      </c>
      <c r="K46">
        <f t="shared" si="10"/>
        <v>19020.591341077088</v>
      </c>
      <c r="L46">
        <v>790</v>
      </c>
      <c r="M46">
        <f t="shared" si="11"/>
        <v>18957.242582897034</v>
      </c>
      <c r="N46">
        <v>0</v>
      </c>
      <c r="O46">
        <f t="shared" si="12"/>
        <v>0</v>
      </c>
    </row>
    <row r="47" spans="1:15" x14ac:dyDescent="0.25">
      <c r="A47" s="1">
        <v>12000</v>
      </c>
      <c r="B47">
        <v>810</v>
      </c>
      <c r="C47">
        <f t="shared" si="6"/>
        <v>20351.758793969846</v>
      </c>
      <c r="D47">
        <v>820</v>
      </c>
      <c r="E47">
        <f t="shared" si="7"/>
        <v>20197.04433497537</v>
      </c>
      <c r="F47">
        <v>845</v>
      </c>
      <c r="G47">
        <f t="shared" si="8"/>
        <v>19835.680751173713</v>
      </c>
      <c r="H47">
        <v>816</v>
      </c>
      <c r="I47">
        <f t="shared" si="9"/>
        <v>20258.192651439917</v>
      </c>
      <c r="J47">
        <v>790</v>
      </c>
      <c r="K47">
        <f t="shared" si="10"/>
        <v>20680.62827225131</v>
      </c>
      <c r="L47">
        <v>800</v>
      </c>
      <c r="M47">
        <f t="shared" si="11"/>
        <v>20512.820512820515</v>
      </c>
      <c r="N47">
        <v>0</v>
      </c>
      <c r="O47">
        <f t="shared" si="12"/>
        <v>0</v>
      </c>
    </row>
    <row r="48" spans="1:15" x14ac:dyDescent="0.25">
      <c r="A48" s="1">
        <v>13000</v>
      </c>
      <c r="B48">
        <v>800</v>
      </c>
      <c r="C48">
        <f t="shared" si="6"/>
        <v>22222.222222222226</v>
      </c>
      <c r="D48">
        <v>820</v>
      </c>
      <c r="E48">
        <f t="shared" si="7"/>
        <v>21880.131362889984</v>
      </c>
      <c r="F48">
        <v>840</v>
      </c>
      <c r="G48">
        <f t="shared" si="8"/>
        <v>21563.981042654032</v>
      </c>
      <c r="H48">
        <v>812</v>
      </c>
      <c r="I48">
        <f t="shared" si="9"/>
        <v>22013.680347013684</v>
      </c>
      <c r="J48">
        <v>794</v>
      </c>
      <c r="K48">
        <f t="shared" si="10"/>
        <v>22330.391138802352</v>
      </c>
      <c r="L48">
        <v>810</v>
      </c>
      <c r="M48">
        <f t="shared" si="11"/>
        <v>22047.738693467334</v>
      </c>
      <c r="N48">
        <v>0</v>
      </c>
      <c r="O48">
        <f t="shared" si="12"/>
        <v>0</v>
      </c>
    </row>
    <row r="49" spans="1:15" x14ac:dyDescent="0.25">
      <c r="A49" s="1">
        <v>14000</v>
      </c>
      <c r="B49">
        <v>790</v>
      </c>
      <c r="C49">
        <f t="shared" si="6"/>
        <v>24127.399650959862</v>
      </c>
      <c r="D49">
        <v>810</v>
      </c>
      <c r="E49">
        <f t="shared" si="7"/>
        <v>23743.718592964822</v>
      </c>
      <c r="F49">
        <v>835</v>
      </c>
      <c r="G49">
        <f t="shared" si="8"/>
        <v>23305.42264752791</v>
      </c>
      <c r="H49">
        <v>808</v>
      </c>
      <c r="I49">
        <f t="shared" si="9"/>
        <v>23780.692902791794</v>
      </c>
      <c r="J49">
        <v>798</v>
      </c>
      <c r="K49">
        <f t="shared" si="10"/>
        <v>23970.133882595266</v>
      </c>
      <c r="L49">
        <v>820</v>
      </c>
      <c r="M49">
        <f t="shared" si="11"/>
        <v>23563.218390804599</v>
      </c>
      <c r="N49">
        <v>0</v>
      </c>
      <c r="O49">
        <f t="shared" si="12"/>
        <v>0</v>
      </c>
    </row>
    <row r="50" spans="1:15" x14ac:dyDescent="0.25">
      <c r="A50" s="1">
        <v>15000</v>
      </c>
      <c r="D50">
        <v>800</v>
      </c>
      <c r="E50">
        <f t="shared" si="7"/>
        <v>25641.025641025644</v>
      </c>
      <c r="F50">
        <v>830</v>
      </c>
      <c r="G50">
        <f t="shared" si="8"/>
        <v>25060.386473429953</v>
      </c>
      <c r="H50">
        <v>804</v>
      </c>
      <c r="I50">
        <f t="shared" si="9"/>
        <v>25559.511698880982</v>
      </c>
      <c r="J50">
        <v>800</v>
      </c>
      <c r="K50">
        <f t="shared" si="10"/>
        <v>25641.025641025644</v>
      </c>
      <c r="L50">
        <v>830</v>
      </c>
      <c r="M50">
        <f t="shared" si="11"/>
        <v>25060.386473429953</v>
      </c>
      <c r="N50">
        <v>0</v>
      </c>
      <c r="O50">
        <f t="shared" si="12"/>
        <v>0</v>
      </c>
    </row>
    <row r="51" spans="1:15" x14ac:dyDescent="0.25">
      <c r="A51" s="1">
        <v>16000</v>
      </c>
      <c r="F51">
        <v>825</v>
      </c>
      <c r="G51">
        <f t="shared" si="8"/>
        <v>26829.268292682929</v>
      </c>
      <c r="H51">
        <v>800</v>
      </c>
      <c r="I51">
        <f t="shared" si="9"/>
        <v>27350.427350427351</v>
      </c>
      <c r="J51">
        <v>800</v>
      </c>
      <c r="K51">
        <f t="shared" si="10"/>
        <v>27350.427350427351</v>
      </c>
      <c r="L51">
        <v>840</v>
      </c>
      <c r="M51">
        <f t="shared" si="11"/>
        <v>26540.284360189577</v>
      </c>
      <c r="N51">
        <v>0</v>
      </c>
      <c r="O51">
        <f t="shared" si="12"/>
        <v>0</v>
      </c>
    </row>
    <row r="52" spans="1:15" x14ac:dyDescent="0.25">
      <c r="A52" s="1">
        <v>17000</v>
      </c>
      <c r="H52">
        <v>796</v>
      </c>
      <c r="I52">
        <f t="shared" si="9"/>
        <v>29153.740089624269</v>
      </c>
      <c r="J52">
        <v>796</v>
      </c>
      <c r="K52">
        <f t="shared" si="10"/>
        <v>29153.740089624269</v>
      </c>
      <c r="L52">
        <v>845</v>
      </c>
      <c r="M52">
        <f t="shared" si="11"/>
        <v>28100.547730829428</v>
      </c>
      <c r="N52">
        <v>0</v>
      </c>
      <c r="O52">
        <f t="shared" si="12"/>
        <v>0</v>
      </c>
    </row>
    <row r="53" spans="1:15" x14ac:dyDescent="0.25">
      <c r="A53" s="1">
        <v>18000</v>
      </c>
      <c r="H53">
        <v>792</v>
      </c>
      <c r="I53">
        <f t="shared" si="9"/>
        <v>30969.760166840464</v>
      </c>
      <c r="J53">
        <v>792</v>
      </c>
      <c r="K53">
        <f t="shared" si="10"/>
        <v>30969.760166840464</v>
      </c>
      <c r="L53">
        <v>847</v>
      </c>
      <c r="M53">
        <f t="shared" si="11"/>
        <v>29712.347988774556</v>
      </c>
      <c r="N53">
        <v>0</v>
      </c>
      <c r="O53">
        <f t="shared" si="12"/>
        <v>0</v>
      </c>
    </row>
    <row r="54" spans="1:15" x14ac:dyDescent="0.25">
      <c r="A54" s="1">
        <v>19000</v>
      </c>
      <c r="J54">
        <v>788</v>
      </c>
      <c r="K54">
        <f t="shared" si="10"/>
        <v>32798.808271994392</v>
      </c>
      <c r="L54">
        <v>850</v>
      </c>
      <c r="M54">
        <f t="shared" si="11"/>
        <v>31298.449612403099</v>
      </c>
      <c r="N54">
        <v>0</v>
      </c>
      <c r="O54">
        <f t="shared" si="12"/>
        <v>0</v>
      </c>
    </row>
    <row r="55" spans="1:15" x14ac:dyDescent="0.25">
      <c r="A55" s="1">
        <v>20000</v>
      </c>
      <c r="J55">
        <v>784</v>
      </c>
      <c r="K55">
        <f t="shared" si="10"/>
        <v>34641.215977377171</v>
      </c>
      <c r="L55">
        <v>850</v>
      </c>
      <c r="M55">
        <f t="shared" si="11"/>
        <v>32945.736434108527</v>
      </c>
      <c r="N55">
        <v>0</v>
      </c>
      <c r="O55">
        <f t="shared" si="12"/>
        <v>0</v>
      </c>
    </row>
    <row r="56" spans="1:15" x14ac:dyDescent="0.25">
      <c r="A56" s="1">
        <v>21000</v>
      </c>
      <c r="L56">
        <v>845</v>
      </c>
      <c r="M56">
        <f t="shared" si="11"/>
        <v>34712.441314554002</v>
      </c>
      <c r="N56">
        <v>0</v>
      </c>
      <c r="O56">
        <f t="shared" si="12"/>
        <v>0</v>
      </c>
    </row>
    <row r="57" spans="1:15" x14ac:dyDescent="0.25">
      <c r="A57" s="1">
        <v>22000</v>
      </c>
      <c r="L57">
        <v>840</v>
      </c>
      <c r="M57">
        <f t="shared" si="11"/>
        <v>36492.89099526067</v>
      </c>
      <c r="N57">
        <v>0</v>
      </c>
      <c r="O57">
        <f t="shared" si="12"/>
        <v>0</v>
      </c>
    </row>
    <row r="58" spans="1:15" x14ac:dyDescent="0.25">
      <c r="A58" s="1">
        <v>23000</v>
      </c>
      <c r="L58">
        <v>835</v>
      </c>
      <c r="M58">
        <f t="shared" si="11"/>
        <v>38287.480063795847</v>
      </c>
      <c r="N58">
        <v>0</v>
      </c>
      <c r="O58">
        <f t="shared" si="12"/>
        <v>0</v>
      </c>
    </row>
    <row r="59" spans="1:15" x14ac:dyDescent="0.25">
      <c r="A59" s="1">
        <v>24000</v>
      </c>
      <c r="L59">
        <v>830</v>
      </c>
      <c r="M59">
        <f t="shared" si="11"/>
        <v>40096.618357487925</v>
      </c>
      <c r="N59">
        <v>0</v>
      </c>
      <c r="O59">
        <f t="shared" si="12"/>
        <v>0</v>
      </c>
    </row>
    <row r="61" spans="1:15" x14ac:dyDescent="0.25">
      <c r="A61" t="s">
        <v>9</v>
      </c>
      <c r="C61">
        <v>6000</v>
      </c>
      <c r="E61">
        <v>6000</v>
      </c>
      <c r="G61">
        <v>6000</v>
      </c>
      <c r="I61">
        <v>6000</v>
      </c>
      <c r="K61">
        <v>7000</v>
      </c>
      <c r="M61">
        <v>9000</v>
      </c>
      <c r="O61">
        <v>0</v>
      </c>
    </row>
    <row r="62" spans="1:15" x14ac:dyDescent="0.25">
      <c r="A62" t="s">
        <v>10</v>
      </c>
      <c r="C62">
        <v>14000</v>
      </c>
      <c r="E62">
        <v>15000</v>
      </c>
      <c r="G62">
        <v>16000</v>
      </c>
      <c r="I62">
        <v>18000</v>
      </c>
      <c r="K62">
        <v>20000</v>
      </c>
      <c r="M62">
        <v>24000</v>
      </c>
      <c r="O62">
        <v>0</v>
      </c>
    </row>
    <row r="63" spans="1:15" x14ac:dyDescent="0.25">
      <c r="A63" t="s">
        <v>11</v>
      </c>
      <c r="C63">
        <v>9753</v>
      </c>
      <c r="E63">
        <v>9753</v>
      </c>
      <c r="G63">
        <v>9753</v>
      </c>
      <c r="I63">
        <v>9953</v>
      </c>
      <c r="K63">
        <v>12272</v>
      </c>
      <c r="M63">
        <v>15779</v>
      </c>
      <c r="O63">
        <v>0</v>
      </c>
    </row>
    <row r="64" spans="1:15" x14ac:dyDescent="0.25">
      <c r="A64" t="s">
        <v>12</v>
      </c>
      <c r="C64">
        <v>24127</v>
      </c>
      <c r="E64">
        <v>25641</v>
      </c>
      <c r="G64">
        <v>26829</v>
      </c>
      <c r="I64">
        <v>30970</v>
      </c>
      <c r="K64">
        <v>34641</v>
      </c>
      <c r="M64">
        <v>40096</v>
      </c>
      <c r="O64">
        <v>0</v>
      </c>
    </row>
    <row r="65" spans="1:15" ht="15" customHeight="1" x14ac:dyDescent="0.25">
      <c r="A65" s="2" t="s">
        <v>14</v>
      </c>
      <c r="B65" s="2"/>
      <c r="C65" s="3">
        <v>10353</v>
      </c>
      <c r="E65" s="3">
        <v>10353</v>
      </c>
      <c r="G65" s="3">
        <v>10353</v>
      </c>
      <c r="I65" s="3">
        <v>10353</v>
      </c>
      <c r="K65" s="3">
        <v>12872</v>
      </c>
      <c r="M65" s="3">
        <v>16379</v>
      </c>
      <c r="O65" s="3">
        <v>0</v>
      </c>
    </row>
    <row r="66" spans="1:15" x14ac:dyDescent="0.25">
      <c r="A66" s="2"/>
      <c r="B66" s="2"/>
      <c r="C66" s="3"/>
      <c r="E66" s="3"/>
      <c r="G66" s="3"/>
      <c r="I66" s="3"/>
      <c r="K66" s="3"/>
      <c r="M66" s="3"/>
      <c r="O66" s="3"/>
    </row>
    <row r="67" spans="1:15" x14ac:dyDescent="0.25">
      <c r="A67" s="2" t="s">
        <v>16</v>
      </c>
      <c r="B67" s="2"/>
      <c r="C67" s="3">
        <v>10353</v>
      </c>
      <c r="E67" s="3">
        <v>10353</v>
      </c>
      <c r="G67" s="3">
        <v>10353</v>
      </c>
      <c r="I67" s="3">
        <v>10353</v>
      </c>
      <c r="K67" s="3">
        <v>12872</v>
      </c>
      <c r="M67" s="3">
        <v>16379</v>
      </c>
      <c r="O67" s="3">
        <v>0</v>
      </c>
    </row>
    <row r="68" spans="1:15" ht="15" customHeight="1" x14ac:dyDescent="0.25">
      <c r="A68" s="2"/>
      <c r="B68" s="2"/>
      <c r="C68" s="3"/>
      <c r="E68" s="3"/>
      <c r="G68" s="3"/>
      <c r="I68" s="3"/>
      <c r="K68" s="3"/>
      <c r="M68" s="3"/>
      <c r="O68" s="3"/>
    </row>
    <row r="69" spans="1:15" ht="15" customHeight="1" x14ac:dyDescent="0.25">
      <c r="A69" s="2" t="s">
        <v>13</v>
      </c>
      <c r="B69" s="2"/>
      <c r="C69" s="3">
        <v>14000</v>
      </c>
      <c r="E69" s="3">
        <v>14000</v>
      </c>
      <c r="G69" s="3">
        <v>14000</v>
      </c>
      <c r="I69" s="3">
        <v>14000</v>
      </c>
      <c r="K69" s="3">
        <v>16000</v>
      </c>
      <c r="M69" s="3">
        <v>20000</v>
      </c>
      <c r="O69" s="3">
        <v>0</v>
      </c>
    </row>
    <row r="70" spans="1:15" x14ac:dyDescent="0.25">
      <c r="A70" s="2"/>
      <c r="B70" s="2"/>
      <c r="C70" s="3"/>
      <c r="E70" s="3"/>
      <c r="G70" s="3"/>
      <c r="I70" s="3"/>
      <c r="K70" s="3"/>
      <c r="M70" s="3"/>
      <c r="O70" s="3"/>
    </row>
    <row r="71" spans="1:15" ht="15" customHeight="1" x14ac:dyDescent="0.25">
      <c r="A71" s="2" t="s">
        <v>15</v>
      </c>
      <c r="B71" s="2"/>
      <c r="C71" s="3">
        <v>17000</v>
      </c>
      <c r="E71" s="3">
        <v>17000</v>
      </c>
      <c r="G71" s="3">
        <v>17000</v>
      </c>
      <c r="I71" s="3">
        <v>17000</v>
      </c>
      <c r="K71" s="3">
        <v>19000</v>
      </c>
      <c r="M71" s="3">
        <v>23000</v>
      </c>
      <c r="O71" s="3">
        <v>0</v>
      </c>
    </row>
    <row r="72" spans="1:15" x14ac:dyDescent="0.25">
      <c r="A72" s="2"/>
      <c r="B72" s="2"/>
      <c r="C72" s="3"/>
      <c r="E72" s="3"/>
      <c r="G72" s="3"/>
      <c r="I72" s="3"/>
      <c r="K72" s="3"/>
      <c r="M72" s="3"/>
      <c r="O72" s="3"/>
    </row>
    <row r="76" spans="1:15" x14ac:dyDescent="0.25">
      <c r="A76" s="3" t="s">
        <v>8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</row>
    <row r="77" spans="1:15" x14ac:dyDescent="0.25">
      <c r="A77" s="2" t="s">
        <v>6</v>
      </c>
      <c r="B77" s="3" t="s">
        <v>4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</row>
    <row r="78" spans="1:15" x14ac:dyDescent="0.25">
      <c r="A78" s="2"/>
      <c r="B78" s="3" t="s">
        <v>3</v>
      </c>
      <c r="C78" s="3"/>
      <c r="D78" s="3">
        <v>2000</v>
      </c>
      <c r="E78" s="3"/>
      <c r="F78" s="3">
        <v>4000</v>
      </c>
      <c r="G78" s="3"/>
      <c r="H78" s="3">
        <v>6000</v>
      </c>
      <c r="I78" s="3"/>
      <c r="J78" s="3">
        <v>10000</v>
      </c>
      <c r="K78" s="3"/>
      <c r="L78" s="3">
        <v>17000</v>
      </c>
      <c r="M78" s="3"/>
      <c r="N78" s="3">
        <v>30000</v>
      </c>
      <c r="O78" s="3"/>
    </row>
    <row r="79" spans="1:15" x14ac:dyDescent="0.25">
      <c r="A79" s="2"/>
      <c r="B79" s="2" t="s">
        <v>2</v>
      </c>
      <c r="C79" s="2" t="s">
        <v>5</v>
      </c>
      <c r="D79" s="2" t="s">
        <v>2</v>
      </c>
      <c r="E79" s="2" t="s">
        <v>5</v>
      </c>
      <c r="F79" s="2" t="s">
        <v>2</v>
      </c>
      <c r="G79" s="2" t="s">
        <v>5</v>
      </c>
      <c r="H79" s="2" t="s">
        <v>2</v>
      </c>
      <c r="I79" s="2" t="s">
        <v>5</v>
      </c>
      <c r="J79" s="2" t="s">
        <v>2</v>
      </c>
      <c r="K79" s="2" t="s">
        <v>5</v>
      </c>
      <c r="L79" s="2" t="s">
        <v>2</v>
      </c>
      <c r="M79" s="2" t="s">
        <v>5</v>
      </c>
      <c r="N79" s="2" t="s">
        <v>2</v>
      </c>
      <c r="O79" s="2" t="s">
        <v>5</v>
      </c>
    </row>
    <row r="80" spans="1:15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x14ac:dyDescent="0.25">
      <c r="A81" s="1">
        <v>6000</v>
      </c>
      <c r="B81">
        <v>870</v>
      </c>
      <c r="C81">
        <f>PRODUCT(A81,B81,1/(150*(-1)+0.96*B81))</f>
        <v>7618.2136602451847</v>
      </c>
      <c r="D81">
        <v>870</v>
      </c>
      <c r="E81">
        <f>PRODUCT(A81,D81,1/(150*(-1)+0.96*D81))</f>
        <v>7618.2136602451847</v>
      </c>
      <c r="F81">
        <v>870</v>
      </c>
      <c r="G81">
        <f>PRODUCT(A81,F81,1/(150*(-1)+0.96*F81))</f>
        <v>7618.2136602451847</v>
      </c>
      <c r="H81">
        <v>840</v>
      </c>
      <c r="I81">
        <f>PRODUCT(A81,H81,1/(150*(-1)+0.96*H81))</f>
        <v>7678.2449725776969</v>
      </c>
      <c r="J81">
        <v>0</v>
      </c>
      <c r="K81">
        <f>PRODUCT(A81,J81,1/(150*(-1)+0.96*J81))</f>
        <v>0</v>
      </c>
      <c r="L81">
        <v>0</v>
      </c>
      <c r="M81">
        <f>PRODUCT(A81,L81,1/(150*(-1)+0.96*L81))</f>
        <v>0</v>
      </c>
      <c r="N81">
        <v>0</v>
      </c>
      <c r="O81">
        <f>PRODUCT(A81,N81,1/(150*(-1)+0.96*N81))</f>
        <v>0</v>
      </c>
    </row>
    <row r="82" spans="1:15" x14ac:dyDescent="0.25">
      <c r="A82" s="1">
        <v>7000</v>
      </c>
      <c r="B82">
        <v>860</v>
      </c>
      <c r="C82">
        <f t="shared" ref="C82:C93" si="13">PRODUCT(A82,B82,1/(150*(-1)+0.96*B82))</f>
        <v>8910.5979869745406</v>
      </c>
      <c r="D82">
        <v>860</v>
      </c>
      <c r="E82">
        <f t="shared" ref="E82:E93" si="14">PRODUCT(A82,D82,1/(150*(-1)+0.96*D82))</f>
        <v>8910.5979869745406</v>
      </c>
      <c r="F82">
        <v>865</v>
      </c>
      <c r="G82">
        <f t="shared" ref="G82:G96" si="15">PRODUCT(A82,F82,1/(150*(-1)+0.96*F82))</f>
        <v>8899.1769547325111</v>
      </c>
      <c r="H82">
        <v>836</v>
      </c>
      <c r="I82">
        <f t="shared" ref="I82:I98" si="16">PRODUCT(A82,H82,1/(150*(-1)+0.96*H82))</f>
        <v>8967.7577540762541</v>
      </c>
      <c r="J82">
        <v>770</v>
      </c>
      <c r="K82">
        <f t="shared" ref="K82:K101" si="17">PRODUCT(A82,J82,1/(150*(-1)+0.96*J82))</f>
        <v>9147.9972844534968</v>
      </c>
      <c r="L82">
        <v>0</v>
      </c>
      <c r="M82">
        <f t="shared" ref="M82:M105" si="18">PRODUCT(A82,L82,1/(150*(-1)+0.96*L82))</f>
        <v>0</v>
      </c>
      <c r="N82">
        <v>0</v>
      </c>
      <c r="O82">
        <f t="shared" ref="O82:O105" si="19">PRODUCT(A82,N82,1/(150*(-1)+0.96*N82))</f>
        <v>0</v>
      </c>
    </row>
    <row r="83" spans="1:15" x14ac:dyDescent="0.25">
      <c r="A83" s="1">
        <v>8000</v>
      </c>
      <c r="B83">
        <v>850</v>
      </c>
      <c r="C83">
        <f t="shared" si="13"/>
        <v>10210.210210210211</v>
      </c>
      <c r="D83">
        <v>850</v>
      </c>
      <c r="E83">
        <f t="shared" si="14"/>
        <v>10210.210210210211</v>
      </c>
      <c r="F83">
        <v>860</v>
      </c>
      <c r="G83">
        <f t="shared" si="15"/>
        <v>10183.540556542333</v>
      </c>
      <c r="H83">
        <v>832</v>
      </c>
      <c r="I83">
        <f t="shared" si="16"/>
        <v>10260.204710815144</v>
      </c>
      <c r="J83">
        <v>774</v>
      </c>
      <c r="K83">
        <f t="shared" si="17"/>
        <v>10441.116956697693</v>
      </c>
      <c r="L83">
        <v>0</v>
      </c>
      <c r="M83">
        <f t="shared" si="18"/>
        <v>0</v>
      </c>
      <c r="N83">
        <v>0</v>
      </c>
      <c r="O83">
        <f t="shared" si="19"/>
        <v>0</v>
      </c>
    </row>
    <row r="84" spans="1:15" x14ac:dyDescent="0.25">
      <c r="A84" s="1">
        <v>9000</v>
      </c>
      <c r="B84">
        <v>840</v>
      </c>
      <c r="C84">
        <f t="shared" si="13"/>
        <v>11517.367458866545</v>
      </c>
      <c r="D84">
        <v>840</v>
      </c>
      <c r="E84">
        <f t="shared" si="14"/>
        <v>11517.367458866545</v>
      </c>
      <c r="F84">
        <v>855</v>
      </c>
      <c r="G84">
        <f t="shared" si="15"/>
        <v>11471.377459749554</v>
      </c>
      <c r="H84">
        <v>828</v>
      </c>
      <c r="I84">
        <f t="shared" si="16"/>
        <v>11555.638258280611</v>
      </c>
      <c r="J84">
        <v>778</v>
      </c>
      <c r="K84">
        <f t="shared" si="17"/>
        <v>11731.001206272618</v>
      </c>
      <c r="L84">
        <v>770</v>
      </c>
      <c r="M84">
        <f t="shared" si="18"/>
        <v>11761.710794297354</v>
      </c>
      <c r="N84">
        <v>0</v>
      </c>
      <c r="O84">
        <f t="shared" si="19"/>
        <v>0</v>
      </c>
    </row>
    <row r="85" spans="1:15" x14ac:dyDescent="0.25">
      <c r="A85" s="1">
        <v>10000</v>
      </c>
      <c r="B85">
        <v>830</v>
      </c>
      <c r="C85">
        <f t="shared" si="13"/>
        <v>12832.405689548546</v>
      </c>
      <c r="D85">
        <v>830</v>
      </c>
      <c r="E85">
        <f t="shared" si="14"/>
        <v>12832.405689548546</v>
      </c>
      <c r="F85">
        <v>855</v>
      </c>
      <c r="G85">
        <f t="shared" si="15"/>
        <v>12745.974955277281</v>
      </c>
      <c r="H85">
        <v>824</v>
      </c>
      <c r="I85">
        <f t="shared" si="16"/>
        <v>12854.11206788968</v>
      </c>
      <c r="J85">
        <v>782</v>
      </c>
      <c r="K85">
        <f t="shared" si="17"/>
        <v>13017.712078838727</v>
      </c>
      <c r="L85">
        <v>780</v>
      </c>
      <c r="M85">
        <f t="shared" si="18"/>
        <v>13026.052104208418</v>
      </c>
      <c r="N85">
        <v>0</v>
      </c>
      <c r="O85">
        <f t="shared" si="19"/>
        <v>0</v>
      </c>
    </row>
    <row r="86" spans="1:15" x14ac:dyDescent="0.25">
      <c r="A86" s="1">
        <v>11000</v>
      </c>
      <c r="B86">
        <v>820</v>
      </c>
      <c r="C86">
        <f t="shared" si="13"/>
        <v>14155.681104833648</v>
      </c>
      <c r="D86">
        <v>825</v>
      </c>
      <c r="E86">
        <f t="shared" si="14"/>
        <v>14135.514018691589</v>
      </c>
      <c r="F86">
        <v>850</v>
      </c>
      <c r="G86">
        <f t="shared" si="15"/>
        <v>14039.039039039038</v>
      </c>
      <c r="H86">
        <v>820</v>
      </c>
      <c r="I86">
        <f t="shared" si="16"/>
        <v>14155.681104833648</v>
      </c>
      <c r="J86">
        <v>786</v>
      </c>
      <c r="K86">
        <f t="shared" si="17"/>
        <v>14301.310043668123</v>
      </c>
      <c r="L86">
        <v>790</v>
      </c>
      <c r="M86">
        <f t="shared" si="18"/>
        <v>14283.36620644313</v>
      </c>
      <c r="N86">
        <v>0</v>
      </c>
      <c r="O86">
        <f t="shared" si="19"/>
        <v>0</v>
      </c>
    </row>
    <row r="87" spans="1:15" x14ac:dyDescent="0.25">
      <c r="A87" s="1">
        <v>12000</v>
      </c>
      <c r="B87">
        <v>810</v>
      </c>
      <c r="C87">
        <f t="shared" si="13"/>
        <v>15487.571701720841</v>
      </c>
      <c r="D87">
        <v>820</v>
      </c>
      <c r="E87">
        <f t="shared" si="14"/>
        <v>15442.56120527307</v>
      </c>
      <c r="F87">
        <v>845</v>
      </c>
      <c r="G87">
        <f t="shared" si="15"/>
        <v>15335.75317604356</v>
      </c>
      <c r="H87">
        <v>816</v>
      </c>
      <c r="I87">
        <f t="shared" si="16"/>
        <v>15460.40166729822</v>
      </c>
      <c r="J87">
        <v>790</v>
      </c>
      <c r="K87">
        <f t="shared" si="17"/>
        <v>15581.854043392506</v>
      </c>
      <c r="L87">
        <v>800</v>
      </c>
      <c r="M87">
        <f t="shared" si="18"/>
        <v>15533.980582524273</v>
      </c>
      <c r="N87">
        <v>0</v>
      </c>
      <c r="O87">
        <f t="shared" si="19"/>
        <v>0</v>
      </c>
    </row>
    <row r="88" spans="1:15" x14ac:dyDescent="0.25">
      <c r="A88" s="1">
        <v>13000</v>
      </c>
      <c r="B88">
        <v>800</v>
      </c>
      <c r="C88">
        <f t="shared" si="13"/>
        <v>16828.478964401296</v>
      </c>
      <c r="D88">
        <v>820</v>
      </c>
      <c r="E88">
        <f t="shared" si="14"/>
        <v>16729.441305712495</v>
      </c>
      <c r="F88">
        <v>840</v>
      </c>
      <c r="G88">
        <f t="shared" si="15"/>
        <v>16636.197440585009</v>
      </c>
      <c r="H88">
        <v>812</v>
      </c>
      <c r="I88">
        <f t="shared" si="16"/>
        <v>16768.331427119076</v>
      </c>
      <c r="J88">
        <v>794</v>
      </c>
      <c r="K88">
        <f t="shared" si="17"/>
        <v>16859.401541879</v>
      </c>
      <c r="L88">
        <v>810</v>
      </c>
      <c r="M88">
        <f t="shared" si="18"/>
        <v>16778.202676864243</v>
      </c>
      <c r="N88">
        <v>0</v>
      </c>
      <c r="O88">
        <f t="shared" si="19"/>
        <v>0</v>
      </c>
    </row>
    <row r="89" spans="1:15" x14ac:dyDescent="0.25">
      <c r="A89" s="1">
        <v>14000</v>
      </c>
      <c r="B89">
        <v>790</v>
      </c>
      <c r="C89">
        <f t="shared" si="13"/>
        <v>18178.829717291257</v>
      </c>
      <c r="D89">
        <v>810</v>
      </c>
      <c r="E89">
        <f t="shared" si="14"/>
        <v>18068.833652007648</v>
      </c>
      <c r="F89">
        <v>835</v>
      </c>
      <c r="G89">
        <f t="shared" si="15"/>
        <v>17940.454266421119</v>
      </c>
      <c r="H89">
        <v>808</v>
      </c>
      <c r="I89">
        <f t="shared" si="16"/>
        <v>18079.529471934537</v>
      </c>
      <c r="J89">
        <v>798</v>
      </c>
      <c r="K89">
        <f t="shared" si="17"/>
        <v>18134.008570315546</v>
      </c>
      <c r="L89">
        <v>820</v>
      </c>
      <c r="M89">
        <f t="shared" si="18"/>
        <v>18016.321406151917</v>
      </c>
      <c r="N89">
        <v>0</v>
      </c>
      <c r="O89">
        <f t="shared" si="19"/>
        <v>0</v>
      </c>
    </row>
    <row r="90" spans="1:15" x14ac:dyDescent="0.25">
      <c r="A90" s="1">
        <v>15000</v>
      </c>
      <c r="B90">
        <v>780</v>
      </c>
      <c r="C90">
        <f t="shared" si="13"/>
        <v>19539.078156312626</v>
      </c>
      <c r="D90">
        <v>800</v>
      </c>
      <c r="E90">
        <f t="shared" si="14"/>
        <v>19417.475728155339</v>
      </c>
      <c r="F90">
        <v>830</v>
      </c>
      <c r="G90">
        <f t="shared" si="15"/>
        <v>19248.608534322822</v>
      </c>
      <c r="H90">
        <v>804</v>
      </c>
      <c r="I90">
        <f t="shared" si="16"/>
        <v>19394.056348900041</v>
      </c>
      <c r="J90">
        <v>800</v>
      </c>
      <c r="K90">
        <f t="shared" si="17"/>
        <v>19417.475728155339</v>
      </c>
      <c r="L90">
        <v>830</v>
      </c>
      <c r="M90">
        <f t="shared" si="18"/>
        <v>19248.608534322822</v>
      </c>
      <c r="N90">
        <v>0</v>
      </c>
      <c r="O90">
        <f t="shared" si="19"/>
        <v>0</v>
      </c>
    </row>
    <row r="91" spans="1:15" x14ac:dyDescent="0.25">
      <c r="A91" s="1">
        <v>16000</v>
      </c>
      <c r="B91">
        <v>770</v>
      </c>
      <c r="C91">
        <f t="shared" si="13"/>
        <v>20909.708078750849</v>
      </c>
      <c r="D91">
        <v>790</v>
      </c>
      <c r="E91">
        <f t="shared" si="14"/>
        <v>20775.805391190006</v>
      </c>
      <c r="F91">
        <v>825</v>
      </c>
      <c r="G91">
        <f t="shared" si="15"/>
        <v>20560.747663551403</v>
      </c>
      <c r="H91">
        <v>800</v>
      </c>
      <c r="I91">
        <f t="shared" si="16"/>
        <v>20711.974110032363</v>
      </c>
      <c r="J91">
        <v>800</v>
      </c>
      <c r="K91">
        <f t="shared" si="17"/>
        <v>20711.974110032363</v>
      </c>
      <c r="L91">
        <v>840</v>
      </c>
      <c r="M91">
        <f t="shared" si="18"/>
        <v>20475.319926873857</v>
      </c>
      <c r="N91">
        <v>0</v>
      </c>
      <c r="O91">
        <f t="shared" si="19"/>
        <v>0</v>
      </c>
    </row>
    <row r="92" spans="1:15" x14ac:dyDescent="0.25">
      <c r="A92" s="1">
        <v>17000</v>
      </c>
      <c r="B92">
        <v>760</v>
      </c>
      <c r="C92">
        <f t="shared" si="13"/>
        <v>22291.235334713594</v>
      </c>
      <c r="D92">
        <v>780</v>
      </c>
      <c r="E92">
        <f t="shared" si="14"/>
        <v>22144.288577154308</v>
      </c>
      <c r="F92">
        <v>820</v>
      </c>
      <c r="G92">
        <f t="shared" si="15"/>
        <v>21876.961707470182</v>
      </c>
      <c r="H92">
        <v>796</v>
      </c>
      <c r="I92">
        <f t="shared" si="16"/>
        <v>22033.346359254916</v>
      </c>
      <c r="J92">
        <v>796</v>
      </c>
      <c r="K92">
        <f t="shared" si="17"/>
        <v>22033.346359254916</v>
      </c>
      <c r="L92">
        <v>845</v>
      </c>
      <c r="M92">
        <f t="shared" si="18"/>
        <v>21725.650332728375</v>
      </c>
      <c r="N92">
        <v>0</v>
      </c>
      <c r="O92">
        <f t="shared" si="19"/>
        <v>0</v>
      </c>
    </row>
    <row r="93" spans="1:15" x14ac:dyDescent="0.25">
      <c r="A93" s="1">
        <v>18000</v>
      </c>
      <c r="B93">
        <v>750</v>
      </c>
      <c r="C93">
        <f t="shared" si="13"/>
        <v>23684.21052631579</v>
      </c>
      <c r="D93">
        <v>770</v>
      </c>
      <c r="E93">
        <f t="shared" si="14"/>
        <v>23523.421588594709</v>
      </c>
      <c r="F93">
        <v>815</v>
      </c>
      <c r="G93">
        <f t="shared" si="15"/>
        <v>23197.343453510439</v>
      </c>
      <c r="H93">
        <v>792</v>
      </c>
      <c r="I93">
        <f t="shared" si="16"/>
        <v>23358.238301219037</v>
      </c>
      <c r="J93">
        <v>792</v>
      </c>
      <c r="K93">
        <f t="shared" si="17"/>
        <v>23358.238301219037</v>
      </c>
      <c r="L93">
        <v>847</v>
      </c>
      <c r="M93">
        <f t="shared" si="18"/>
        <v>22991.313789359392</v>
      </c>
      <c r="N93">
        <v>0</v>
      </c>
      <c r="O93">
        <f t="shared" si="19"/>
        <v>0</v>
      </c>
    </row>
    <row r="94" spans="1:15" x14ac:dyDescent="0.25">
      <c r="A94" s="1">
        <v>19000</v>
      </c>
      <c r="F94">
        <v>810</v>
      </c>
      <c r="G94">
        <f t="shared" si="15"/>
        <v>24521.988527724665</v>
      </c>
      <c r="H94">
        <v>788</v>
      </c>
      <c r="I94">
        <f t="shared" si="16"/>
        <v>24686.71679197995</v>
      </c>
      <c r="J94">
        <v>788</v>
      </c>
      <c r="K94">
        <f t="shared" si="17"/>
        <v>24686.71679197995</v>
      </c>
      <c r="L94">
        <v>850</v>
      </c>
      <c r="M94">
        <f t="shared" si="18"/>
        <v>24249.249249249249</v>
      </c>
      <c r="N94">
        <v>0</v>
      </c>
      <c r="O94">
        <f t="shared" si="19"/>
        <v>0</v>
      </c>
    </row>
    <row r="95" spans="1:15" x14ac:dyDescent="0.25">
      <c r="A95" s="1">
        <v>20000</v>
      </c>
      <c r="F95">
        <v>800</v>
      </c>
      <c r="G95">
        <f t="shared" si="15"/>
        <v>25889.967637540456</v>
      </c>
      <c r="H95">
        <v>784</v>
      </c>
      <c r="I95">
        <f t="shared" si="16"/>
        <v>26018.850391610249</v>
      </c>
      <c r="J95">
        <v>784</v>
      </c>
      <c r="K95">
        <f t="shared" si="17"/>
        <v>26018.850391610249</v>
      </c>
      <c r="L95">
        <v>850</v>
      </c>
      <c r="M95">
        <f t="shared" si="18"/>
        <v>25525.525525525525</v>
      </c>
      <c r="N95">
        <v>0</v>
      </c>
      <c r="O95">
        <f t="shared" si="19"/>
        <v>0</v>
      </c>
    </row>
    <row r="96" spans="1:15" x14ac:dyDescent="0.25">
      <c r="A96" s="1">
        <v>21000</v>
      </c>
      <c r="F96">
        <v>790</v>
      </c>
      <c r="G96">
        <f t="shared" si="15"/>
        <v>27268.244575936886</v>
      </c>
      <c r="H96">
        <v>780</v>
      </c>
      <c r="I96">
        <f t="shared" si="16"/>
        <v>27354.709418837676</v>
      </c>
      <c r="J96">
        <v>782</v>
      </c>
      <c r="K96">
        <f t="shared" si="17"/>
        <v>27337.195365561325</v>
      </c>
      <c r="L96">
        <v>845</v>
      </c>
      <c r="M96">
        <f t="shared" si="18"/>
        <v>26837.568058076227</v>
      </c>
      <c r="N96">
        <v>0</v>
      </c>
      <c r="O96">
        <f t="shared" si="19"/>
        <v>0</v>
      </c>
    </row>
    <row r="97" spans="1:15" x14ac:dyDescent="0.25">
      <c r="A97" s="1">
        <v>22000</v>
      </c>
      <c r="H97">
        <v>776</v>
      </c>
      <c r="I97">
        <f t="shared" si="16"/>
        <v>28694.36600779885</v>
      </c>
      <c r="J97">
        <v>778</v>
      </c>
      <c r="K97">
        <f t="shared" si="17"/>
        <v>28675.78072644418</v>
      </c>
      <c r="L97">
        <v>840</v>
      </c>
      <c r="M97">
        <f t="shared" si="18"/>
        <v>28153.564899451554</v>
      </c>
      <c r="N97">
        <v>0</v>
      </c>
      <c r="O97">
        <f t="shared" si="19"/>
        <v>0</v>
      </c>
    </row>
    <row r="98" spans="1:15" x14ac:dyDescent="0.25">
      <c r="A98" s="1">
        <v>23000</v>
      </c>
      <c r="H98">
        <v>772</v>
      </c>
      <c r="I98">
        <f t="shared" si="16"/>
        <v>30037.894167005008</v>
      </c>
      <c r="J98">
        <v>774</v>
      </c>
      <c r="K98">
        <f t="shared" si="17"/>
        <v>30018.211250505872</v>
      </c>
      <c r="L98">
        <v>835</v>
      </c>
      <c r="M98">
        <f t="shared" si="18"/>
        <v>29473.603437691836</v>
      </c>
      <c r="N98">
        <v>0</v>
      </c>
      <c r="O98">
        <f t="shared" si="19"/>
        <v>0</v>
      </c>
    </row>
    <row r="99" spans="1:15" x14ac:dyDescent="0.25">
      <c r="A99" s="1">
        <v>24000</v>
      </c>
      <c r="J99">
        <v>770</v>
      </c>
      <c r="K99">
        <f t="shared" si="17"/>
        <v>31364.562118126276</v>
      </c>
      <c r="L99">
        <v>830</v>
      </c>
      <c r="M99">
        <f t="shared" si="18"/>
        <v>30797.773654916513</v>
      </c>
      <c r="N99">
        <v>0</v>
      </c>
      <c r="O99">
        <f t="shared" si="19"/>
        <v>0</v>
      </c>
    </row>
    <row r="100" spans="1:15" x14ac:dyDescent="0.25">
      <c r="A100" s="1">
        <v>25000</v>
      </c>
      <c r="J100">
        <v>766</v>
      </c>
      <c r="K100">
        <f t="shared" si="17"/>
        <v>32714.910482438157</v>
      </c>
      <c r="L100">
        <v>821</v>
      </c>
      <c r="M100">
        <f t="shared" si="18"/>
        <v>32162.780493920021</v>
      </c>
      <c r="N100">
        <v>0</v>
      </c>
      <c r="O100">
        <f t="shared" si="19"/>
        <v>0</v>
      </c>
    </row>
    <row r="101" spans="1:15" x14ac:dyDescent="0.25">
      <c r="A101" s="1">
        <v>26000</v>
      </c>
      <c r="J101">
        <v>762</v>
      </c>
      <c r="K101">
        <f t="shared" si="17"/>
        <v>34069.33553446141</v>
      </c>
      <c r="L101">
        <v>812</v>
      </c>
      <c r="M101">
        <f t="shared" si="18"/>
        <v>33536.662854238151</v>
      </c>
      <c r="N101">
        <v>0</v>
      </c>
      <c r="O101">
        <f t="shared" si="19"/>
        <v>0</v>
      </c>
    </row>
    <row r="102" spans="1:15" x14ac:dyDescent="0.25">
      <c r="A102" s="1">
        <v>27000</v>
      </c>
      <c r="L102">
        <v>802</v>
      </c>
      <c r="M102">
        <f t="shared" si="18"/>
        <v>34930.313588850178</v>
      </c>
      <c r="N102">
        <v>0</v>
      </c>
      <c r="O102">
        <f t="shared" si="19"/>
        <v>0</v>
      </c>
    </row>
    <row r="103" spans="1:15" x14ac:dyDescent="0.25">
      <c r="A103" s="1">
        <v>28000</v>
      </c>
      <c r="L103">
        <v>792</v>
      </c>
      <c r="M103">
        <f t="shared" si="18"/>
        <v>36335.037357451831</v>
      </c>
      <c r="N103">
        <v>0</v>
      </c>
      <c r="O103">
        <f t="shared" si="19"/>
        <v>0</v>
      </c>
    </row>
    <row r="104" spans="1:15" x14ac:dyDescent="0.25">
      <c r="A104" s="1">
        <v>29000</v>
      </c>
      <c r="L104">
        <v>781</v>
      </c>
      <c r="M104">
        <f t="shared" si="18"/>
        <v>37763.438708816859</v>
      </c>
      <c r="N104">
        <v>0</v>
      </c>
      <c r="O104">
        <f t="shared" si="19"/>
        <v>0</v>
      </c>
    </row>
    <row r="105" spans="1:15" x14ac:dyDescent="0.25">
      <c r="A105" s="1">
        <v>30000</v>
      </c>
      <c r="L105">
        <v>770</v>
      </c>
      <c r="M105">
        <f t="shared" si="18"/>
        <v>39205.702647657847</v>
      </c>
      <c r="N105">
        <v>0</v>
      </c>
      <c r="O105">
        <f t="shared" si="19"/>
        <v>0</v>
      </c>
    </row>
    <row r="107" spans="1:15" x14ac:dyDescent="0.25">
      <c r="A107" t="s">
        <v>9</v>
      </c>
      <c r="C107">
        <v>6000</v>
      </c>
      <c r="E107">
        <v>6000</v>
      </c>
      <c r="G107">
        <v>6000</v>
      </c>
      <c r="I107">
        <v>6000</v>
      </c>
      <c r="K107">
        <v>7000</v>
      </c>
      <c r="M107">
        <v>9000</v>
      </c>
      <c r="O107">
        <v>0</v>
      </c>
    </row>
    <row r="108" spans="1:15" x14ac:dyDescent="0.25">
      <c r="A108" t="s">
        <v>10</v>
      </c>
      <c r="C108">
        <v>18000</v>
      </c>
      <c r="E108">
        <v>18000</v>
      </c>
      <c r="G108">
        <v>21000</v>
      </c>
      <c r="I108">
        <v>23000</v>
      </c>
      <c r="K108">
        <v>26000</v>
      </c>
      <c r="M108">
        <v>30000</v>
      </c>
      <c r="O108">
        <v>0</v>
      </c>
    </row>
    <row r="109" spans="1:15" x14ac:dyDescent="0.25">
      <c r="A109" t="s">
        <v>11</v>
      </c>
      <c r="C109">
        <v>7618</v>
      </c>
      <c r="E109">
        <v>7618</v>
      </c>
      <c r="G109">
        <v>7618</v>
      </c>
      <c r="I109">
        <v>7678</v>
      </c>
      <c r="K109">
        <v>9148</v>
      </c>
      <c r="M109">
        <v>11762</v>
      </c>
      <c r="O109">
        <v>0</v>
      </c>
    </row>
    <row r="110" spans="1:15" x14ac:dyDescent="0.25">
      <c r="A110" t="s">
        <v>12</v>
      </c>
      <c r="C110">
        <v>23684</v>
      </c>
      <c r="E110">
        <v>23523</v>
      </c>
      <c r="G110">
        <v>27268</v>
      </c>
      <c r="I110">
        <v>30038</v>
      </c>
      <c r="K110">
        <v>34069</v>
      </c>
      <c r="M110">
        <v>39205</v>
      </c>
      <c r="O110">
        <v>0</v>
      </c>
    </row>
    <row r="111" spans="1:15" x14ac:dyDescent="0.25">
      <c r="A111" s="2" t="s">
        <v>14</v>
      </c>
      <c r="B111" s="2"/>
      <c r="C111" s="3">
        <v>8000</v>
      </c>
      <c r="E111" s="3">
        <v>8000</v>
      </c>
      <c r="G111" s="3">
        <v>8000</v>
      </c>
      <c r="I111" s="3">
        <v>8000</v>
      </c>
      <c r="K111" s="3">
        <v>9500</v>
      </c>
      <c r="M111" s="3">
        <v>12000</v>
      </c>
      <c r="O111" s="3">
        <v>0</v>
      </c>
    </row>
    <row r="112" spans="1:15" x14ac:dyDescent="0.25">
      <c r="A112" s="2"/>
      <c r="B112" s="2"/>
      <c r="C112" s="3"/>
      <c r="E112" s="3"/>
      <c r="G112" s="3"/>
      <c r="I112" s="3"/>
      <c r="K112" s="3"/>
      <c r="M112" s="3"/>
      <c r="O112" s="3"/>
    </row>
    <row r="113" spans="1:15" x14ac:dyDescent="0.25">
      <c r="A113" s="2" t="s">
        <v>16</v>
      </c>
      <c r="B113" s="2"/>
      <c r="C113" s="3">
        <v>8000</v>
      </c>
      <c r="E113" s="3">
        <v>8000</v>
      </c>
      <c r="G113" s="3">
        <v>8000</v>
      </c>
      <c r="I113" s="3">
        <v>8000</v>
      </c>
      <c r="K113" s="3">
        <v>9500</v>
      </c>
      <c r="M113" s="3">
        <v>12000</v>
      </c>
      <c r="O113" s="3">
        <v>0</v>
      </c>
    </row>
    <row r="114" spans="1:15" x14ac:dyDescent="0.25">
      <c r="A114" s="2"/>
      <c r="B114" s="2"/>
      <c r="C114" s="3"/>
      <c r="E114" s="3"/>
      <c r="G114" s="3"/>
      <c r="I114" s="3"/>
      <c r="K114" s="3"/>
      <c r="M114" s="3"/>
      <c r="O114" s="3"/>
    </row>
    <row r="115" spans="1:15" x14ac:dyDescent="0.25">
      <c r="A115" s="2" t="s">
        <v>13</v>
      </c>
      <c r="B115" s="2"/>
      <c r="C115" s="3">
        <v>9500</v>
      </c>
      <c r="E115" s="3">
        <v>9500</v>
      </c>
      <c r="G115" s="3">
        <v>9500</v>
      </c>
      <c r="I115" s="3">
        <v>9500</v>
      </c>
      <c r="K115" s="3">
        <v>11000</v>
      </c>
      <c r="M115" s="3">
        <v>13500</v>
      </c>
      <c r="O115" s="3">
        <v>0</v>
      </c>
    </row>
    <row r="116" spans="1:15" x14ac:dyDescent="0.25">
      <c r="A116" s="2"/>
      <c r="B116" s="2"/>
      <c r="C116" s="3"/>
      <c r="E116" s="3"/>
      <c r="G116" s="3"/>
      <c r="I116" s="3"/>
      <c r="K116" s="3"/>
      <c r="M116" s="3"/>
      <c r="O116" s="3"/>
    </row>
    <row r="117" spans="1:15" x14ac:dyDescent="0.25">
      <c r="A117" s="2" t="s">
        <v>15</v>
      </c>
      <c r="B117" s="2"/>
      <c r="C117" s="3">
        <v>11000</v>
      </c>
      <c r="E117" s="3">
        <v>11000</v>
      </c>
      <c r="G117" s="3">
        <v>11000</v>
      </c>
      <c r="I117" s="3">
        <v>11000</v>
      </c>
      <c r="K117" s="3">
        <v>12500</v>
      </c>
      <c r="M117" s="3">
        <v>15000</v>
      </c>
      <c r="O117" s="3">
        <v>0</v>
      </c>
    </row>
    <row r="118" spans="1:15" x14ac:dyDescent="0.25">
      <c r="A118" s="2"/>
      <c r="B118" s="2"/>
      <c r="C118" s="3"/>
      <c r="E118" s="3"/>
      <c r="G118" s="3"/>
      <c r="I118" s="3"/>
      <c r="K118" s="3"/>
      <c r="M118" s="3"/>
      <c r="O118" s="3"/>
    </row>
  </sheetData>
  <mergeCells count="169">
    <mergeCell ref="K32:K33"/>
    <mergeCell ref="O32:O33"/>
    <mergeCell ref="M32:M33"/>
    <mergeCell ref="O117:O118"/>
    <mergeCell ref="A26:B27"/>
    <mergeCell ref="A28:B29"/>
    <mergeCell ref="A30:B31"/>
    <mergeCell ref="A32:B33"/>
    <mergeCell ref="C26:C27"/>
    <mergeCell ref="E26:E27"/>
    <mergeCell ref="G26:G27"/>
    <mergeCell ref="I26:I27"/>
    <mergeCell ref="M26:M27"/>
    <mergeCell ref="K26:K27"/>
    <mergeCell ref="O26:O27"/>
    <mergeCell ref="C28:C29"/>
    <mergeCell ref="E28:E29"/>
    <mergeCell ref="G28:G29"/>
    <mergeCell ref="I28:I29"/>
    <mergeCell ref="E117:E118"/>
    <mergeCell ref="G117:G118"/>
    <mergeCell ref="I117:I118"/>
    <mergeCell ref="K117:K118"/>
    <mergeCell ref="M117:M118"/>
    <mergeCell ref="O113:O114"/>
    <mergeCell ref="C115:C116"/>
    <mergeCell ref="E115:E116"/>
    <mergeCell ref="A111:B112"/>
    <mergeCell ref="A113:B114"/>
    <mergeCell ref="A115:B116"/>
    <mergeCell ref="G115:G116"/>
    <mergeCell ref="I115:I116"/>
    <mergeCell ref="K115:K116"/>
    <mergeCell ref="M115:M116"/>
    <mergeCell ref="O115:O116"/>
    <mergeCell ref="E113:E114"/>
    <mergeCell ref="G113:G114"/>
    <mergeCell ref="I113:I114"/>
    <mergeCell ref="K113:K114"/>
    <mergeCell ref="M113:M114"/>
    <mergeCell ref="I67:I68"/>
    <mergeCell ref="K67:K68"/>
    <mergeCell ref="M67:M68"/>
    <mergeCell ref="E65:E66"/>
    <mergeCell ref="E111:E112"/>
    <mergeCell ref="G111:G112"/>
    <mergeCell ref="I111:I112"/>
    <mergeCell ref="K111:K112"/>
    <mergeCell ref="O111:O112"/>
    <mergeCell ref="M111:M112"/>
    <mergeCell ref="C65:C66"/>
    <mergeCell ref="C67:C68"/>
    <mergeCell ref="C69:C70"/>
    <mergeCell ref="C71:C72"/>
    <mergeCell ref="A117:B118"/>
    <mergeCell ref="C111:C112"/>
    <mergeCell ref="C113:C114"/>
    <mergeCell ref="C117:C118"/>
    <mergeCell ref="O65:O66"/>
    <mergeCell ref="O67:O68"/>
    <mergeCell ref="O69:O70"/>
    <mergeCell ref="O71:O72"/>
    <mergeCell ref="E69:E70"/>
    <mergeCell ref="G69:G70"/>
    <mergeCell ref="I69:I70"/>
    <mergeCell ref="K69:K70"/>
    <mergeCell ref="M69:M70"/>
    <mergeCell ref="I71:I72"/>
    <mergeCell ref="G71:G72"/>
    <mergeCell ref="E71:E72"/>
    <mergeCell ref="K71:K72"/>
    <mergeCell ref="M71:M72"/>
    <mergeCell ref="E67:E68"/>
    <mergeCell ref="G67:G68"/>
    <mergeCell ref="A1:O1"/>
    <mergeCell ref="A3:A6"/>
    <mergeCell ref="C5:C6"/>
    <mergeCell ref="E5:E6"/>
    <mergeCell ref="G5:G6"/>
    <mergeCell ref="B5:B6"/>
    <mergeCell ref="F5:F6"/>
    <mergeCell ref="H5:H6"/>
    <mergeCell ref="J5:J6"/>
    <mergeCell ref="L5:L6"/>
    <mergeCell ref="N5:N6"/>
    <mergeCell ref="I5:I6"/>
    <mergeCell ref="K5:K6"/>
    <mergeCell ref="M5:M6"/>
    <mergeCell ref="D5:D6"/>
    <mergeCell ref="B3:O3"/>
    <mergeCell ref="H4:I4"/>
    <mergeCell ref="J4:K4"/>
    <mergeCell ref="L4:M4"/>
    <mergeCell ref="N4:O4"/>
    <mergeCell ref="A2:O2"/>
    <mergeCell ref="B4:C4"/>
    <mergeCell ref="D4:E4"/>
    <mergeCell ref="F4:G4"/>
    <mergeCell ref="O5:O6"/>
    <mergeCell ref="A36:O36"/>
    <mergeCell ref="A37:A40"/>
    <mergeCell ref="B37:O37"/>
    <mergeCell ref="B38:C38"/>
    <mergeCell ref="D38:E38"/>
    <mergeCell ref="F38:G38"/>
    <mergeCell ref="H38:I38"/>
    <mergeCell ref="J38:K38"/>
    <mergeCell ref="L38:M38"/>
    <mergeCell ref="K28:K29"/>
    <mergeCell ref="M28:M29"/>
    <mergeCell ref="O28:O29"/>
    <mergeCell ref="C30:C31"/>
    <mergeCell ref="E30:E31"/>
    <mergeCell ref="G30:G31"/>
    <mergeCell ref="I30:I31"/>
    <mergeCell ref="K30:K31"/>
    <mergeCell ref="M30:M31"/>
    <mergeCell ref="O30:O31"/>
    <mergeCell ref="C32:C33"/>
    <mergeCell ref="E32:E33"/>
    <mergeCell ref="G32:G33"/>
    <mergeCell ref="I32:I33"/>
    <mergeCell ref="A76:O76"/>
    <mergeCell ref="N38:O38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A65:B66"/>
    <mergeCell ref="A67:B68"/>
    <mergeCell ref="K39:K40"/>
    <mergeCell ref="L39:L40"/>
    <mergeCell ref="M39:M40"/>
    <mergeCell ref="N39:N40"/>
    <mergeCell ref="O39:O40"/>
    <mergeCell ref="G65:G66"/>
    <mergeCell ref="I65:I66"/>
    <mergeCell ref="K65:K66"/>
    <mergeCell ref="M65:M66"/>
    <mergeCell ref="A71:B72"/>
    <mergeCell ref="A69:B70"/>
    <mergeCell ref="H79:H80"/>
    <mergeCell ref="A77:A80"/>
    <mergeCell ref="B77:O77"/>
    <mergeCell ref="B78:C78"/>
    <mergeCell ref="D78:E78"/>
    <mergeCell ref="F78:G78"/>
    <mergeCell ref="H78:I78"/>
    <mergeCell ref="J78:K78"/>
    <mergeCell ref="L78:M78"/>
    <mergeCell ref="N78:O78"/>
    <mergeCell ref="B79:B80"/>
    <mergeCell ref="C79:C80"/>
    <mergeCell ref="D79:D80"/>
    <mergeCell ref="E79:E80"/>
    <mergeCell ref="F79:F80"/>
    <mergeCell ref="G79:G80"/>
    <mergeCell ref="O79:O80"/>
    <mergeCell ref="I79:I80"/>
    <mergeCell ref="J79:J80"/>
    <mergeCell ref="K79:K80"/>
    <mergeCell ref="L79:L80"/>
    <mergeCell ref="M79:M80"/>
    <mergeCell ref="N79:N80"/>
  </mergeCell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2023-09-13T18:01:15Z</dcterms:modified>
</cp:coreProperties>
</file>