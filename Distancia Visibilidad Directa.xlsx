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5255" windowHeight="6150" activeTab="6"/>
  </bookViews>
  <sheets>
    <sheet name="Gráfico5" sheetId="8" r:id="rId1"/>
    <sheet name="Gráfico4" sheetId="7" r:id="rId2"/>
    <sheet name="Gráfico1" sheetId="4" r:id="rId3"/>
    <sheet name="Gráfico2" sheetId="5" r:id="rId4"/>
    <sheet name="Hoja1" sheetId="1" r:id="rId5"/>
    <sheet name="Gráfico3" sheetId="6" r:id="rId6"/>
    <sheet name="Hoja2" sheetId="2" r:id="rId7"/>
    <sheet name="Hoja3" sheetId="3" r:id="rId8"/>
  </sheets>
  <calcPr calcId="124519"/>
</workbook>
</file>

<file path=xl/calcChain.xml><?xml version="1.0" encoding="utf-8"?>
<calcChain xmlns="http://schemas.openxmlformats.org/spreadsheetml/2006/main">
  <c r="H37" i="2"/>
  <c r="H7"/>
  <c r="J3" i="1"/>
  <c r="S7"/>
  <c r="S8"/>
  <c r="S9"/>
  <c r="S6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5"/>
  <c r="S4"/>
  <c r="P21"/>
  <c r="P34"/>
  <c r="P33"/>
  <c r="P32"/>
  <c r="P31"/>
  <c r="P30"/>
  <c r="P28"/>
  <c r="P29"/>
  <c r="P27"/>
  <c r="P26"/>
  <c r="P25"/>
  <c r="P24"/>
  <c r="P23"/>
  <c r="P22"/>
  <c r="P20"/>
  <c r="P19"/>
  <c r="P18"/>
  <c r="P17"/>
  <c r="P16"/>
  <c r="P15"/>
  <c r="P14"/>
  <c r="P13"/>
  <c r="P12"/>
  <c r="P8"/>
  <c r="P4"/>
  <c r="N4"/>
  <c r="N22"/>
  <c r="N20"/>
  <c r="N19"/>
  <c r="N18"/>
  <c r="N17"/>
  <c r="N16"/>
  <c r="N15"/>
  <c r="N14"/>
  <c r="N13"/>
  <c r="N12"/>
  <c r="N8"/>
  <c r="K8"/>
  <c r="K9"/>
  <c r="K4"/>
  <c r="K3"/>
  <c r="K7"/>
  <c r="L17"/>
  <c r="L16"/>
  <c r="L15"/>
  <c r="L18"/>
  <c r="K18"/>
  <c r="K17"/>
  <c r="K16"/>
  <c r="K15"/>
  <c r="K13"/>
  <c r="K14"/>
  <c r="K12"/>
  <c r="E18"/>
  <c r="J18" s="1"/>
  <c r="E17"/>
  <c r="I17" s="1"/>
  <c r="E16"/>
  <c r="J16" s="1"/>
  <c r="G4"/>
  <c r="G5"/>
  <c r="B5" s="1"/>
  <c r="G6"/>
  <c r="G7"/>
  <c r="G8"/>
  <c r="G9"/>
  <c r="C9" s="1"/>
  <c r="G10"/>
  <c r="G11"/>
  <c r="G12"/>
  <c r="G13"/>
  <c r="C13" s="1"/>
  <c r="G14"/>
  <c r="G15"/>
  <c r="G16"/>
  <c r="G17"/>
  <c r="G18"/>
  <c r="G3"/>
  <c r="E5"/>
  <c r="E6"/>
  <c r="B6" s="1"/>
  <c r="E7"/>
  <c r="J7" s="1"/>
  <c r="E8"/>
  <c r="C8" s="1"/>
  <c r="E9"/>
  <c r="J9" s="1"/>
  <c r="E10"/>
  <c r="B10" s="1"/>
  <c r="E11"/>
  <c r="C11" s="1"/>
  <c r="E12"/>
  <c r="C12" s="1"/>
  <c r="E13"/>
  <c r="J13" s="1"/>
  <c r="E14"/>
  <c r="C14" s="1"/>
  <c r="E15"/>
  <c r="C15" s="1"/>
  <c r="E4"/>
  <c r="C4" s="1"/>
  <c r="E3"/>
  <c r="J4" l="1"/>
  <c r="I16"/>
  <c r="J15"/>
  <c r="J10"/>
  <c r="J6"/>
  <c r="I14"/>
  <c r="J17"/>
  <c r="J14"/>
  <c r="C17"/>
  <c r="I3"/>
  <c r="I5"/>
  <c r="J12"/>
  <c r="I13"/>
  <c r="J11"/>
  <c r="J8"/>
  <c r="J5"/>
  <c r="I15"/>
  <c r="C18"/>
  <c r="I12"/>
  <c r="I8"/>
  <c r="B4"/>
  <c r="B18"/>
  <c r="I4"/>
  <c r="I9"/>
  <c r="C7"/>
  <c r="C3"/>
  <c r="I10"/>
  <c r="I18"/>
  <c r="I6"/>
  <c r="I11"/>
  <c r="I7"/>
  <c r="C16"/>
  <c r="B17"/>
  <c r="B13"/>
  <c r="B9"/>
  <c r="C5"/>
  <c r="C10"/>
  <c r="B7"/>
  <c r="B16"/>
  <c r="B12"/>
  <c r="B8"/>
  <c r="B14"/>
  <c r="C6"/>
  <c r="B3"/>
  <c r="B15"/>
  <c r="B11"/>
</calcChain>
</file>

<file path=xl/sharedStrings.xml><?xml version="1.0" encoding="utf-8"?>
<sst xmlns="http://schemas.openxmlformats.org/spreadsheetml/2006/main" count="153" uniqueCount="67">
  <si>
    <t>Distancia de Visibilidad Directa en las Estaciones de radiolocaliazción</t>
  </si>
  <si>
    <t>N/o</t>
  </si>
  <si>
    <t>Coeficiente de realización de la Visib. Direc.</t>
  </si>
  <si>
    <t>Ángulo de Inclinación del Eje Focal Antena en minutos</t>
  </si>
  <si>
    <t>Ángulo de Inclinación</t>
  </si>
  <si>
    <t>Distancia de Visibilidad Directa con coeficiente de curvatura 4,1 (Kms.)</t>
  </si>
  <si>
    <t>Distancia de Visibilidad Directa con coeficiente de curvatura  4,12 (Kms.)</t>
  </si>
  <si>
    <t>Altura de la Antena (mts)</t>
  </si>
  <si>
    <t>Raíz cuadrada de altura de la antena (mts.)</t>
  </si>
  <si>
    <t>Altura de vuelo de la aeronave (mts.)</t>
  </si>
  <si>
    <t>Raíz cuadrada de la altura de vuelo de la aeronave (mts.)</t>
  </si>
  <si>
    <t>Distancia de Visibilidad Directa con coeficientes variables (1) (Kms.)</t>
  </si>
  <si>
    <t>Distancia de Visibilidad Directa con coeficientes variables (2) (Kms.)</t>
  </si>
  <si>
    <t>Altura para el Ángulo de Inclinación (mts.)</t>
  </si>
  <si>
    <t>Distancia para el Ángulo de Inclinación (Kms.)</t>
  </si>
  <si>
    <t>ε= 10 min</t>
  </si>
  <si>
    <t>ε= 20 min</t>
  </si>
  <si>
    <t>ε= 30 min</t>
  </si>
  <si>
    <t>ε= 40 min</t>
  </si>
  <si>
    <t>ε= 50 min</t>
  </si>
  <si>
    <t>ε= 1 grado</t>
  </si>
  <si>
    <t>ε= 2 grados</t>
  </si>
  <si>
    <t>ε= 3 grados</t>
  </si>
  <si>
    <t xml:space="preserve">ε= 4 grados </t>
  </si>
  <si>
    <t>ε= 1,5 grados</t>
  </si>
  <si>
    <t>ε= 2,5 grados</t>
  </si>
  <si>
    <t>ε= 3,5 grados</t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</si>
  <si>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 xml:space="preserve">= </t>
    </r>
    <r>
      <rPr>
        <sz val="11"/>
        <color theme="1"/>
        <rFont val="Calibri"/>
        <family val="2"/>
        <scheme val="minor"/>
      </rPr>
      <t>4,5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</si>
  <si>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 xml:space="preserve">= </t>
    </r>
    <r>
      <rPr>
        <sz val="11"/>
        <color theme="1"/>
        <rFont val="Calibri"/>
        <family val="2"/>
        <scheme val="minor"/>
      </rPr>
      <t>5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</si>
  <si>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5</t>
    </r>
    <r>
      <rPr>
        <sz val="11"/>
        <color theme="1"/>
        <rFont val="Calibri"/>
        <family val="2"/>
        <scheme val="minor"/>
      </rPr>
      <t>,5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</si>
  <si>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6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</si>
  <si>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7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</si>
  <si>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8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</si>
  <si>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9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</si>
  <si>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10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</si>
  <si>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14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</si>
  <si>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20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</si>
  <si>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25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</si>
  <si>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27</t>
    </r>
    <r>
      <rPr>
        <sz val="11"/>
        <color theme="1"/>
        <rFont val="Calibri"/>
        <family val="2"/>
        <scheme val="minor"/>
      </rPr>
      <t xml:space="preserve"> grados</t>
    </r>
  </si>
  <si>
    <r>
      <rPr>
        <sz val="11"/>
        <color theme="1"/>
        <rFont val="Times New Roman"/>
        <family val="1"/>
      </rPr>
      <t>ε</t>
    </r>
    <r>
      <rPr>
        <sz val="11"/>
        <color theme="1"/>
        <rFont val="Calibri"/>
        <family val="2"/>
      </rPr>
      <t>= 30</t>
    </r>
    <r>
      <rPr>
        <sz val="11"/>
        <color theme="1"/>
        <rFont val="Calibri"/>
        <family val="2"/>
        <scheme val="minor"/>
      </rPr>
      <t xml:space="preserve"> grados</t>
    </r>
  </si>
  <si>
    <t>Marca de Escala por Altura para 1000 mts.</t>
  </si>
  <si>
    <t>Distancia</t>
  </si>
  <si>
    <t>Altura</t>
  </si>
  <si>
    <t>Tabla de Distancias Máximas de alcance de las Zonas Planas de Fuego y de las Zonas Planas de Destrucción.</t>
  </si>
  <si>
    <t>Tabla de las Distancias Máximas de las Zonas Planas de Fuego de las medios de Artillería Anti Aérea</t>
  </si>
  <si>
    <t>Calibre de las piezas en mm</t>
  </si>
  <si>
    <t>12,7</t>
  </si>
  <si>
    <t>14,5</t>
  </si>
  <si>
    <t>Altura de Vuelo de las Aerónaves en metros</t>
  </si>
  <si>
    <t>Dmáx</t>
  </si>
  <si>
    <t>Zona muerta</t>
  </si>
  <si>
    <t xml:space="preserve">Dmáx </t>
  </si>
  <si>
    <t>Altura de la pieza en mts</t>
  </si>
  <si>
    <t>Todas las distancias se expresan en metros</t>
  </si>
  <si>
    <t>Tabla de las Distancias Máximas de las Zonas Planas de Destrucción de los medios de cohetes anti aéreos</t>
  </si>
  <si>
    <t>Tipo de cohete</t>
  </si>
  <si>
    <t>C-1</t>
  </si>
  <si>
    <t>C-2</t>
  </si>
  <si>
    <t>C-3</t>
  </si>
  <si>
    <t>Iglá</t>
  </si>
  <si>
    <t>OCA_AKM</t>
  </si>
  <si>
    <t>C-10</t>
  </si>
  <si>
    <t>Cuadrado</t>
  </si>
  <si>
    <t>Pechora</t>
  </si>
  <si>
    <t>Volga</t>
  </si>
  <si>
    <t>Altura de la antena en metros</t>
  </si>
  <si>
    <t>Tabla de Distancias Máximas de alcance de las Zonas Planas de Fuego y de las Zonas Planas de Destrucción. Corregido después de calcular ZDR, para Vb=300 mts/seg.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</si>
</sst>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style val="7"/>
  <c:chart>
    <c:title>
      <c:tx>
        <c:rich>
          <a:bodyPr/>
          <a:lstStyle/>
          <a:p>
            <a:pPr>
              <a:defRPr/>
            </a:pPr>
            <a:r>
              <a:rPr lang="en-US"/>
              <a:t>Visibilidad Directa Potencial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8.9956307738238858E-2"/>
          <c:y val="1.2719892545120801E-2"/>
          <c:w val="0.72076024492445534"/>
          <c:h val="0.85986092838704753"/>
        </c:manualLayout>
      </c:layout>
      <c:scatterChart>
        <c:scatterStyle val="lineMarker"/>
        <c:ser>
          <c:idx val="3"/>
          <c:order val="0"/>
          <c:tx>
            <c:v>DVD K variable (2)</c:v>
          </c:tx>
          <c:spPr>
            <a:ln>
              <a:solidFill>
                <a:srgbClr val="00B050"/>
              </a:solidFill>
            </a:ln>
          </c:spPr>
          <c:xVal>
            <c:numRef>
              <c:f>Hoja1!$J$3:$J$18</c:f>
              <c:numCache>
                <c:formatCode>General</c:formatCode>
                <c:ptCount val="16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184.25200134598268</c:v>
                </c:pt>
                <c:pt idx="11">
                  <c:v>247.54309523798071</c:v>
                </c:pt>
                <c:pt idx="12">
                  <c:v>287.22044495474205</c:v>
                </c:pt>
                <c:pt idx="13">
                  <c:v>329.6</c:v>
                </c:pt>
                <c:pt idx="14">
                  <c:v>376.02759473208874</c:v>
                </c:pt>
                <c:pt idx="15">
                  <c:v>428.16295963102647</c:v>
                </c:pt>
              </c:numCache>
            </c:numRef>
          </c:xVal>
          <c:yVal>
            <c:numRef>
              <c:f>Hoja1!$F$3:$F$18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4000</c:v>
                </c:pt>
                <c:pt idx="12">
                  <c:v>6000</c:v>
                </c:pt>
                <c:pt idx="13">
                  <c:v>10000</c:v>
                </c:pt>
                <c:pt idx="14">
                  <c:v>17000</c:v>
                </c:pt>
                <c:pt idx="15">
                  <c:v>30000</c:v>
                </c:pt>
              </c:numCache>
            </c:numRef>
          </c:yVal>
        </c:ser>
        <c:ser>
          <c:idx val="4"/>
          <c:order val="1"/>
          <c:tx>
            <c:strRef>
              <c:f>Hoja1!$M$4</c:f>
              <c:strCache>
                <c:ptCount val="1"/>
                <c:pt idx="0">
                  <c:v>ε= 10 min</c:v>
                </c:pt>
              </c:strCache>
            </c:strRef>
          </c:tx>
          <c:spPr>
            <a:ln w="12700">
              <a:solidFill>
                <a:srgbClr val="00206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2036</c:v>
              </c:pt>
            </c:numLit>
          </c:yVal>
        </c:ser>
        <c:ser>
          <c:idx val="5"/>
          <c:order val="2"/>
          <c:tx>
            <c:strRef>
              <c:f>Hoja1!$M$8</c:f>
              <c:strCache>
                <c:ptCount val="1"/>
                <c:pt idx="0">
                  <c:v>ε= 20 min</c:v>
                </c:pt>
              </c:strCache>
            </c:strRef>
          </c:tx>
          <c:spPr>
            <a:ln w="12700">
              <a:solidFill>
                <a:srgbClr val="FF000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4072</c:v>
              </c:pt>
            </c:numLit>
          </c:yVal>
        </c:ser>
        <c:ser>
          <c:idx val="6"/>
          <c:order val="3"/>
          <c:tx>
            <c:strRef>
              <c:f>Hoja1!$M$12</c:f>
              <c:strCache>
                <c:ptCount val="1"/>
                <c:pt idx="0">
                  <c:v>ε= 30 min</c:v>
                </c:pt>
              </c:strCache>
            </c:strRef>
          </c:tx>
          <c:spPr>
            <a:ln w="12700">
              <a:solidFill>
                <a:schemeClr val="bg2">
                  <a:lumMod val="5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6108</c:v>
              </c:pt>
            </c:numLit>
          </c:yVal>
        </c:ser>
        <c:ser>
          <c:idx val="7"/>
          <c:order val="4"/>
          <c:tx>
            <c:strRef>
              <c:f>Hoja1!$M$13</c:f>
              <c:strCache>
                <c:ptCount val="1"/>
                <c:pt idx="0">
                  <c:v>ε= 40 min</c:v>
                </c:pt>
              </c:strCache>
            </c:strRef>
          </c:tx>
          <c:spPr>
            <a:ln w="12700">
              <a:solidFill>
                <a:schemeClr val="tx2">
                  <a:lumMod val="60000"/>
                  <a:lumOff val="4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8144</c:v>
              </c:pt>
            </c:numLit>
          </c:yVal>
        </c:ser>
        <c:ser>
          <c:idx val="8"/>
          <c:order val="5"/>
          <c:tx>
            <c:strRef>
              <c:f>Hoja1!$M$14</c:f>
              <c:strCache>
                <c:ptCount val="1"/>
                <c:pt idx="0">
                  <c:v>ε= 50 min</c:v>
                </c:pt>
              </c:strCache>
            </c:strRef>
          </c:tx>
          <c:spPr>
            <a:ln w="12700">
              <a:solidFill>
                <a:schemeClr val="accent3">
                  <a:lumMod val="60000"/>
                  <a:lumOff val="4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10180</c:v>
              </c:pt>
            </c:numLit>
          </c:yVal>
        </c:ser>
        <c:ser>
          <c:idx val="9"/>
          <c:order val="6"/>
          <c:tx>
            <c:strRef>
              <c:f>Hoja1!$M$15</c:f>
              <c:strCache>
                <c:ptCount val="1"/>
                <c:pt idx="0">
                  <c:v>ε= 1 grado</c:v>
                </c:pt>
              </c:strCache>
            </c:strRef>
          </c:tx>
          <c:spPr>
            <a:ln w="12700">
              <a:solidFill>
                <a:srgbClr val="FFFF0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12216</c:v>
              </c:pt>
            </c:numLit>
          </c:yVal>
        </c:ser>
        <c:ser>
          <c:idx val="10"/>
          <c:order val="7"/>
          <c:tx>
            <c:strRef>
              <c:f>Hoja1!$M$19</c:f>
              <c:strCache>
                <c:ptCount val="1"/>
                <c:pt idx="0">
                  <c:v>ε= 1,5 grados</c:v>
                </c:pt>
              </c:strCache>
            </c:strRef>
          </c:tx>
          <c:spPr>
            <a:ln w="12700">
              <a:solidFill>
                <a:schemeClr val="accent6">
                  <a:lumMod val="5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18323</c:v>
              </c:pt>
            </c:numLit>
          </c:yVal>
        </c:ser>
        <c:ser>
          <c:idx val="11"/>
          <c:order val="8"/>
          <c:tx>
            <c:strRef>
              <c:f>Hoja1!$M$16</c:f>
              <c:strCache>
                <c:ptCount val="1"/>
                <c:pt idx="0">
                  <c:v>ε= 2 grados</c:v>
                </c:pt>
              </c:strCache>
            </c:strRef>
          </c:tx>
          <c:spPr>
            <a:ln w="12700">
              <a:solidFill>
                <a:schemeClr val="accent6"/>
              </a:solidFill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24429</c:v>
              </c:pt>
            </c:numLit>
          </c:yVal>
        </c:ser>
        <c:ser>
          <c:idx val="12"/>
          <c:order val="9"/>
          <c:tx>
            <c:strRef>
              <c:f>Hoja1!$M$20</c:f>
              <c:strCache>
                <c:ptCount val="1"/>
                <c:pt idx="0">
                  <c:v>ε= 2,5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30533</c:v>
              </c:pt>
            </c:numLit>
          </c:yVal>
        </c:ser>
        <c:ser>
          <c:idx val="13"/>
          <c:order val="10"/>
          <c:tx>
            <c:strRef>
              <c:f>Hoja1!$M$17</c:f>
              <c:strCache>
                <c:ptCount val="1"/>
                <c:pt idx="0">
                  <c:v>ε= 3 grados</c:v>
                </c:pt>
              </c:strCache>
            </c:strRef>
          </c:tx>
          <c:spPr>
            <a:ln w="12700">
              <a:solidFill>
                <a:srgbClr val="FFC00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36635</c:v>
              </c:pt>
            </c:numLit>
          </c:yVal>
        </c:ser>
        <c:ser>
          <c:idx val="14"/>
          <c:order val="11"/>
          <c:tx>
            <c:strRef>
              <c:f>Hoja1!$M$22</c:f>
              <c:strCache>
                <c:ptCount val="1"/>
                <c:pt idx="0">
                  <c:v>ε= 4,5 grados</c:v>
                </c:pt>
              </c:strCache>
            </c:strRef>
          </c:tx>
          <c:spPr>
            <a:ln w="12700">
              <a:solidFill>
                <a:schemeClr val="accent2">
                  <a:lumMod val="75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42734</c:v>
              </c:pt>
            </c:numLit>
          </c:yVal>
        </c:ser>
        <c:ser>
          <c:idx val="15"/>
          <c:order val="12"/>
          <c:tx>
            <c:strRef>
              <c:f>Hoja1!$M$18</c:f>
              <c:strCache>
                <c:ptCount val="1"/>
                <c:pt idx="0">
                  <c:v>ε= 4 grados </c:v>
                </c:pt>
              </c:strCache>
            </c:strRef>
          </c:tx>
          <c:spPr>
            <a:ln w="12700">
              <a:solidFill>
                <a:schemeClr val="accent2">
                  <a:lumMod val="60000"/>
                  <a:lumOff val="4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48829</c:v>
              </c:pt>
            </c:numLit>
          </c:yVal>
        </c:ser>
        <c:axId val="116662656"/>
        <c:axId val="116664960"/>
      </c:scatterChart>
      <c:valAx>
        <c:axId val="116662656"/>
        <c:scaling>
          <c:orientation val="minMax"/>
          <c:max val="430"/>
          <c:min val="0"/>
        </c:scaling>
        <c:axPos val="b"/>
        <c:majorGridlines/>
        <c:minorGridlines>
          <c:spPr>
            <a:ln>
              <a:solidFill>
                <a:sysClr val="window" lastClr="FFFFFF">
                  <a:lumMod val="85000"/>
                </a:sysClr>
              </a:solidFill>
              <a:prstDash val="lg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0"/>
                  <a:t>Distancia (Kms.)</a:t>
                </a:r>
              </a:p>
            </c:rich>
          </c:tx>
        </c:title>
        <c:numFmt formatCode="General" sourceLinked="1"/>
        <c:tickLblPos val="nextTo"/>
        <c:crossAx val="116664960"/>
        <c:crosses val="autoZero"/>
        <c:crossBetween val="midCat"/>
        <c:majorUnit val="50"/>
      </c:valAx>
      <c:valAx>
        <c:axId val="116664960"/>
        <c:scaling>
          <c:orientation val="minMax"/>
          <c:max val="30000"/>
        </c:scaling>
        <c:axPos val="l"/>
        <c:majorGridlines/>
        <c:minorGridlines>
          <c:spPr>
            <a:ln>
              <a:solidFill>
                <a:sysClr val="window" lastClr="FFFFFF">
                  <a:lumMod val="85000"/>
                </a:sysClr>
              </a:solidFill>
              <a:prstDash val="lgDash"/>
            </a:ln>
          </c:spPr>
        </c:minorGridlines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s-ES"/>
                  <a:t>Altura (metros)</a:t>
                </a:r>
              </a:p>
            </c:rich>
          </c:tx>
        </c:title>
        <c:numFmt formatCode="General" sourceLinked="1"/>
        <c:tickLblPos val="nextTo"/>
        <c:crossAx val="116662656"/>
        <c:crosses val="autoZero"/>
        <c:crossBetween val="midCat"/>
      </c:valAx>
    </c:plotArea>
    <c:legend>
      <c:legendPos val="r"/>
    </c:legend>
    <c:plotVisOnly val="1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scatterChart>
        <c:scatterStyle val="lineMarker"/>
        <c:ser>
          <c:idx val="0"/>
          <c:order val="0"/>
          <c:tx>
            <c:v>Distancia de Visibilidad Directa Potencial ECC</c:v>
          </c:tx>
          <c:xVal>
            <c:numRef>
              <c:f>Hoja1!$J$3:$J$13</c:f>
              <c:numCache>
                <c:formatCode>General</c:formatCode>
                <c:ptCount val="11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184.25200134598268</c:v>
                </c:pt>
              </c:numCache>
            </c:numRef>
          </c:xVal>
          <c:yVal>
            <c:numRef>
              <c:f>Hoja1!$F$3:$F$13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</c:numCache>
            </c:numRef>
          </c:yVal>
        </c:ser>
        <c:ser>
          <c:idx val="1"/>
          <c:order val="1"/>
          <c:tx>
            <c:strRef>
              <c:f>Hoja1!$M$4</c:f>
              <c:strCache>
                <c:ptCount val="1"/>
                <c:pt idx="0">
                  <c:v>ε= 10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436</c:v>
              </c:pt>
            </c:numLit>
          </c:yVal>
        </c:ser>
        <c:ser>
          <c:idx val="2"/>
          <c:order val="2"/>
          <c:tx>
            <c:strRef>
              <c:f>Hoja1!$M$8</c:f>
              <c:strCache>
                <c:ptCount val="1"/>
                <c:pt idx="0">
                  <c:v>ε= 20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872</c:v>
              </c:pt>
            </c:numLit>
          </c:yVal>
        </c:ser>
        <c:ser>
          <c:idx val="3"/>
          <c:order val="3"/>
          <c:tx>
            <c:strRef>
              <c:f>Hoja1!$M$12</c:f>
              <c:strCache>
                <c:ptCount val="1"/>
                <c:pt idx="0">
                  <c:v>ε= 30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1308</c:v>
              </c:pt>
            </c:numLit>
          </c:yVal>
        </c:ser>
        <c:ser>
          <c:idx val="4"/>
          <c:order val="4"/>
          <c:tx>
            <c:strRef>
              <c:f>Hoja1!$M$13</c:f>
              <c:strCache>
                <c:ptCount val="1"/>
                <c:pt idx="0">
                  <c:v>ε= 40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1745</c:v>
              </c:pt>
            </c:numLit>
          </c:yVal>
        </c:ser>
        <c:ser>
          <c:idx val="5"/>
          <c:order val="5"/>
          <c:tx>
            <c:strRef>
              <c:f>Hoja1!$M$14</c:f>
              <c:strCache>
                <c:ptCount val="1"/>
                <c:pt idx="0">
                  <c:v>ε= 50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2181</c:v>
              </c:pt>
            </c:numLit>
          </c:yVal>
        </c:ser>
        <c:ser>
          <c:idx val="6"/>
          <c:order val="6"/>
          <c:tx>
            <c:strRef>
              <c:f>Hoja1!$M$15</c:f>
              <c:strCache>
                <c:ptCount val="1"/>
                <c:pt idx="0">
                  <c:v>ε= 1 grado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2617</c:v>
              </c:pt>
            </c:numLit>
          </c:yVal>
        </c:ser>
        <c:ser>
          <c:idx val="7"/>
          <c:order val="7"/>
          <c:tx>
            <c:strRef>
              <c:f>Hoja1!$M$19</c:f>
              <c:strCache>
                <c:ptCount val="1"/>
                <c:pt idx="0">
                  <c:v>ε= 1,5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3926</c:v>
              </c:pt>
            </c:numLit>
          </c:yVal>
        </c:ser>
        <c:ser>
          <c:idx val="8"/>
          <c:order val="8"/>
          <c:tx>
            <c:strRef>
              <c:f>Hoja1!$M$16</c:f>
              <c:strCache>
                <c:ptCount val="1"/>
                <c:pt idx="0">
                  <c:v>ε= 2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5234</c:v>
              </c:pt>
            </c:numLit>
          </c:yVal>
        </c:ser>
        <c:ser>
          <c:idx val="9"/>
          <c:order val="9"/>
          <c:tx>
            <c:strRef>
              <c:f>Hoja1!$M$20</c:f>
              <c:strCache>
                <c:ptCount val="1"/>
                <c:pt idx="0">
                  <c:v>ε= 2,5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6542</c:v>
              </c:pt>
            </c:numLit>
          </c:yVal>
        </c:ser>
        <c:ser>
          <c:idx val="10"/>
          <c:order val="10"/>
          <c:tx>
            <c:strRef>
              <c:f>Hoja1!$M$17</c:f>
              <c:strCache>
                <c:ptCount val="1"/>
                <c:pt idx="0">
                  <c:v>ε= 3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7850</c:v>
              </c:pt>
            </c:numLit>
          </c:yVal>
        </c:ser>
        <c:ser>
          <c:idx val="11"/>
          <c:order val="11"/>
          <c:tx>
            <c:strRef>
              <c:f>Hoja1!$M$21</c:f>
              <c:strCache>
                <c:ptCount val="1"/>
                <c:pt idx="0">
                  <c:v>ε= 3,5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9157</c:v>
              </c:pt>
            </c:numLit>
          </c:yVal>
        </c:ser>
        <c:ser>
          <c:idx val="12"/>
          <c:order val="12"/>
          <c:tx>
            <c:strRef>
              <c:f>Hoja1!$M$18</c:f>
              <c:strCache>
                <c:ptCount val="1"/>
                <c:pt idx="0">
                  <c:v>ε= 4 grados 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10463</c:v>
              </c:pt>
            </c:numLit>
          </c:yVal>
        </c:ser>
        <c:ser>
          <c:idx val="13"/>
          <c:order val="13"/>
          <c:tx>
            <c:strRef>
              <c:f>Hoja1!$M$23</c:f>
              <c:strCache>
                <c:ptCount val="1"/>
                <c:pt idx="0">
                  <c:v>ε= 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13073</c:v>
              </c:pt>
            </c:numLit>
          </c:yVal>
        </c:ser>
        <c:ser>
          <c:idx val="14"/>
          <c:order val="14"/>
          <c:tx>
            <c:strRef>
              <c:f>Hoja1!$M$24</c:f>
              <c:strCache>
                <c:ptCount val="1"/>
                <c:pt idx="0">
                  <c:v>ε= 5,5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14376</c:v>
              </c:pt>
            </c:numLit>
          </c:yVal>
        </c:ser>
        <c:ser>
          <c:idx val="15"/>
          <c:order val="15"/>
          <c:tx>
            <c:strRef>
              <c:f>Hoja1!$M$26</c:f>
              <c:strCache>
                <c:ptCount val="1"/>
                <c:pt idx="0">
                  <c:v>ε= 7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18280</c:v>
              </c:pt>
            </c:numLit>
          </c:yVal>
        </c:ser>
        <c:ser>
          <c:idx val="16"/>
          <c:order val="16"/>
          <c:tx>
            <c:strRef>
              <c:f>Hoja1!$M$27</c:f>
              <c:strCache>
                <c:ptCount val="1"/>
                <c:pt idx="0">
                  <c:v>ε= 8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20876</c:v>
              </c:pt>
            </c:numLit>
          </c:yVal>
        </c:ser>
        <c:ser>
          <c:idx val="17"/>
          <c:order val="17"/>
          <c:tx>
            <c:strRef>
              <c:f>Hoja1!$M$28</c:f>
              <c:strCache>
                <c:ptCount val="1"/>
                <c:pt idx="0">
                  <c:v>ε= 9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23465</c:v>
              </c:pt>
            </c:numLit>
          </c:yVal>
        </c:ser>
        <c:ser>
          <c:idx val="18"/>
          <c:order val="18"/>
          <c:tx>
            <c:strRef>
              <c:f>Hoja1!$M$29</c:f>
              <c:strCache>
                <c:ptCount val="1"/>
                <c:pt idx="0">
                  <c:v>ε= 10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26047</c:v>
              </c:pt>
            </c:numLit>
          </c:yVal>
        </c:ser>
        <c:ser>
          <c:idx val="19"/>
          <c:order val="19"/>
          <c:tx>
            <c:strRef>
              <c:f>Hoja1!$M$30</c:f>
              <c:strCache>
                <c:ptCount val="1"/>
                <c:pt idx="0">
                  <c:v>ε= 14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36288</c:v>
              </c:pt>
            </c:numLit>
          </c:yVal>
        </c:ser>
        <c:ser>
          <c:idx val="20"/>
          <c:order val="20"/>
          <c:tx>
            <c:strRef>
              <c:f>Hoja1!$M$31</c:f>
              <c:strCache>
                <c:ptCount val="1"/>
                <c:pt idx="0">
                  <c:v>ε= 20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51303</c:v>
              </c:pt>
            </c:numLit>
          </c:yVal>
        </c:ser>
        <c:ser>
          <c:idx val="21"/>
          <c:order val="21"/>
          <c:tx>
            <c:strRef>
              <c:f>Hoja1!$M$32</c:f>
              <c:strCache>
                <c:ptCount val="1"/>
                <c:pt idx="0">
                  <c:v>ε= 25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63392</c:v>
              </c:pt>
            </c:numLit>
          </c:yVal>
        </c:ser>
        <c:ser>
          <c:idx val="22"/>
          <c:order val="22"/>
          <c:tx>
            <c:strRef>
              <c:f>Hoja1!$M$33</c:f>
              <c:strCache>
                <c:ptCount val="1"/>
                <c:pt idx="0">
                  <c:v>ε= 27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68098</c:v>
              </c:pt>
            </c:numLit>
          </c:yVal>
        </c:ser>
        <c:ser>
          <c:idx val="23"/>
          <c:order val="23"/>
          <c:tx>
            <c:strRef>
              <c:f>Hoja1!$M$34</c:f>
              <c:strCache>
                <c:ptCount val="1"/>
                <c:pt idx="0">
                  <c:v>ε= 30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75000</c:v>
              </c:pt>
            </c:numLit>
          </c:yVal>
        </c:ser>
        <c:ser>
          <c:idx val="24"/>
          <c:order val="24"/>
          <c:tx>
            <c:strRef>
              <c:f>Hoja1!$M$25</c:f>
              <c:strCache>
                <c:ptCount val="1"/>
                <c:pt idx="0">
                  <c:v>ε= 6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15679</c:v>
              </c:pt>
            </c:numLit>
          </c:yVal>
        </c:ser>
        <c:ser>
          <c:idx val="26"/>
          <c:order val="25"/>
          <c:tx>
            <c:v>H= 1000</c:v>
          </c:tx>
          <c:spPr>
            <a:ln w="12700">
              <a:solidFill>
                <a:srgbClr val="00B0F0"/>
              </a:solidFill>
              <a:prstDash val="lgDashDotDot"/>
            </a:ln>
          </c:spPr>
          <c:xVal>
            <c:numRef>
              <c:f>Hoja1!$R$4:$R$19</c:f>
              <c:numCache>
                <c:formatCode>General</c:formatCode>
                <c:ptCount val="16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6000</c:v>
                </c:pt>
                <c:pt idx="6">
                  <c:v>8000</c:v>
                </c:pt>
                <c:pt idx="7">
                  <c:v>10000</c:v>
                </c:pt>
                <c:pt idx="8">
                  <c:v>15000</c:v>
                </c:pt>
                <c:pt idx="9">
                  <c:v>20000</c:v>
                </c:pt>
                <c:pt idx="10">
                  <c:v>25000</c:v>
                </c:pt>
                <c:pt idx="11">
                  <c:v>30000</c:v>
                </c:pt>
                <c:pt idx="12">
                  <c:v>35000</c:v>
                </c:pt>
                <c:pt idx="13">
                  <c:v>40000</c:v>
                </c:pt>
                <c:pt idx="14">
                  <c:v>45000</c:v>
                </c:pt>
                <c:pt idx="15">
                  <c:v>50000</c:v>
                </c:pt>
              </c:numCache>
            </c:numRef>
          </c:xVal>
          <c:yVal>
            <c:numRef>
              <c:f>Hoja1!$S$4:$S$19</c:f>
              <c:numCache>
                <c:formatCode>General</c:formatCode>
                <c:ptCount val="16"/>
                <c:pt idx="0">
                  <c:v>1000</c:v>
                </c:pt>
                <c:pt idx="1">
                  <c:v>999.98529411764707</c:v>
                </c:pt>
                <c:pt idx="2">
                  <c:v>999.94117647058829</c:v>
                </c:pt>
                <c:pt idx="3">
                  <c:v>999.76470588235293</c:v>
                </c:pt>
                <c:pt idx="4">
                  <c:v>999.47058823529414</c:v>
                </c:pt>
                <c:pt idx="5">
                  <c:v>997.88235294117646</c:v>
                </c:pt>
                <c:pt idx="6">
                  <c:v>996.23529411764707</c:v>
                </c:pt>
                <c:pt idx="7">
                  <c:v>994.11764705882354</c:v>
                </c:pt>
                <c:pt idx="8">
                  <c:v>986.76470588235293</c:v>
                </c:pt>
                <c:pt idx="9">
                  <c:v>976.47058823529414</c:v>
                </c:pt>
                <c:pt idx="10">
                  <c:v>963.23529411764707</c:v>
                </c:pt>
                <c:pt idx="11">
                  <c:v>947.05882352941171</c:v>
                </c:pt>
                <c:pt idx="12">
                  <c:v>927.94117647058829</c:v>
                </c:pt>
                <c:pt idx="13">
                  <c:v>905.88235294117646</c:v>
                </c:pt>
                <c:pt idx="14">
                  <c:v>880.88235294117646</c:v>
                </c:pt>
                <c:pt idx="15">
                  <c:v>852.94117647058829</c:v>
                </c:pt>
              </c:numCache>
            </c:numRef>
          </c:yVal>
        </c:ser>
        <c:axId val="53060736"/>
        <c:axId val="53062272"/>
      </c:scatterChart>
      <c:valAx>
        <c:axId val="53060736"/>
        <c:scaling>
          <c:orientation val="minMax"/>
          <c:max val="50"/>
        </c:scaling>
        <c:axPos val="b"/>
        <c:numFmt formatCode="General" sourceLinked="1"/>
        <c:tickLblPos val="nextTo"/>
        <c:crossAx val="53062272"/>
        <c:crosses val="autoZero"/>
        <c:crossBetween val="midCat"/>
        <c:majorUnit val="10"/>
        <c:minorUnit val="5"/>
      </c:valAx>
      <c:valAx>
        <c:axId val="53062272"/>
        <c:scaling>
          <c:orientation val="minMax"/>
          <c:max val="6000"/>
        </c:scaling>
        <c:axPos val="l"/>
        <c:majorGridlines/>
        <c:numFmt formatCode="General" sourceLinked="1"/>
        <c:tickLblPos val="nextTo"/>
        <c:crossAx val="53060736"/>
        <c:crosses val="autoZero"/>
        <c:crossBetween val="midCat"/>
        <c:minorUnit val="50"/>
      </c:valAx>
    </c:plotArea>
    <c:legend>
      <c:legendPos val="r"/>
      <c:layout>
        <c:manualLayout>
          <c:xMode val="edge"/>
          <c:yMode val="edge"/>
          <c:x val="0.69767740781181864"/>
          <c:y val="2.2520004175812198E-2"/>
          <c:w val="0.30099707909146023"/>
          <c:h val="0.9047054706422677"/>
        </c:manualLayout>
      </c:layout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style val="7"/>
  <c:chart>
    <c:plotArea>
      <c:layout/>
      <c:scatterChart>
        <c:scatterStyle val="lineMarker"/>
        <c:ser>
          <c:idx val="0"/>
          <c:order val="0"/>
          <c:tx>
            <c:v>DVD K=4.1</c:v>
          </c:tx>
          <c:spPr>
            <a:ln>
              <a:solidFill>
                <a:srgbClr val="00B0F0"/>
              </a:solidFill>
            </a:ln>
          </c:spPr>
          <c:xVal>
            <c:numRef>
              <c:f>Hoja1!$B$3:$B$18</c:f>
              <c:numCache>
                <c:formatCode>General</c:formatCode>
                <c:ptCount val="16"/>
                <c:pt idx="0">
                  <c:v>41</c:v>
                </c:pt>
                <c:pt idx="1">
                  <c:v>57.982756057296896</c:v>
                </c:pt>
                <c:pt idx="2">
                  <c:v>71.014083110323966</c:v>
                </c:pt>
                <c:pt idx="3">
                  <c:v>82</c:v>
                </c:pt>
                <c:pt idx="4">
                  <c:v>91.678787077491378</c:v>
                </c:pt>
                <c:pt idx="5">
                  <c:v>100.42907945411029</c:v>
                </c:pt>
                <c:pt idx="6">
                  <c:v>108.47580375364821</c:v>
                </c:pt>
                <c:pt idx="7">
                  <c:v>115.96551211459379</c:v>
                </c:pt>
                <c:pt idx="8">
                  <c:v>122.99999999999999</c:v>
                </c:pt>
                <c:pt idx="9">
                  <c:v>129.65338406690353</c:v>
                </c:pt>
                <c:pt idx="10">
                  <c:v>183.35757415498276</c:v>
                </c:pt>
                <c:pt idx="11">
                  <c:v>259.30676813380705</c:v>
                </c:pt>
                <c:pt idx="12">
                  <c:v>317.58463438900816</c:v>
                </c:pt>
                <c:pt idx="13">
                  <c:v>409.99999999999994</c:v>
                </c:pt>
                <c:pt idx="14">
                  <c:v>534.57459722661713</c:v>
                </c:pt>
                <c:pt idx="15">
                  <c:v>710.14083110323963</c:v>
                </c:pt>
              </c:numCache>
            </c:numRef>
          </c:xVal>
          <c:yVal>
            <c:numRef>
              <c:f>Hoja1!$F$3:$F$18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4000</c:v>
                </c:pt>
                <c:pt idx="12">
                  <c:v>6000</c:v>
                </c:pt>
                <c:pt idx="13">
                  <c:v>10000</c:v>
                </c:pt>
                <c:pt idx="14">
                  <c:v>17000</c:v>
                </c:pt>
                <c:pt idx="15">
                  <c:v>30000</c:v>
                </c:pt>
              </c:numCache>
            </c:numRef>
          </c:yVal>
        </c:ser>
        <c:ser>
          <c:idx val="1"/>
          <c:order val="1"/>
          <c:tx>
            <c:v>DVD K=4.12</c:v>
          </c:tx>
          <c:spPr>
            <a:ln>
              <a:solidFill>
                <a:srgbClr val="7030A0"/>
              </a:solidFill>
            </a:ln>
          </c:spPr>
          <c:xVal>
            <c:numRef>
              <c:f>Hoja1!$C$3:$C$18</c:f>
              <c:numCache>
                <c:formatCode>General</c:formatCode>
                <c:ptCount val="16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184.25200134598268</c:v>
                </c:pt>
                <c:pt idx="11">
                  <c:v>260.57167919787446</c:v>
                </c:pt>
                <c:pt idx="12">
                  <c:v>319.13382772749117</c:v>
                </c:pt>
                <c:pt idx="13">
                  <c:v>412</c:v>
                </c:pt>
                <c:pt idx="14">
                  <c:v>537.18227818869821</c:v>
                </c:pt>
                <c:pt idx="15">
                  <c:v>713.60493271837743</c:v>
                </c:pt>
              </c:numCache>
            </c:numRef>
          </c:xVal>
          <c:yVal>
            <c:numRef>
              <c:f>Hoja1!$F$3:$F$18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4000</c:v>
                </c:pt>
                <c:pt idx="12">
                  <c:v>6000</c:v>
                </c:pt>
                <c:pt idx="13">
                  <c:v>10000</c:v>
                </c:pt>
                <c:pt idx="14">
                  <c:v>17000</c:v>
                </c:pt>
                <c:pt idx="15">
                  <c:v>30000</c:v>
                </c:pt>
              </c:numCache>
            </c:numRef>
          </c:yVal>
        </c:ser>
        <c:ser>
          <c:idx val="2"/>
          <c:order val="2"/>
          <c:tx>
            <c:v>DVD K variable (1)</c:v>
          </c:tx>
          <c:spPr>
            <a:ln>
              <a:solidFill>
                <a:srgbClr val="F79646">
                  <a:tint val="77000"/>
                  <a:shade val="95000"/>
                  <a:satMod val="105000"/>
                </a:srgbClr>
              </a:solidFill>
            </a:ln>
          </c:spPr>
          <c:xVal>
            <c:numRef>
              <c:f>Hoja1!$I$3:$I$18</c:f>
              <c:numCache>
                <c:formatCode>General</c:formatCode>
                <c:ptCount val="16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183.35757415498276</c:v>
                </c:pt>
                <c:pt idx="11">
                  <c:v>233.37609132042638</c:v>
                </c:pt>
                <c:pt idx="12">
                  <c:v>254.06770751120652</c:v>
                </c:pt>
                <c:pt idx="13">
                  <c:v>286.99999999999994</c:v>
                </c:pt>
                <c:pt idx="14">
                  <c:v>320.74475833597023</c:v>
                </c:pt>
                <c:pt idx="15">
                  <c:v>355.07041555161982</c:v>
                </c:pt>
              </c:numCache>
            </c:numRef>
          </c:xVal>
          <c:yVal>
            <c:numRef>
              <c:f>Hoja1!$F$3:$F$18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4000</c:v>
                </c:pt>
                <c:pt idx="12">
                  <c:v>6000</c:v>
                </c:pt>
                <c:pt idx="13">
                  <c:v>10000</c:v>
                </c:pt>
                <c:pt idx="14">
                  <c:v>17000</c:v>
                </c:pt>
                <c:pt idx="15">
                  <c:v>30000</c:v>
                </c:pt>
              </c:numCache>
            </c:numRef>
          </c:yVal>
        </c:ser>
        <c:ser>
          <c:idx val="3"/>
          <c:order val="3"/>
          <c:tx>
            <c:v>DVD K variable (2)</c:v>
          </c:tx>
          <c:spPr>
            <a:ln>
              <a:solidFill>
                <a:srgbClr val="00B050"/>
              </a:solidFill>
            </a:ln>
          </c:spPr>
          <c:xVal>
            <c:numRef>
              <c:f>Hoja1!$J$3:$J$18</c:f>
              <c:numCache>
                <c:formatCode>General</c:formatCode>
                <c:ptCount val="16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184.25200134598268</c:v>
                </c:pt>
                <c:pt idx="11">
                  <c:v>247.54309523798071</c:v>
                </c:pt>
                <c:pt idx="12">
                  <c:v>287.22044495474205</c:v>
                </c:pt>
                <c:pt idx="13">
                  <c:v>329.6</c:v>
                </c:pt>
                <c:pt idx="14">
                  <c:v>376.02759473208874</c:v>
                </c:pt>
                <c:pt idx="15">
                  <c:v>428.16295963102647</c:v>
                </c:pt>
              </c:numCache>
            </c:numRef>
          </c:xVal>
          <c:yVal>
            <c:numRef>
              <c:f>Hoja1!$F$3:$F$18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4000</c:v>
                </c:pt>
                <c:pt idx="12">
                  <c:v>6000</c:v>
                </c:pt>
                <c:pt idx="13">
                  <c:v>10000</c:v>
                </c:pt>
                <c:pt idx="14">
                  <c:v>17000</c:v>
                </c:pt>
                <c:pt idx="15">
                  <c:v>30000</c:v>
                </c:pt>
              </c:numCache>
            </c:numRef>
          </c:yVal>
        </c:ser>
        <c:ser>
          <c:idx val="4"/>
          <c:order val="4"/>
          <c:tx>
            <c:strRef>
              <c:f>Hoja1!$M$4</c:f>
              <c:strCache>
                <c:ptCount val="1"/>
                <c:pt idx="0">
                  <c:v>ε= 10 min</c:v>
                </c:pt>
              </c:strCache>
            </c:strRef>
          </c:tx>
          <c:spPr>
            <a:ln w="12700">
              <a:solidFill>
                <a:srgbClr val="00206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2036</c:v>
              </c:pt>
            </c:numLit>
          </c:yVal>
        </c:ser>
        <c:ser>
          <c:idx val="5"/>
          <c:order val="5"/>
          <c:tx>
            <c:strRef>
              <c:f>Hoja1!$M$8</c:f>
              <c:strCache>
                <c:ptCount val="1"/>
                <c:pt idx="0">
                  <c:v>ε= 20 min</c:v>
                </c:pt>
              </c:strCache>
            </c:strRef>
          </c:tx>
          <c:spPr>
            <a:ln w="12700">
              <a:solidFill>
                <a:srgbClr val="FF000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4072</c:v>
              </c:pt>
            </c:numLit>
          </c:yVal>
        </c:ser>
        <c:ser>
          <c:idx val="6"/>
          <c:order val="6"/>
          <c:tx>
            <c:strRef>
              <c:f>Hoja1!$M$12</c:f>
              <c:strCache>
                <c:ptCount val="1"/>
                <c:pt idx="0">
                  <c:v>ε= 30 min</c:v>
                </c:pt>
              </c:strCache>
            </c:strRef>
          </c:tx>
          <c:spPr>
            <a:ln w="12700">
              <a:solidFill>
                <a:schemeClr val="bg2">
                  <a:lumMod val="5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6108</c:v>
              </c:pt>
            </c:numLit>
          </c:yVal>
        </c:ser>
        <c:ser>
          <c:idx val="7"/>
          <c:order val="7"/>
          <c:tx>
            <c:strRef>
              <c:f>Hoja1!$M$13</c:f>
              <c:strCache>
                <c:ptCount val="1"/>
                <c:pt idx="0">
                  <c:v>ε= 40 min</c:v>
                </c:pt>
              </c:strCache>
            </c:strRef>
          </c:tx>
          <c:spPr>
            <a:ln w="12700">
              <a:solidFill>
                <a:schemeClr val="tx2">
                  <a:lumMod val="60000"/>
                  <a:lumOff val="4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8144</c:v>
              </c:pt>
            </c:numLit>
          </c:yVal>
        </c:ser>
        <c:ser>
          <c:idx val="8"/>
          <c:order val="8"/>
          <c:tx>
            <c:strRef>
              <c:f>Hoja1!$M$14</c:f>
              <c:strCache>
                <c:ptCount val="1"/>
                <c:pt idx="0">
                  <c:v>ε= 50 min</c:v>
                </c:pt>
              </c:strCache>
            </c:strRef>
          </c:tx>
          <c:spPr>
            <a:ln w="12700">
              <a:solidFill>
                <a:schemeClr val="accent3">
                  <a:lumMod val="60000"/>
                  <a:lumOff val="4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10180</c:v>
              </c:pt>
            </c:numLit>
          </c:yVal>
        </c:ser>
        <c:ser>
          <c:idx val="9"/>
          <c:order val="9"/>
          <c:tx>
            <c:strRef>
              <c:f>Hoja1!$M$15</c:f>
              <c:strCache>
                <c:ptCount val="1"/>
                <c:pt idx="0">
                  <c:v>ε= 1 grado</c:v>
                </c:pt>
              </c:strCache>
            </c:strRef>
          </c:tx>
          <c:spPr>
            <a:ln w="12700">
              <a:solidFill>
                <a:srgbClr val="FFFF0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12216</c:v>
              </c:pt>
            </c:numLit>
          </c:yVal>
        </c:ser>
        <c:ser>
          <c:idx val="10"/>
          <c:order val="10"/>
          <c:tx>
            <c:strRef>
              <c:f>Hoja1!$M$19</c:f>
              <c:strCache>
                <c:ptCount val="1"/>
                <c:pt idx="0">
                  <c:v>ε= 1,5 grados</c:v>
                </c:pt>
              </c:strCache>
            </c:strRef>
          </c:tx>
          <c:spPr>
            <a:ln w="12700">
              <a:solidFill>
                <a:schemeClr val="accent6">
                  <a:lumMod val="5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18323</c:v>
              </c:pt>
            </c:numLit>
          </c:yVal>
        </c:ser>
        <c:ser>
          <c:idx val="11"/>
          <c:order val="11"/>
          <c:tx>
            <c:strRef>
              <c:f>Hoja1!$M$16</c:f>
              <c:strCache>
                <c:ptCount val="1"/>
                <c:pt idx="0">
                  <c:v>ε= 2 grados</c:v>
                </c:pt>
              </c:strCache>
            </c:strRef>
          </c:tx>
          <c:spPr>
            <a:ln w="12700">
              <a:solidFill>
                <a:schemeClr val="accent6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24429</c:v>
              </c:pt>
            </c:numLit>
          </c:yVal>
        </c:ser>
        <c:ser>
          <c:idx val="12"/>
          <c:order val="12"/>
          <c:tx>
            <c:strRef>
              <c:f>Hoja1!$M$20</c:f>
              <c:strCache>
                <c:ptCount val="1"/>
                <c:pt idx="0">
                  <c:v>ε= 2,5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30533</c:v>
              </c:pt>
            </c:numLit>
          </c:yVal>
        </c:ser>
        <c:ser>
          <c:idx val="13"/>
          <c:order val="13"/>
          <c:tx>
            <c:strRef>
              <c:f>Hoja1!$M$17</c:f>
              <c:strCache>
                <c:ptCount val="1"/>
                <c:pt idx="0">
                  <c:v>ε= 3 grados</c:v>
                </c:pt>
              </c:strCache>
            </c:strRef>
          </c:tx>
          <c:spPr>
            <a:ln w="12700">
              <a:solidFill>
                <a:srgbClr val="FFC000"/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36635</c:v>
              </c:pt>
            </c:numLit>
          </c:yVal>
        </c:ser>
        <c:ser>
          <c:idx val="14"/>
          <c:order val="14"/>
          <c:tx>
            <c:strRef>
              <c:f>Hoja1!$M$22</c:f>
              <c:strCache>
                <c:ptCount val="1"/>
                <c:pt idx="0">
                  <c:v>ε= 4,5 grados</c:v>
                </c:pt>
              </c:strCache>
            </c:strRef>
          </c:tx>
          <c:spPr>
            <a:ln w="12700">
              <a:solidFill>
                <a:schemeClr val="accent2">
                  <a:lumMod val="75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42734</c:v>
              </c:pt>
            </c:numLit>
          </c:yVal>
        </c:ser>
        <c:ser>
          <c:idx val="15"/>
          <c:order val="15"/>
          <c:tx>
            <c:strRef>
              <c:f>Hoja1!$M$18</c:f>
              <c:strCache>
                <c:ptCount val="1"/>
                <c:pt idx="0">
                  <c:v>ε= 4 grados </c:v>
                </c:pt>
              </c:strCache>
            </c:strRef>
          </c:tx>
          <c:spPr>
            <a:ln w="12700">
              <a:solidFill>
                <a:schemeClr val="accent2">
                  <a:lumMod val="60000"/>
                  <a:lumOff val="40000"/>
                </a:schemeClr>
              </a:solidFill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700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48829</c:v>
              </c:pt>
            </c:numLit>
          </c:yVal>
        </c:ser>
        <c:axId val="53532928"/>
        <c:axId val="53563392"/>
      </c:scatterChart>
      <c:valAx>
        <c:axId val="53532928"/>
        <c:scaling>
          <c:orientation val="minMax"/>
          <c:max val="730"/>
          <c:min val="0"/>
        </c:scaling>
        <c:axPos val="b"/>
        <c:numFmt formatCode="General" sourceLinked="1"/>
        <c:tickLblPos val="nextTo"/>
        <c:crossAx val="53563392"/>
        <c:crosses val="autoZero"/>
        <c:crossBetween val="midCat"/>
      </c:valAx>
      <c:valAx>
        <c:axId val="53563392"/>
        <c:scaling>
          <c:orientation val="minMax"/>
          <c:max val="30000"/>
        </c:scaling>
        <c:axPos val="l"/>
        <c:majorGridlines/>
        <c:numFmt formatCode="General" sourceLinked="1"/>
        <c:tickLblPos val="nextTo"/>
        <c:crossAx val="53532928"/>
        <c:crosses val="autoZero"/>
        <c:crossBetween val="midCat"/>
      </c:valAx>
    </c:plotArea>
    <c:legend>
      <c:legendPos val="r"/>
    </c:legend>
    <c:plotVisOnly val="1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scatterChart>
        <c:scatterStyle val="lineMarker"/>
        <c:ser>
          <c:idx val="0"/>
          <c:order val="0"/>
          <c:tx>
            <c:v>Distancia de Visibilidad Directa Potencial ECC</c:v>
          </c:tx>
          <c:xVal>
            <c:numRef>
              <c:f>Hoja1!$J$3:$J$13</c:f>
              <c:numCache>
                <c:formatCode>General</c:formatCode>
                <c:ptCount val="11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184.25200134598268</c:v>
                </c:pt>
              </c:numCache>
            </c:numRef>
          </c:xVal>
          <c:yVal>
            <c:numRef>
              <c:f>Hoja1!$F$3:$F$13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</c:numCache>
            </c:numRef>
          </c:yVal>
        </c:ser>
        <c:ser>
          <c:idx val="1"/>
          <c:order val="1"/>
          <c:tx>
            <c:strRef>
              <c:f>Hoja1!$M$4</c:f>
              <c:strCache>
                <c:ptCount val="1"/>
                <c:pt idx="0">
                  <c:v>ε= 10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436</c:v>
              </c:pt>
            </c:numLit>
          </c:yVal>
        </c:ser>
        <c:ser>
          <c:idx val="2"/>
          <c:order val="2"/>
          <c:tx>
            <c:strRef>
              <c:f>Hoja1!$M$8</c:f>
              <c:strCache>
                <c:ptCount val="1"/>
                <c:pt idx="0">
                  <c:v>ε= 20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872</c:v>
              </c:pt>
            </c:numLit>
          </c:yVal>
        </c:ser>
        <c:ser>
          <c:idx val="3"/>
          <c:order val="3"/>
          <c:tx>
            <c:strRef>
              <c:f>Hoja1!$M$12</c:f>
              <c:strCache>
                <c:ptCount val="1"/>
                <c:pt idx="0">
                  <c:v>ε= 30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1308</c:v>
              </c:pt>
            </c:numLit>
          </c:yVal>
        </c:ser>
        <c:ser>
          <c:idx val="4"/>
          <c:order val="4"/>
          <c:tx>
            <c:strRef>
              <c:f>Hoja1!$M$13</c:f>
              <c:strCache>
                <c:ptCount val="1"/>
                <c:pt idx="0">
                  <c:v>ε= 40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1745</c:v>
              </c:pt>
            </c:numLit>
          </c:yVal>
        </c:ser>
        <c:ser>
          <c:idx val="5"/>
          <c:order val="5"/>
          <c:tx>
            <c:strRef>
              <c:f>Hoja1!$M$14</c:f>
              <c:strCache>
                <c:ptCount val="1"/>
                <c:pt idx="0">
                  <c:v>ε= 50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2181</c:v>
              </c:pt>
            </c:numLit>
          </c:yVal>
        </c:ser>
        <c:ser>
          <c:idx val="6"/>
          <c:order val="6"/>
          <c:tx>
            <c:strRef>
              <c:f>Hoja1!$M$15</c:f>
              <c:strCache>
                <c:ptCount val="1"/>
                <c:pt idx="0">
                  <c:v>ε= 1 grado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2617</c:v>
              </c:pt>
            </c:numLit>
          </c:yVal>
        </c:ser>
        <c:ser>
          <c:idx val="7"/>
          <c:order val="7"/>
          <c:tx>
            <c:strRef>
              <c:f>Hoja1!$M$19</c:f>
              <c:strCache>
                <c:ptCount val="1"/>
                <c:pt idx="0">
                  <c:v>ε= 1,5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3926</c:v>
              </c:pt>
            </c:numLit>
          </c:yVal>
        </c:ser>
        <c:ser>
          <c:idx val="8"/>
          <c:order val="8"/>
          <c:tx>
            <c:strRef>
              <c:f>Hoja1!$M$16</c:f>
              <c:strCache>
                <c:ptCount val="1"/>
                <c:pt idx="0">
                  <c:v>ε= 2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5234</c:v>
              </c:pt>
            </c:numLit>
          </c:yVal>
        </c:ser>
        <c:ser>
          <c:idx val="9"/>
          <c:order val="9"/>
          <c:tx>
            <c:strRef>
              <c:f>Hoja1!$M$20</c:f>
              <c:strCache>
                <c:ptCount val="1"/>
                <c:pt idx="0">
                  <c:v>ε= 2,5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6542</c:v>
              </c:pt>
            </c:numLit>
          </c:yVal>
        </c:ser>
        <c:ser>
          <c:idx val="10"/>
          <c:order val="10"/>
          <c:tx>
            <c:strRef>
              <c:f>Hoja1!$M$17</c:f>
              <c:strCache>
                <c:ptCount val="1"/>
                <c:pt idx="0">
                  <c:v>ε= 3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7850</c:v>
              </c:pt>
            </c:numLit>
          </c:yVal>
        </c:ser>
        <c:ser>
          <c:idx val="11"/>
          <c:order val="11"/>
          <c:tx>
            <c:strRef>
              <c:f>Hoja1!$M$21</c:f>
              <c:strCache>
                <c:ptCount val="1"/>
                <c:pt idx="0">
                  <c:v>ε= 3,5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9157</c:v>
              </c:pt>
            </c:numLit>
          </c:yVal>
        </c:ser>
        <c:ser>
          <c:idx val="12"/>
          <c:order val="12"/>
          <c:tx>
            <c:strRef>
              <c:f>Hoja1!$M$18</c:f>
              <c:strCache>
                <c:ptCount val="1"/>
                <c:pt idx="0">
                  <c:v>ε= 4 grados 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10463</c:v>
              </c:pt>
            </c:numLit>
          </c:yVal>
        </c:ser>
        <c:ser>
          <c:idx val="13"/>
          <c:order val="13"/>
          <c:tx>
            <c:strRef>
              <c:f>Hoja1!$M$23</c:f>
              <c:strCache>
                <c:ptCount val="1"/>
                <c:pt idx="0">
                  <c:v>ε= 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13073</c:v>
              </c:pt>
            </c:numLit>
          </c:yVal>
        </c:ser>
        <c:ser>
          <c:idx val="14"/>
          <c:order val="14"/>
          <c:tx>
            <c:strRef>
              <c:f>Hoja1!$M$24</c:f>
              <c:strCache>
                <c:ptCount val="1"/>
                <c:pt idx="0">
                  <c:v>ε= 5,5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14376</c:v>
              </c:pt>
            </c:numLit>
          </c:yVal>
        </c:ser>
        <c:ser>
          <c:idx val="15"/>
          <c:order val="15"/>
          <c:tx>
            <c:strRef>
              <c:f>Hoja1!$M$26</c:f>
              <c:strCache>
                <c:ptCount val="1"/>
                <c:pt idx="0">
                  <c:v>ε= 7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18280</c:v>
              </c:pt>
            </c:numLit>
          </c:yVal>
        </c:ser>
        <c:ser>
          <c:idx val="16"/>
          <c:order val="16"/>
          <c:tx>
            <c:strRef>
              <c:f>Hoja1!$M$27</c:f>
              <c:strCache>
                <c:ptCount val="1"/>
                <c:pt idx="0">
                  <c:v>ε= 8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20876</c:v>
              </c:pt>
            </c:numLit>
          </c:yVal>
        </c:ser>
        <c:ser>
          <c:idx val="17"/>
          <c:order val="17"/>
          <c:tx>
            <c:strRef>
              <c:f>Hoja1!$M$28</c:f>
              <c:strCache>
                <c:ptCount val="1"/>
                <c:pt idx="0">
                  <c:v>ε= 9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23465</c:v>
              </c:pt>
            </c:numLit>
          </c:yVal>
        </c:ser>
        <c:ser>
          <c:idx val="18"/>
          <c:order val="18"/>
          <c:tx>
            <c:strRef>
              <c:f>Hoja1!$M$29</c:f>
              <c:strCache>
                <c:ptCount val="1"/>
                <c:pt idx="0">
                  <c:v>ε= 10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26047</c:v>
              </c:pt>
            </c:numLit>
          </c:yVal>
        </c:ser>
        <c:ser>
          <c:idx val="19"/>
          <c:order val="19"/>
          <c:tx>
            <c:strRef>
              <c:f>Hoja1!$M$30</c:f>
              <c:strCache>
                <c:ptCount val="1"/>
                <c:pt idx="0">
                  <c:v>ε= 14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36288</c:v>
              </c:pt>
            </c:numLit>
          </c:yVal>
        </c:ser>
        <c:ser>
          <c:idx val="20"/>
          <c:order val="20"/>
          <c:tx>
            <c:strRef>
              <c:f>Hoja1!$M$31</c:f>
              <c:strCache>
                <c:ptCount val="1"/>
                <c:pt idx="0">
                  <c:v>ε= 20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51303</c:v>
              </c:pt>
            </c:numLit>
          </c:yVal>
        </c:ser>
        <c:ser>
          <c:idx val="21"/>
          <c:order val="21"/>
          <c:tx>
            <c:strRef>
              <c:f>Hoja1!$M$32</c:f>
              <c:strCache>
                <c:ptCount val="1"/>
                <c:pt idx="0">
                  <c:v>ε= 25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63392</c:v>
              </c:pt>
            </c:numLit>
          </c:yVal>
        </c:ser>
        <c:ser>
          <c:idx val="22"/>
          <c:order val="22"/>
          <c:tx>
            <c:strRef>
              <c:f>Hoja1!$M$33</c:f>
              <c:strCache>
                <c:ptCount val="1"/>
                <c:pt idx="0">
                  <c:v>ε= 27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68098</c:v>
              </c:pt>
            </c:numLit>
          </c:yVal>
        </c:ser>
        <c:ser>
          <c:idx val="23"/>
          <c:order val="23"/>
          <c:tx>
            <c:strRef>
              <c:f>Hoja1!$M$34</c:f>
              <c:strCache>
                <c:ptCount val="1"/>
                <c:pt idx="0">
                  <c:v>ε= 30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75000</c:v>
              </c:pt>
            </c:numLit>
          </c:yVal>
        </c:ser>
        <c:ser>
          <c:idx val="24"/>
          <c:order val="24"/>
          <c:tx>
            <c:strRef>
              <c:f>Hoja1!$M$25</c:f>
              <c:strCache>
                <c:ptCount val="1"/>
                <c:pt idx="0">
                  <c:v>ε= 6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15679</c:v>
              </c:pt>
            </c:numLit>
          </c:yVal>
        </c:ser>
        <c:axId val="72229632"/>
        <c:axId val="72231168"/>
      </c:scatterChart>
      <c:valAx>
        <c:axId val="72229632"/>
        <c:scaling>
          <c:orientation val="minMax"/>
          <c:max val="150"/>
        </c:scaling>
        <c:axPos val="b"/>
        <c:numFmt formatCode="General" sourceLinked="1"/>
        <c:tickLblPos val="nextTo"/>
        <c:crossAx val="72231168"/>
        <c:crosses val="autoZero"/>
        <c:crossBetween val="midCat"/>
        <c:majorUnit val="10"/>
        <c:minorUnit val="4"/>
      </c:valAx>
      <c:valAx>
        <c:axId val="72231168"/>
        <c:scaling>
          <c:orientation val="minMax"/>
          <c:max val="30000"/>
        </c:scaling>
        <c:axPos val="l"/>
        <c:majorGridlines/>
        <c:numFmt formatCode="General" sourceLinked="1"/>
        <c:tickLblPos val="nextTo"/>
        <c:crossAx val="72229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767740781181864"/>
          <c:y val="2.2520004175812198E-2"/>
          <c:w val="0.30099707909146023"/>
          <c:h val="0.92763632615194258"/>
        </c:manualLayout>
      </c:layout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scatterChart>
        <c:scatterStyle val="lineMarker"/>
        <c:ser>
          <c:idx val="0"/>
          <c:order val="0"/>
          <c:tx>
            <c:v>Distancia de Visibilidad Directa Potencial ECC</c:v>
          </c:tx>
          <c:xVal>
            <c:numRef>
              <c:f>Hoja1!$J$3:$J$13</c:f>
              <c:numCache>
                <c:formatCode>General</c:formatCode>
                <c:ptCount val="11"/>
                <c:pt idx="0">
                  <c:v>41.2</c:v>
                </c:pt>
                <c:pt idx="1">
                  <c:v>58.265598769771522</c:v>
                </c:pt>
                <c:pt idx="2">
                  <c:v>71.360493271837754</c:v>
                </c:pt>
                <c:pt idx="3">
                  <c:v>82.4</c:v>
                </c:pt>
                <c:pt idx="4">
                  <c:v>92.126000672991339</c:v>
                </c:pt>
                <c:pt idx="5">
                  <c:v>100.91897740266694</c:v>
                </c:pt>
                <c:pt idx="6">
                  <c:v>109.00495401586113</c:v>
                </c:pt>
                <c:pt idx="7">
                  <c:v>116.53119753954304</c:v>
                </c:pt>
                <c:pt idx="8">
                  <c:v>123.60000000000001</c:v>
                </c:pt>
                <c:pt idx="9">
                  <c:v>130.28583959893723</c:v>
                </c:pt>
                <c:pt idx="10">
                  <c:v>184.25200134598268</c:v>
                </c:pt>
              </c:numCache>
            </c:numRef>
          </c:xVal>
          <c:yVal>
            <c:numRef>
              <c:f>Hoja1!$F$3:$F$13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</c:numCache>
            </c:numRef>
          </c:yVal>
        </c:ser>
        <c:ser>
          <c:idx val="1"/>
          <c:order val="1"/>
          <c:tx>
            <c:strRef>
              <c:f>Hoja1!$M$4</c:f>
              <c:strCache>
                <c:ptCount val="1"/>
                <c:pt idx="0">
                  <c:v>ε= 10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436</c:v>
              </c:pt>
            </c:numLit>
          </c:yVal>
        </c:ser>
        <c:ser>
          <c:idx val="2"/>
          <c:order val="2"/>
          <c:tx>
            <c:strRef>
              <c:f>Hoja1!$M$8</c:f>
              <c:strCache>
                <c:ptCount val="1"/>
                <c:pt idx="0">
                  <c:v>ε= 20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872</c:v>
              </c:pt>
            </c:numLit>
          </c:yVal>
        </c:ser>
        <c:ser>
          <c:idx val="3"/>
          <c:order val="3"/>
          <c:tx>
            <c:strRef>
              <c:f>Hoja1!$M$12</c:f>
              <c:strCache>
                <c:ptCount val="1"/>
                <c:pt idx="0">
                  <c:v>ε= 30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1308</c:v>
              </c:pt>
            </c:numLit>
          </c:yVal>
        </c:ser>
        <c:ser>
          <c:idx val="4"/>
          <c:order val="4"/>
          <c:tx>
            <c:strRef>
              <c:f>Hoja1!$M$13</c:f>
              <c:strCache>
                <c:ptCount val="1"/>
                <c:pt idx="0">
                  <c:v>ε= 40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1745</c:v>
              </c:pt>
            </c:numLit>
          </c:yVal>
        </c:ser>
        <c:ser>
          <c:idx val="5"/>
          <c:order val="5"/>
          <c:tx>
            <c:strRef>
              <c:f>Hoja1!$M$14</c:f>
              <c:strCache>
                <c:ptCount val="1"/>
                <c:pt idx="0">
                  <c:v>ε= 50 min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2181</c:v>
              </c:pt>
            </c:numLit>
          </c:yVal>
        </c:ser>
        <c:ser>
          <c:idx val="6"/>
          <c:order val="6"/>
          <c:tx>
            <c:strRef>
              <c:f>Hoja1!$M$15</c:f>
              <c:strCache>
                <c:ptCount val="1"/>
                <c:pt idx="0">
                  <c:v>ε= 1 grado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2617</c:v>
              </c:pt>
            </c:numLit>
          </c:yVal>
        </c:ser>
        <c:ser>
          <c:idx val="7"/>
          <c:order val="7"/>
          <c:tx>
            <c:strRef>
              <c:f>Hoja1!$M$19</c:f>
              <c:strCache>
                <c:ptCount val="1"/>
                <c:pt idx="0">
                  <c:v>ε= 1,5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3926</c:v>
              </c:pt>
            </c:numLit>
          </c:yVal>
        </c:ser>
        <c:ser>
          <c:idx val="8"/>
          <c:order val="8"/>
          <c:tx>
            <c:strRef>
              <c:f>Hoja1!$M$16</c:f>
              <c:strCache>
                <c:ptCount val="1"/>
                <c:pt idx="0">
                  <c:v>ε= 2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5234</c:v>
              </c:pt>
            </c:numLit>
          </c:yVal>
        </c:ser>
        <c:ser>
          <c:idx val="9"/>
          <c:order val="9"/>
          <c:tx>
            <c:strRef>
              <c:f>Hoja1!$M$20</c:f>
              <c:strCache>
                <c:ptCount val="1"/>
                <c:pt idx="0">
                  <c:v>ε= 2,5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6542</c:v>
              </c:pt>
            </c:numLit>
          </c:yVal>
        </c:ser>
        <c:ser>
          <c:idx val="10"/>
          <c:order val="10"/>
          <c:tx>
            <c:strRef>
              <c:f>Hoja1!$M$17</c:f>
              <c:strCache>
                <c:ptCount val="1"/>
                <c:pt idx="0">
                  <c:v>ε= 3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7850</c:v>
              </c:pt>
            </c:numLit>
          </c:yVal>
        </c:ser>
        <c:ser>
          <c:idx val="11"/>
          <c:order val="11"/>
          <c:tx>
            <c:strRef>
              <c:f>Hoja1!$M$21</c:f>
              <c:strCache>
                <c:ptCount val="1"/>
                <c:pt idx="0">
                  <c:v>ε= 3,5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9157</c:v>
              </c:pt>
            </c:numLit>
          </c:yVal>
        </c:ser>
        <c:ser>
          <c:idx val="12"/>
          <c:order val="12"/>
          <c:tx>
            <c:strRef>
              <c:f>Hoja1!$M$18</c:f>
              <c:strCache>
                <c:ptCount val="1"/>
                <c:pt idx="0">
                  <c:v>ε= 4 grados 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10463</c:v>
              </c:pt>
            </c:numLit>
          </c:yVal>
        </c:ser>
        <c:ser>
          <c:idx val="13"/>
          <c:order val="13"/>
          <c:tx>
            <c:strRef>
              <c:f>Hoja1!$M$23</c:f>
              <c:strCache>
                <c:ptCount val="1"/>
                <c:pt idx="0">
                  <c:v>ε= 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13073</c:v>
              </c:pt>
            </c:numLit>
          </c:yVal>
        </c:ser>
        <c:ser>
          <c:idx val="14"/>
          <c:order val="14"/>
          <c:tx>
            <c:strRef>
              <c:f>Hoja1!$M$24</c:f>
              <c:strCache>
                <c:ptCount val="1"/>
                <c:pt idx="0">
                  <c:v>ε= 5,5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14376</c:v>
              </c:pt>
            </c:numLit>
          </c:yVal>
        </c:ser>
        <c:ser>
          <c:idx val="15"/>
          <c:order val="15"/>
          <c:tx>
            <c:strRef>
              <c:f>Hoja1!$M$26</c:f>
              <c:strCache>
                <c:ptCount val="1"/>
                <c:pt idx="0">
                  <c:v>ε= 7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18280</c:v>
              </c:pt>
            </c:numLit>
          </c:yVal>
        </c:ser>
        <c:ser>
          <c:idx val="16"/>
          <c:order val="16"/>
          <c:tx>
            <c:strRef>
              <c:f>Hoja1!$M$27</c:f>
              <c:strCache>
                <c:ptCount val="1"/>
                <c:pt idx="0">
                  <c:v>ε= 8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20876</c:v>
              </c:pt>
            </c:numLit>
          </c:yVal>
        </c:ser>
        <c:ser>
          <c:idx val="17"/>
          <c:order val="17"/>
          <c:tx>
            <c:strRef>
              <c:f>Hoja1!$M$28</c:f>
              <c:strCache>
                <c:ptCount val="1"/>
                <c:pt idx="0">
                  <c:v>ε= 9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23465</c:v>
              </c:pt>
            </c:numLit>
          </c:yVal>
        </c:ser>
        <c:ser>
          <c:idx val="18"/>
          <c:order val="18"/>
          <c:tx>
            <c:strRef>
              <c:f>Hoja1!$M$29</c:f>
              <c:strCache>
                <c:ptCount val="1"/>
                <c:pt idx="0">
                  <c:v>ε= 10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26047</c:v>
              </c:pt>
            </c:numLit>
          </c:yVal>
        </c:ser>
        <c:ser>
          <c:idx val="19"/>
          <c:order val="19"/>
          <c:tx>
            <c:strRef>
              <c:f>Hoja1!$M$30</c:f>
              <c:strCache>
                <c:ptCount val="1"/>
                <c:pt idx="0">
                  <c:v>ε= 14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36288</c:v>
              </c:pt>
            </c:numLit>
          </c:yVal>
        </c:ser>
        <c:ser>
          <c:idx val="20"/>
          <c:order val="20"/>
          <c:tx>
            <c:strRef>
              <c:f>Hoja1!$M$31</c:f>
              <c:strCache>
                <c:ptCount val="1"/>
                <c:pt idx="0">
                  <c:v>ε= 20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51303</c:v>
              </c:pt>
            </c:numLit>
          </c:yVal>
        </c:ser>
        <c:ser>
          <c:idx val="21"/>
          <c:order val="21"/>
          <c:tx>
            <c:strRef>
              <c:f>Hoja1!$M$32</c:f>
              <c:strCache>
                <c:ptCount val="1"/>
                <c:pt idx="0">
                  <c:v>ε= 25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63392</c:v>
              </c:pt>
            </c:numLit>
          </c:yVal>
        </c:ser>
        <c:ser>
          <c:idx val="22"/>
          <c:order val="22"/>
          <c:tx>
            <c:strRef>
              <c:f>Hoja1!$M$33</c:f>
              <c:strCache>
                <c:ptCount val="1"/>
                <c:pt idx="0">
                  <c:v>ε= 27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68098</c:v>
              </c:pt>
            </c:numLit>
          </c:yVal>
        </c:ser>
        <c:ser>
          <c:idx val="23"/>
          <c:order val="23"/>
          <c:tx>
            <c:strRef>
              <c:f>Hoja1!$M$34</c:f>
              <c:strCache>
                <c:ptCount val="1"/>
                <c:pt idx="0">
                  <c:v>ε= 30 grados</c:v>
                </c:pt>
              </c:strCache>
            </c:strRef>
          </c:tx>
          <c:spPr>
            <a:ln w="12700">
              <a:prstDash val="lgDash"/>
            </a:ln>
          </c:spPr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75000</c:v>
              </c:pt>
            </c:numLit>
          </c:yVal>
        </c:ser>
        <c:ser>
          <c:idx val="24"/>
          <c:order val="24"/>
          <c:tx>
            <c:strRef>
              <c:f>Hoja1!$M$25</c:f>
              <c:strCache>
                <c:ptCount val="1"/>
                <c:pt idx="0">
                  <c:v>ε= 6 grados</c:v>
                </c:pt>
              </c:strCache>
            </c:strRef>
          </c:tx>
          <c:spPr>
            <a:ln w="12700">
              <a:prstDash val="lgDash"/>
            </a:ln>
          </c:spPr>
          <c:dLbls>
            <c:showVal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15679</c:v>
              </c:pt>
            </c:numLit>
          </c:yVal>
        </c:ser>
        <c:axId val="116714880"/>
        <c:axId val="116737152"/>
      </c:scatterChart>
      <c:valAx>
        <c:axId val="116714880"/>
        <c:scaling>
          <c:orientation val="minMax"/>
          <c:max val="80"/>
        </c:scaling>
        <c:axPos val="b"/>
        <c:numFmt formatCode="General" sourceLinked="1"/>
        <c:tickLblPos val="nextTo"/>
        <c:crossAx val="116737152"/>
        <c:crosses val="autoZero"/>
        <c:crossBetween val="midCat"/>
        <c:majorUnit val="10"/>
        <c:minorUnit val="5"/>
      </c:valAx>
      <c:valAx>
        <c:axId val="116737152"/>
        <c:scaling>
          <c:orientation val="minMax"/>
          <c:max val="20000"/>
        </c:scaling>
        <c:axPos val="l"/>
        <c:majorGridlines/>
        <c:numFmt formatCode="General" sourceLinked="1"/>
        <c:tickLblPos val="nextTo"/>
        <c:crossAx val="1167148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767740781181864"/>
          <c:y val="2.2520004175812198E-2"/>
          <c:w val="0.30099707909146034"/>
          <c:h val="0.92763632615194258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28292" y="0"/>
    <xdr:ext cx="9298214" cy="6092976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0.89152</cdr:x>
      <cdr:y>0.18728</cdr:y>
    </cdr:from>
    <cdr:to>
      <cdr:x>0.98987</cdr:x>
      <cdr:y>0.33736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8289579" y="11411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  <cdr:relSizeAnchor xmlns:cdr="http://schemas.openxmlformats.org/drawingml/2006/chartDrawing">
    <cdr:from>
      <cdr:x>0.80227</cdr:x>
      <cdr:y>0.65162</cdr:y>
    </cdr:from>
    <cdr:to>
      <cdr:x>0.82864</cdr:x>
      <cdr:y>0.68258</cdr:y>
    </cdr:to>
    <cdr:sp macro="" textlink="">
      <cdr:nvSpPr>
        <cdr:cNvPr id="4" name="3 CuadroTexto"/>
        <cdr:cNvSpPr txBox="1"/>
      </cdr:nvSpPr>
      <cdr:spPr>
        <a:xfrm xmlns:a="http://schemas.openxmlformats.org/drawingml/2006/main">
          <a:off x="7459679" y="3970322"/>
          <a:ext cx="245197" cy="188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ES" sz="1000"/>
            <a:t>1°</a:t>
          </a:r>
        </a:p>
      </cdr:txBody>
    </cdr:sp>
  </cdr:relSizeAnchor>
  <cdr:relSizeAnchor xmlns:cdr="http://schemas.openxmlformats.org/drawingml/2006/chartDrawing">
    <cdr:from>
      <cdr:x>0.80531</cdr:x>
      <cdr:y>0.43338</cdr:y>
    </cdr:from>
    <cdr:to>
      <cdr:x>0.84487</cdr:x>
      <cdr:y>0.46279</cdr:y>
    </cdr:to>
    <cdr:sp macro="" textlink="">
      <cdr:nvSpPr>
        <cdr:cNvPr id="5" name="4 CuadroTexto"/>
        <cdr:cNvSpPr txBox="1"/>
      </cdr:nvSpPr>
      <cdr:spPr>
        <a:xfrm xmlns:a="http://schemas.openxmlformats.org/drawingml/2006/main">
          <a:off x="7487970" y="2640594"/>
          <a:ext cx="367797" cy="179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ES" sz="1000"/>
            <a:t>2°</a:t>
          </a:r>
        </a:p>
      </cdr:txBody>
    </cdr:sp>
  </cdr:relSizeAnchor>
  <cdr:relSizeAnchor xmlns:cdr="http://schemas.openxmlformats.org/drawingml/2006/chartDrawing">
    <cdr:from>
      <cdr:x>0.79923</cdr:x>
      <cdr:y>0.22288</cdr:y>
    </cdr:from>
    <cdr:to>
      <cdr:x>0.8327</cdr:x>
      <cdr:y>0.25693</cdr:y>
    </cdr:to>
    <cdr:sp macro="" textlink="">
      <cdr:nvSpPr>
        <cdr:cNvPr id="6" name="5 CuadroTexto"/>
        <cdr:cNvSpPr txBox="1"/>
      </cdr:nvSpPr>
      <cdr:spPr>
        <a:xfrm xmlns:a="http://schemas.openxmlformats.org/drawingml/2006/main">
          <a:off x="7431386" y="1358020"/>
          <a:ext cx="311213" cy="207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ES" sz="1100"/>
            <a:t>3°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8292" y="28292"/>
    <xdr:ext cx="9289233" cy="6092228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-28292" y="-28292"/>
    <xdr:ext cx="9298214" cy="6092976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0.89152</cdr:x>
      <cdr:y>0.18728</cdr:y>
    </cdr:from>
    <cdr:to>
      <cdr:x>0.98987</cdr:x>
      <cdr:y>0.33736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8289579" y="11411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8292" y="28292"/>
    <xdr:ext cx="9289233" cy="6092228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8292" y="28292"/>
    <xdr:ext cx="9289233" cy="6092228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opLeftCell="F1" workbookViewId="0">
      <selection activeCell="J3" sqref="J3"/>
    </sheetView>
  </sheetViews>
  <sheetFormatPr baseColWidth="10" defaultRowHeight="15"/>
  <cols>
    <col min="1" max="1" width="7.42578125" style="3" customWidth="1"/>
    <col min="2" max="2" width="13.5703125" style="3" customWidth="1"/>
    <col min="3" max="3" width="14.7109375" style="3" customWidth="1"/>
    <col min="4" max="7" width="11.42578125" style="2"/>
    <col min="8" max="8" width="13.7109375" style="2" customWidth="1"/>
    <col min="9" max="9" width="14.5703125" customWidth="1"/>
    <col min="10" max="10" width="13.85546875" customWidth="1"/>
    <col min="11" max="11" width="13.85546875" style="4" customWidth="1"/>
    <col min="13" max="13" width="12.7109375" customWidth="1"/>
    <col min="14" max="14" width="11.5703125" bestFit="1" customWidth="1"/>
    <col min="16" max="16" width="11.5703125" bestFit="1" customWidth="1"/>
  </cols>
  <sheetData>
    <row r="1" spans="1:19">
      <c r="A1" s="9" t="s">
        <v>0</v>
      </c>
      <c r="B1" s="9"/>
      <c r="C1" s="9"/>
      <c r="D1" s="9"/>
      <c r="E1" s="9"/>
      <c r="F1" s="9"/>
      <c r="G1" s="9"/>
      <c r="H1" s="9"/>
      <c r="I1" s="1"/>
      <c r="J1" s="1"/>
      <c r="L1" s="1"/>
    </row>
    <row r="2" spans="1:19" ht="94.5" customHeight="1">
      <c r="A2" s="2" t="s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2</v>
      </c>
      <c r="I2" s="2" t="s">
        <v>11</v>
      </c>
      <c r="J2" s="2" t="s">
        <v>12</v>
      </c>
      <c r="K2" s="2" t="s">
        <v>3</v>
      </c>
      <c r="M2" s="2" t="s">
        <v>4</v>
      </c>
      <c r="N2" s="2" t="s">
        <v>13</v>
      </c>
      <c r="O2" s="2" t="s">
        <v>14</v>
      </c>
      <c r="P2" s="2" t="s">
        <v>13</v>
      </c>
      <c r="Q2" s="2" t="s">
        <v>14</v>
      </c>
      <c r="R2" s="10" t="s">
        <v>40</v>
      </c>
      <c r="S2" s="10"/>
    </row>
    <row r="3" spans="1:19">
      <c r="A3" s="3">
        <v>1</v>
      </c>
      <c r="B3" s="3">
        <f>PRODUCT(4.1,H3,(E3+G3))</f>
        <v>41</v>
      </c>
      <c r="C3" s="3">
        <f t="shared" ref="C3:C16" si="0">PRODUCT(4.12,H3,(E3+G3))</f>
        <v>41.2</v>
      </c>
      <c r="D3" s="2">
        <v>0</v>
      </c>
      <c r="E3" s="2">
        <f>SQRT(D3)</f>
        <v>0</v>
      </c>
      <c r="F3" s="2">
        <v>100</v>
      </c>
      <c r="G3" s="2">
        <f>SQRT(F3)</f>
        <v>10</v>
      </c>
      <c r="H3" s="2">
        <v>1</v>
      </c>
      <c r="I3">
        <f>PRODUCT(4.12,H3,(E3+G3))</f>
        <v>41.2</v>
      </c>
      <c r="J3">
        <f>PRODUCT(4.12,H3,(E3+G3))</f>
        <v>41.2</v>
      </c>
      <c r="K3" s="4">
        <f>ASIN(100/41200)*(10800/3.1416)</f>
        <v>8.3440342409718333</v>
      </c>
      <c r="N3" s="2"/>
      <c r="O3" s="2"/>
      <c r="P3" s="2"/>
      <c r="Q3" s="2"/>
      <c r="R3" t="s">
        <v>41</v>
      </c>
      <c r="S3" t="s">
        <v>42</v>
      </c>
    </row>
    <row r="4" spans="1:19">
      <c r="A4" s="3">
        <v>2</v>
      </c>
      <c r="B4" s="3">
        <f>PRODUCT(4.1,H4,(E4+G4))</f>
        <v>57.982756057296896</v>
      </c>
      <c r="C4" s="3">
        <f t="shared" si="0"/>
        <v>58.265598769771522</v>
      </c>
      <c r="D4" s="2">
        <v>0</v>
      </c>
      <c r="E4" s="2">
        <f>SQRT(D4)</f>
        <v>0</v>
      </c>
      <c r="F4" s="2">
        <v>200</v>
      </c>
      <c r="G4" s="2">
        <f t="shared" ref="G4:G18" si="1">SQRT(F4)</f>
        <v>14.142135623730951</v>
      </c>
      <c r="H4" s="2">
        <v>1</v>
      </c>
      <c r="I4">
        <f t="shared" ref="I4:I12" si="2">PRODUCT(4.12,H4,(E4+G4))</f>
        <v>58.265598769771522</v>
      </c>
      <c r="J4">
        <f>PRODUCT(4.12,H4,(E4+G4))</f>
        <v>58.265598769771522</v>
      </c>
      <c r="K4" s="4">
        <f>ASIN(200/58266)*(10800/3.1416)</f>
        <v>11.800176715852585</v>
      </c>
      <c r="M4" t="s">
        <v>15</v>
      </c>
      <c r="N4" s="2">
        <f>SIN(10*3.1416/10800)*700000</f>
        <v>2036.2193505953799</v>
      </c>
      <c r="O4" s="2">
        <v>700</v>
      </c>
      <c r="P4" s="2">
        <f>SIN(10*3.1416/10800)*150000</f>
        <v>436.3327179847243</v>
      </c>
      <c r="Q4" s="2">
        <v>150</v>
      </c>
      <c r="R4">
        <v>0</v>
      </c>
      <c r="S4">
        <f>PRODUCT(1,(1000-R4*R4/17000))</f>
        <v>1000</v>
      </c>
    </row>
    <row r="5" spans="1:19">
      <c r="A5" s="3">
        <v>3</v>
      </c>
      <c r="B5" s="3">
        <f>PRODUCT(4.1,H5,(E5+G5))</f>
        <v>71.014083110323966</v>
      </c>
      <c r="C5" s="3">
        <f t="shared" si="0"/>
        <v>71.360493271837754</v>
      </c>
      <c r="D5" s="2">
        <v>0</v>
      </c>
      <c r="E5" s="2">
        <f t="shared" ref="E5:E18" si="3">SQRT(D5)</f>
        <v>0</v>
      </c>
      <c r="F5" s="2">
        <v>300</v>
      </c>
      <c r="G5" s="2">
        <f t="shared" si="1"/>
        <v>17.320508075688775</v>
      </c>
      <c r="H5" s="2">
        <v>1</v>
      </c>
      <c r="I5">
        <f t="shared" si="2"/>
        <v>71.360493271837754</v>
      </c>
      <c r="J5">
        <f>PRODUCT(4.12,H5,(E5+G5))</f>
        <v>71.360493271837754</v>
      </c>
      <c r="N5" s="2"/>
      <c r="O5" s="2"/>
      <c r="P5" s="2"/>
      <c r="Q5" s="2"/>
      <c r="R5">
        <v>500</v>
      </c>
      <c r="S5">
        <f>PRODUCT(1,(1000-R5*R5/17000000))</f>
        <v>999.98529411764707</v>
      </c>
    </row>
    <row r="6" spans="1:19">
      <c r="A6" s="3">
        <v>4</v>
      </c>
      <c r="B6" s="3">
        <f>PRODUCT(4.1,H6,(E6+G6))</f>
        <v>82</v>
      </c>
      <c r="C6" s="3">
        <f t="shared" si="0"/>
        <v>82.4</v>
      </c>
      <c r="D6" s="2">
        <v>0</v>
      </c>
      <c r="E6" s="2">
        <f t="shared" si="3"/>
        <v>0</v>
      </c>
      <c r="F6" s="2">
        <v>400</v>
      </c>
      <c r="G6" s="2">
        <f t="shared" si="1"/>
        <v>20</v>
      </c>
      <c r="H6" s="2">
        <v>1</v>
      </c>
      <c r="I6">
        <f t="shared" si="2"/>
        <v>82.4</v>
      </c>
      <c r="J6">
        <f t="shared" ref="J6:J12" si="4">PRODUCT(4.12,H6,(E6+G6))</f>
        <v>82.4</v>
      </c>
      <c r="N6" s="2"/>
      <c r="O6" s="2"/>
      <c r="P6" s="2"/>
      <c r="Q6" s="2"/>
      <c r="R6">
        <v>1000</v>
      </c>
      <c r="S6">
        <f>PRODUCT(1,(1000-R6*R6/17000000))</f>
        <v>999.94117647058829</v>
      </c>
    </row>
    <row r="7" spans="1:19">
      <c r="A7" s="3">
        <v>5</v>
      </c>
      <c r="B7" s="3">
        <f>PRODUCT(4.1,H7,(E7+G7))</f>
        <v>91.678787077491378</v>
      </c>
      <c r="C7" s="3">
        <f t="shared" si="0"/>
        <v>92.126000672991339</v>
      </c>
      <c r="D7" s="2">
        <v>0</v>
      </c>
      <c r="E7" s="2">
        <f t="shared" si="3"/>
        <v>0</v>
      </c>
      <c r="F7" s="2">
        <v>500</v>
      </c>
      <c r="G7" s="2">
        <f t="shared" si="1"/>
        <v>22.360679774997898</v>
      </c>
      <c r="H7" s="2">
        <v>1</v>
      </c>
      <c r="I7">
        <f t="shared" si="2"/>
        <v>92.126000672991339</v>
      </c>
      <c r="J7">
        <f t="shared" si="4"/>
        <v>92.126000672991339</v>
      </c>
      <c r="K7" s="4">
        <f>ASIN(500/92126)*(10800/3.1416)</f>
        <v>18.657901185092587</v>
      </c>
      <c r="N7" s="2"/>
      <c r="O7" s="2"/>
      <c r="P7" s="2"/>
      <c r="Q7" s="2"/>
      <c r="R7">
        <v>2000</v>
      </c>
      <c r="S7">
        <f t="shared" ref="S7:S9" si="5">PRODUCT(1,(1000-R7*R7/17000000))</f>
        <v>999.76470588235293</v>
      </c>
    </row>
    <row r="8" spans="1:19">
      <c r="A8" s="3">
        <v>6</v>
      </c>
      <c r="B8" s="3">
        <f t="shared" ref="B8:B16" si="6">PRODUCT(4.1,H8,(E8+G8))</f>
        <v>100.42907945411029</v>
      </c>
      <c r="C8" s="3">
        <f t="shared" si="0"/>
        <v>100.91897740266694</v>
      </c>
      <c r="D8" s="2">
        <v>0</v>
      </c>
      <c r="E8" s="2">
        <f t="shared" si="3"/>
        <v>0</v>
      </c>
      <c r="F8" s="2">
        <v>600</v>
      </c>
      <c r="G8" s="2">
        <f t="shared" si="1"/>
        <v>24.494897427831781</v>
      </c>
      <c r="H8" s="2">
        <v>1</v>
      </c>
      <c r="I8">
        <f t="shared" si="2"/>
        <v>100.91897740266694</v>
      </c>
      <c r="J8">
        <f t="shared" si="4"/>
        <v>100.91897740266694</v>
      </c>
      <c r="K8" s="4">
        <f>ASIN(600/100919)*(10800/3.1416)</f>
        <v>20.438722052298573</v>
      </c>
      <c r="M8" t="s">
        <v>16</v>
      </c>
      <c r="N8" s="2">
        <f>SIN(20*3.1416/10800)*700000</f>
        <v>4072.4214714588638</v>
      </c>
      <c r="O8" s="2">
        <v>700</v>
      </c>
      <c r="P8" s="2">
        <f>SIN(20*3.1416/10800)*150000</f>
        <v>872.66174388404227</v>
      </c>
      <c r="Q8" s="2">
        <v>150</v>
      </c>
      <c r="R8">
        <v>3000</v>
      </c>
      <c r="S8">
        <f t="shared" si="5"/>
        <v>999.47058823529414</v>
      </c>
    </row>
    <row r="9" spans="1:19">
      <c r="A9" s="3">
        <v>7</v>
      </c>
      <c r="B9" s="3">
        <f t="shared" si="6"/>
        <v>108.47580375364821</v>
      </c>
      <c r="C9" s="3">
        <f t="shared" si="0"/>
        <v>109.00495401586113</v>
      </c>
      <c r="D9" s="2">
        <v>0</v>
      </c>
      <c r="E9" s="2">
        <f t="shared" si="3"/>
        <v>0</v>
      </c>
      <c r="F9" s="2">
        <v>700</v>
      </c>
      <c r="G9" s="2">
        <f t="shared" si="1"/>
        <v>26.457513110645905</v>
      </c>
      <c r="H9" s="2">
        <v>1</v>
      </c>
      <c r="I9">
        <f t="shared" si="2"/>
        <v>109.00495401586113</v>
      </c>
      <c r="J9">
        <f t="shared" si="4"/>
        <v>109.00495401586113</v>
      </c>
      <c r="K9" s="4">
        <f>ASIN(700/109005)*(10800/3.1416)</f>
        <v>22.07636027821</v>
      </c>
      <c r="N9" s="2"/>
      <c r="O9" s="2"/>
      <c r="P9" s="2"/>
      <c r="Q9" s="2"/>
      <c r="R9">
        <v>6000</v>
      </c>
      <c r="S9">
        <f t="shared" si="5"/>
        <v>997.88235294117646</v>
      </c>
    </row>
    <row r="10" spans="1:19">
      <c r="A10" s="3">
        <v>8</v>
      </c>
      <c r="B10" s="3">
        <f t="shared" si="6"/>
        <v>115.96551211459379</v>
      </c>
      <c r="C10" s="3">
        <f t="shared" si="0"/>
        <v>116.53119753954304</v>
      </c>
      <c r="D10" s="2">
        <v>0</v>
      </c>
      <c r="E10" s="2">
        <f t="shared" si="3"/>
        <v>0</v>
      </c>
      <c r="F10" s="2">
        <v>800</v>
      </c>
      <c r="G10" s="2">
        <f t="shared" si="1"/>
        <v>28.284271247461902</v>
      </c>
      <c r="H10" s="2">
        <v>1</v>
      </c>
      <c r="I10">
        <f t="shared" si="2"/>
        <v>116.53119753954304</v>
      </c>
      <c r="J10">
        <f t="shared" si="4"/>
        <v>116.53119753954304</v>
      </c>
      <c r="N10" s="2"/>
      <c r="O10" s="2"/>
      <c r="P10" s="2"/>
      <c r="Q10" s="2"/>
      <c r="R10">
        <v>8000</v>
      </c>
      <c r="S10">
        <f t="shared" ref="S10:S47" si="7">PRODUCT(1,(1000-R10*R10/17000000))</f>
        <v>996.23529411764707</v>
      </c>
    </row>
    <row r="11" spans="1:19">
      <c r="A11" s="3">
        <v>9</v>
      </c>
      <c r="B11" s="3">
        <f t="shared" si="6"/>
        <v>122.99999999999999</v>
      </c>
      <c r="C11" s="3">
        <f t="shared" si="0"/>
        <v>123.60000000000001</v>
      </c>
      <c r="D11" s="2">
        <v>0</v>
      </c>
      <c r="E11" s="2">
        <f t="shared" si="3"/>
        <v>0</v>
      </c>
      <c r="F11" s="2">
        <v>900</v>
      </c>
      <c r="G11" s="2">
        <f t="shared" si="1"/>
        <v>30</v>
      </c>
      <c r="H11" s="2">
        <v>1</v>
      </c>
      <c r="I11">
        <f t="shared" si="2"/>
        <v>123.60000000000001</v>
      </c>
      <c r="J11">
        <f>PRODUCT(4.12,H11,(E11+G11))</f>
        <v>123.60000000000001</v>
      </c>
      <c r="N11" s="2"/>
      <c r="O11" s="2"/>
      <c r="P11" s="2"/>
      <c r="Q11" s="2"/>
      <c r="R11">
        <v>10000</v>
      </c>
      <c r="S11">
        <f t="shared" si="7"/>
        <v>994.11764705882354</v>
      </c>
    </row>
    <row r="12" spans="1:19">
      <c r="A12" s="3">
        <v>10</v>
      </c>
      <c r="B12" s="3">
        <f t="shared" si="6"/>
        <v>129.65338406690353</v>
      </c>
      <c r="C12" s="3">
        <f t="shared" si="0"/>
        <v>130.28583959893723</v>
      </c>
      <c r="D12" s="2">
        <v>0</v>
      </c>
      <c r="E12" s="2">
        <f t="shared" si="3"/>
        <v>0</v>
      </c>
      <c r="F12" s="2">
        <v>1000</v>
      </c>
      <c r="G12" s="2">
        <f t="shared" si="1"/>
        <v>31.622776601683793</v>
      </c>
      <c r="H12" s="2">
        <v>1</v>
      </c>
      <c r="I12">
        <f t="shared" si="2"/>
        <v>130.28583959893723</v>
      </c>
      <c r="J12">
        <f t="shared" si="4"/>
        <v>130.28583959893723</v>
      </c>
      <c r="K12" s="4">
        <f>ASIN(1000/130285)*(10800/3.1416)</f>
        <v>26.386556298399665</v>
      </c>
      <c r="M12" t="s">
        <v>17</v>
      </c>
      <c r="N12" s="2">
        <f>SIN(30*3.1416/10800)*700000</f>
        <v>6108.5891330043496</v>
      </c>
      <c r="O12" s="2">
        <v>700</v>
      </c>
      <c r="P12" s="2">
        <f>SIN(30*3.1416/10800)*150000</f>
        <v>1308.9833856437892</v>
      </c>
      <c r="Q12" s="2">
        <v>150</v>
      </c>
      <c r="R12">
        <v>15000</v>
      </c>
      <c r="S12">
        <f t="shared" si="7"/>
        <v>986.76470588235293</v>
      </c>
    </row>
    <row r="13" spans="1:19">
      <c r="A13" s="3">
        <v>11</v>
      </c>
      <c r="B13" s="3">
        <f t="shared" si="6"/>
        <v>183.35757415498276</v>
      </c>
      <c r="C13" s="3">
        <f t="shared" si="0"/>
        <v>184.25200134598268</v>
      </c>
      <c r="D13" s="2">
        <v>0</v>
      </c>
      <c r="E13" s="2">
        <f t="shared" si="3"/>
        <v>0</v>
      </c>
      <c r="F13" s="2">
        <v>2000</v>
      </c>
      <c r="G13" s="2">
        <f t="shared" si="1"/>
        <v>44.721359549995796</v>
      </c>
      <c r="H13" s="2">
        <v>1</v>
      </c>
      <c r="I13">
        <f>PRODUCT(4.1,H13,(E13+G13))</f>
        <v>183.35757415498276</v>
      </c>
      <c r="J13">
        <f>PRODUCT(4.12,H13,(E13+G13))</f>
        <v>184.25200134598268</v>
      </c>
      <c r="K13" s="4">
        <f>ASIN(2000/184252)*(10800/3.1416)</f>
        <v>37.316351993338863</v>
      </c>
      <c r="M13" t="s">
        <v>18</v>
      </c>
      <c r="N13" s="2">
        <f>SIN(40*3.1416/10800)*700000</f>
        <v>8144.7051059373125</v>
      </c>
      <c r="O13" s="2">
        <v>700</v>
      </c>
      <c r="P13" s="2">
        <f>SIN(40*3.1416/10800)*150000</f>
        <v>1745.2939512722812</v>
      </c>
      <c r="Q13" s="2">
        <v>150</v>
      </c>
      <c r="R13">
        <v>20000</v>
      </c>
      <c r="S13">
        <f t="shared" si="7"/>
        <v>976.47058823529414</v>
      </c>
    </row>
    <row r="14" spans="1:19">
      <c r="A14" s="3">
        <v>12</v>
      </c>
      <c r="B14" s="3">
        <f t="shared" si="6"/>
        <v>259.30676813380705</v>
      </c>
      <c r="C14" s="3">
        <f t="shared" si="0"/>
        <v>260.57167919787446</v>
      </c>
      <c r="D14" s="2">
        <v>0</v>
      </c>
      <c r="E14" s="2">
        <f t="shared" si="3"/>
        <v>0</v>
      </c>
      <c r="F14" s="2">
        <v>4000</v>
      </c>
      <c r="G14" s="2">
        <f t="shared" si="1"/>
        <v>63.245553203367585</v>
      </c>
      <c r="H14" s="2">
        <v>1</v>
      </c>
      <c r="I14">
        <f>PRODUCT(4.1,0.9,(E14+G14))</f>
        <v>233.37609132042638</v>
      </c>
      <c r="J14">
        <f>PRODUCT(4.12,0.95,(E14+G14))</f>
        <v>247.54309523798071</v>
      </c>
      <c r="K14" s="4">
        <f>ASIN(4000/247543)*(10800/3.1416)</f>
        <v>55.552180468625018</v>
      </c>
      <c r="M14" t="s">
        <v>19</v>
      </c>
      <c r="N14" s="2">
        <f>SIN(50*3.1416/10800)*700000</f>
        <v>10180.752161400602</v>
      </c>
      <c r="O14" s="2">
        <v>700</v>
      </c>
      <c r="P14" s="2">
        <f>SIN(50*3.1416/10800)*150000</f>
        <v>2181.5897488715573</v>
      </c>
      <c r="Q14" s="2">
        <v>150</v>
      </c>
      <c r="R14">
        <v>25000</v>
      </c>
      <c r="S14">
        <f t="shared" si="7"/>
        <v>963.23529411764707</v>
      </c>
    </row>
    <row r="15" spans="1:19">
      <c r="A15" s="3">
        <v>13</v>
      </c>
      <c r="B15" s="3">
        <f t="shared" si="6"/>
        <v>317.58463438900816</v>
      </c>
      <c r="C15" s="3">
        <f t="shared" si="0"/>
        <v>319.13382772749117</v>
      </c>
      <c r="D15" s="2">
        <v>0</v>
      </c>
      <c r="E15" s="2">
        <f t="shared" si="3"/>
        <v>0</v>
      </c>
      <c r="F15" s="2">
        <v>6000</v>
      </c>
      <c r="G15" s="2">
        <f t="shared" si="1"/>
        <v>77.459666924148337</v>
      </c>
      <c r="H15" s="2">
        <v>1</v>
      </c>
      <c r="I15">
        <f>PRODUCT(4.1,0.8,(E15+G15))</f>
        <v>254.06770751120652</v>
      </c>
      <c r="J15">
        <f>PRODUCT(4.12,0.9,(E15+G15))</f>
        <v>287.22044495474205</v>
      </c>
      <c r="K15" s="4">
        <f>ASIN(6000/287220)*(10800/3.1416)</f>
        <v>71.819277470012125</v>
      </c>
      <c r="L15">
        <f>ASIN(6000/287220)*(10800/3.1416)/60</f>
        <v>1.1969879578335354</v>
      </c>
      <c r="M15" t="s">
        <v>20</v>
      </c>
      <c r="N15" s="2">
        <f>SIN(60*3.1416/10800)*700000</f>
        <v>12216.713071120223</v>
      </c>
      <c r="O15" s="2">
        <v>700</v>
      </c>
      <c r="P15" s="2">
        <f>SIN(60*3.1416/10800)*150000</f>
        <v>2617.8670866686189</v>
      </c>
      <c r="Q15" s="2">
        <v>150</v>
      </c>
      <c r="R15">
        <v>30000</v>
      </c>
      <c r="S15">
        <f t="shared" si="7"/>
        <v>947.05882352941171</v>
      </c>
    </row>
    <row r="16" spans="1:19">
      <c r="A16" s="3">
        <v>14</v>
      </c>
      <c r="B16" s="3">
        <f t="shared" si="6"/>
        <v>409.99999999999994</v>
      </c>
      <c r="C16" s="3">
        <f t="shared" si="0"/>
        <v>412</v>
      </c>
      <c r="D16" s="2">
        <v>0</v>
      </c>
      <c r="E16" s="2">
        <f t="shared" si="3"/>
        <v>0</v>
      </c>
      <c r="F16" s="2">
        <v>10000</v>
      </c>
      <c r="G16" s="2">
        <f t="shared" si="1"/>
        <v>100</v>
      </c>
      <c r="H16" s="2">
        <v>1</v>
      </c>
      <c r="I16">
        <f>PRODUCT(4.1,0.7,(E16+G16))</f>
        <v>286.99999999999994</v>
      </c>
      <c r="J16">
        <f>PRODUCT(4.12,0.8,(E16+G16))</f>
        <v>329.6</v>
      </c>
      <c r="K16" s="4">
        <f>ASIN(10000/329600)*(10800/3.1416)</f>
        <v>104.31633370895851</v>
      </c>
      <c r="L16">
        <f>ASIN(10000/329600)*(10800/3.1416)/60</f>
        <v>1.7386055618159753</v>
      </c>
      <c r="M16" t="s">
        <v>21</v>
      </c>
      <c r="N16" s="2">
        <f>SIN(120*3.1416/10800)*700000</f>
        <v>24429.704795689271</v>
      </c>
      <c r="O16" s="2">
        <v>700</v>
      </c>
      <c r="P16" s="2">
        <f>SIN(120*3.1416/10800)*150000</f>
        <v>5234.9367419334149</v>
      </c>
      <c r="Q16" s="2">
        <v>150</v>
      </c>
      <c r="R16">
        <v>35000</v>
      </c>
      <c r="S16">
        <f t="shared" si="7"/>
        <v>927.94117647058829</v>
      </c>
    </row>
    <row r="17" spans="1:19">
      <c r="A17" s="3">
        <v>15</v>
      </c>
      <c r="B17" s="3">
        <f>PRODUCT(4.1,H17,(E18+G17))</f>
        <v>534.57459722661713</v>
      </c>
      <c r="C17" s="3">
        <f>PRODUCT(4.12,H17,(E18+G17))</f>
        <v>537.18227818869821</v>
      </c>
      <c r="D17" s="2">
        <v>0</v>
      </c>
      <c r="E17" s="2">
        <f t="shared" si="3"/>
        <v>0</v>
      </c>
      <c r="F17" s="2">
        <v>17000</v>
      </c>
      <c r="G17" s="2">
        <f t="shared" si="1"/>
        <v>130.38404810405297</v>
      </c>
      <c r="H17" s="2">
        <v>1</v>
      </c>
      <c r="I17">
        <f>PRODUCT(4.1,0.6,(E17+G17))</f>
        <v>320.74475833597023</v>
      </c>
      <c r="J17">
        <f>PRODUCT(4.12,0.7,(E17+G17))</f>
        <v>376.02759473208874</v>
      </c>
      <c r="K17" s="4">
        <f>ASIN(17000/376027)*(10800/3.1416)</f>
        <v>155.47150842290952</v>
      </c>
      <c r="L17">
        <f>ASIN(17000/376027)*(10800/3.1416)/60</f>
        <v>2.5911918070484918</v>
      </c>
      <c r="M17" t="s">
        <v>22</v>
      </c>
      <c r="N17" s="2">
        <f>SIN(180*3.1416/10800)*700000</f>
        <v>36635.254960719481</v>
      </c>
      <c r="O17" s="2">
        <v>700</v>
      </c>
      <c r="P17" s="2">
        <f>SIN(180*3.1416/10800)*150000</f>
        <v>7850.4117772970321</v>
      </c>
      <c r="Q17" s="2">
        <v>150</v>
      </c>
      <c r="R17">
        <v>40000</v>
      </c>
      <c r="S17">
        <f t="shared" si="7"/>
        <v>905.88235294117646</v>
      </c>
    </row>
    <row r="18" spans="1:19">
      <c r="A18" s="3">
        <v>16</v>
      </c>
      <c r="B18" s="3">
        <f>PRODUCT(4.1,H18,(E18+G18))</f>
        <v>710.14083110323963</v>
      </c>
      <c r="C18" s="3">
        <f>PRODUCT(4.12,H18,(E18+G18))</f>
        <v>713.60493271837743</v>
      </c>
      <c r="D18" s="2">
        <v>0</v>
      </c>
      <c r="E18" s="2">
        <f t="shared" si="3"/>
        <v>0</v>
      </c>
      <c r="F18" s="2">
        <v>30000</v>
      </c>
      <c r="G18" s="2">
        <f t="shared" si="1"/>
        <v>173.20508075688772</v>
      </c>
      <c r="H18" s="2">
        <v>1</v>
      </c>
      <c r="I18">
        <f>PRODUCT(4.1,0.5,(E18+G18))</f>
        <v>355.07041555161982</v>
      </c>
      <c r="J18">
        <f>PRODUCT(4.12,0.6,(E18+G18))</f>
        <v>428.16295963102647</v>
      </c>
      <c r="K18" s="4">
        <f>ASIN(30000/428163)*(10800/3.1416)</f>
        <v>241.06878522422733</v>
      </c>
      <c r="L18">
        <f>ASIN(30000/428163)*(10800/3.1416)/60</f>
        <v>4.0178130870704551</v>
      </c>
      <c r="M18" t="s">
        <v>23</v>
      </c>
      <c r="N18" s="2">
        <f>SIN(240*3.1416/10800)*700000</f>
        <v>48829.645620004936</v>
      </c>
      <c r="O18" s="2">
        <v>700</v>
      </c>
      <c r="P18" s="2">
        <f>SIN(240*3.1416/10800)*150000</f>
        <v>10463.495490001058</v>
      </c>
      <c r="Q18" s="2">
        <v>150</v>
      </c>
      <c r="R18">
        <v>45000</v>
      </c>
      <c r="S18">
        <f t="shared" si="7"/>
        <v>880.88235294117646</v>
      </c>
    </row>
    <row r="19" spans="1:19">
      <c r="M19" t="s">
        <v>24</v>
      </c>
      <c r="N19" s="2">
        <f>SIN(90*3.1416/10800)*700000</f>
        <v>18323.906654885694</v>
      </c>
      <c r="O19" s="2">
        <v>700</v>
      </c>
      <c r="P19" s="2">
        <f>SIN(90*3.1416/10800)*150000</f>
        <v>3926.5514260469345</v>
      </c>
      <c r="Q19" s="2">
        <v>150</v>
      </c>
      <c r="R19">
        <v>50000</v>
      </c>
      <c r="S19">
        <f t="shared" si="7"/>
        <v>852.94117647058829</v>
      </c>
    </row>
    <row r="20" spans="1:19">
      <c r="M20" t="s">
        <v>25</v>
      </c>
      <c r="N20" s="2">
        <f>SIN(150*3.1416/10800)*700000</f>
        <v>30533.642511188325</v>
      </c>
      <c r="O20" s="2">
        <v>700</v>
      </c>
      <c r="P20" s="2">
        <f>SIN(150*3.1416/10800)*150000</f>
        <v>6542.923395254641</v>
      </c>
      <c r="Q20" s="2">
        <v>150</v>
      </c>
      <c r="R20">
        <v>55</v>
      </c>
      <c r="S20">
        <f t="shared" si="7"/>
        <v>999.9998220588235</v>
      </c>
    </row>
    <row r="21" spans="1:19">
      <c r="A21" s="4"/>
      <c r="B21" s="4"/>
      <c r="C21" s="4"/>
      <c r="M21" t="s">
        <v>26</v>
      </c>
      <c r="N21" s="2"/>
      <c r="O21" s="2"/>
      <c r="P21" s="2">
        <f>SIN(210*3.1416/10800)*150000</f>
        <v>9157.3023172924768</v>
      </c>
      <c r="Q21" s="2">
        <v>150</v>
      </c>
      <c r="R21">
        <v>60</v>
      </c>
      <c r="S21">
        <f t="shared" si="7"/>
        <v>999.99978823529409</v>
      </c>
    </row>
    <row r="22" spans="1:19">
      <c r="M22" t="s">
        <v>27</v>
      </c>
      <c r="N22" s="2">
        <f>SIN(210*3.1416/10800)*700000</f>
        <v>42734.077480698223</v>
      </c>
      <c r="O22" s="2">
        <v>700</v>
      </c>
      <c r="P22" s="2">
        <f>SIN(270*3.1416/10800)*150000</f>
        <v>11768.891823290327</v>
      </c>
      <c r="Q22" s="2">
        <v>150</v>
      </c>
      <c r="R22">
        <v>65</v>
      </c>
      <c r="S22">
        <f t="shared" si="7"/>
        <v>999.99975147058819</v>
      </c>
    </row>
    <row r="23" spans="1:19">
      <c r="M23" t="s">
        <v>28</v>
      </c>
      <c r="P23" s="2">
        <f>SIN(300*3.1416/10800)*150000</f>
        <v>13073.39190571053</v>
      </c>
      <c r="Q23" s="2">
        <v>150</v>
      </c>
      <c r="R23">
        <v>70</v>
      </c>
      <c r="S23">
        <f t="shared" si="7"/>
        <v>999.99971176470592</v>
      </c>
    </row>
    <row r="24" spans="1:19">
      <c r="M24" t="s">
        <v>29</v>
      </c>
      <c r="P24" s="2">
        <f>SIN(330*3.1416/10800)*150000</f>
        <v>14376.896394065197</v>
      </c>
      <c r="Q24" s="2">
        <v>150</v>
      </c>
      <c r="R24">
        <v>75</v>
      </c>
      <c r="S24">
        <f t="shared" si="7"/>
        <v>999.99966911764704</v>
      </c>
    </row>
    <row r="25" spans="1:19">
      <c r="M25" t="s">
        <v>30</v>
      </c>
      <c r="P25" s="2">
        <f>SIN(360*3.1416/10800)*150000</f>
        <v>15679.306020976564</v>
      </c>
      <c r="Q25" s="2">
        <v>150</v>
      </c>
      <c r="R25">
        <v>80</v>
      </c>
      <c r="S25">
        <f t="shared" si="7"/>
        <v>999.99962352941179</v>
      </c>
    </row>
    <row r="26" spans="1:19">
      <c r="M26" t="s">
        <v>31</v>
      </c>
      <c r="P26" s="2">
        <f>SIN(420*3.1416/10800)*150000</f>
        <v>18280.444045403252</v>
      </c>
      <c r="Q26" s="2">
        <v>150</v>
      </c>
      <c r="R26">
        <v>90</v>
      </c>
      <c r="S26">
        <f t="shared" si="7"/>
        <v>999.99952352941182</v>
      </c>
    </row>
    <row r="27" spans="1:19">
      <c r="M27" t="s">
        <v>32</v>
      </c>
      <c r="P27" s="2">
        <f>SIN(480*3.1416/10800)*150000</f>
        <v>20876.013643445021</v>
      </c>
      <c r="Q27" s="2">
        <v>150</v>
      </c>
      <c r="R27">
        <v>100</v>
      </c>
      <c r="S27">
        <f t="shared" si="7"/>
        <v>999.99941176470588</v>
      </c>
    </row>
    <row r="28" spans="1:19">
      <c r="M28" t="s">
        <v>33</v>
      </c>
      <c r="P28" s="2">
        <f>SIN(540*3.1416/10800)*150000</f>
        <v>23465.224175760846</v>
      </c>
      <c r="Q28" s="2">
        <v>150</v>
      </c>
      <c r="R28">
        <v>110</v>
      </c>
      <c r="S28">
        <f t="shared" si="7"/>
        <v>999.9992882352941</v>
      </c>
    </row>
    <row r="29" spans="1:19">
      <c r="M29" t="s">
        <v>34</v>
      </c>
      <c r="P29" s="2">
        <f>SIN(600*3.1416/10800)*150000</f>
        <v>26047.286940051785</v>
      </c>
      <c r="Q29" s="2">
        <v>150</v>
      </c>
      <c r="R29">
        <v>120</v>
      </c>
      <c r="S29">
        <f t="shared" si="7"/>
        <v>999.99915294117648</v>
      </c>
    </row>
    <row r="30" spans="1:19">
      <c r="M30" t="s">
        <v>35</v>
      </c>
      <c r="P30" s="2">
        <f>SIN(840*3.1416/10800)*150000</f>
        <v>36288.367502165878</v>
      </c>
      <c r="Q30" s="2">
        <v>150</v>
      </c>
      <c r="R30">
        <v>130</v>
      </c>
      <c r="S30">
        <f t="shared" si="7"/>
        <v>999.99900588235289</v>
      </c>
    </row>
    <row r="31" spans="1:19">
      <c r="M31" t="s">
        <v>36</v>
      </c>
      <c r="P31" s="2">
        <f>SIN(1200*3.1416/10800)*150000</f>
        <v>51303.136554957564</v>
      </c>
      <c r="Q31" s="2">
        <v>150</v>
      </c>
      <c r="R31">
        <v>140</v>
      </c>
      <c r="S31">
        <f t="shared" si="7"/>
        <v>999.99884705882357</v>
      </c>
    </row>
    <row r="32" spans="1:19">
      <c r="M32" t="s">
        <v>37</v>
      </c>
      <c r="P32" s="2">
        <f>SIN(1500*3.1416/10800)*150000</f>
        <v>63392.877971671434</v>
      </c>
      <c r="Q32" s="2">
        <v>150</v>
      </c>
      <c r="R32">
        <v>150</v>
      </c>
      <c r="S32">
        <f t="shared" si="7"/>
        <v>999.99867647058818</v>
      </c>
    </row>
    <row r="33" spans="13:19">
      <c r="M33" t="s">
        <v>38</v>
      </c>
      <c r="P33" s="2">
        <f>SIN(1620*3.1416/10800)*150000</f>
        <v>68098.722239127703</v>
      </c>
      <c r="Q33" s="2">
        <v>150</v>
      </c>
      <c r="R33">
        <v>160</v>
      </c>
      <c r="S33">
        <f t="shared" si="7"/>
        <v>999.99849411764706</v>
      </c>
    </row>
    <row r="34" spans="13:19">
      <c r="M34" t="s">
        <v>39</v>
      </c>
      <c r="P34" s="2">
        <f>SIN(1800*3.1416/10800)*150000</f>
        <v>75000.159054390431</v>
      </c>
      <c r="Q34" s="2">
        <v>150</v>
      </c>
      <c r="R34">
        <v>170</v>
      </c>
      <c r="S34">
        <f t="shared" si="7"/>
        <v>999.99829999999997</v>
      </c>
    </row>
    <row r="35" spans="13:19">
      <c r="R35">
        <v>180</v>
      </c>
      <c r="S35">
        <f t="shared" si="7"/>
        <v>999.99809411764704</v>
      </c>
    </row>
    <row r="36" spans="13:19">
      <c r="R36">
        <v>190</v>
      </c>
      <c r="S36">
        <f t="shared" si="7"/>
        <v>999.99787647058827</v>
      </c>
    </row>
    <row r="37" spans="13:19">
      <c r="R37">
        <v>200</v>
      </c>
      <c r="S37">
        <f t="shared" si="7"/>
        <v>999.99764705882353</v>
      </c>
    </row>
    <row r="38" spans="13:19">
      <c r="R38">
        <v>220</v>
      </c>
      <c r="S38">
        <f t="shared" si="7"/>
        <v>999.99715294117652</v>
      </c>
    </row>
    <row r="39" spans="13:19">
      <c r="R39">
        <v>240</v>
      </c>
      <c r="S39">
        <f t="shared" si="7"/>
        <v>999.9966117647059</v>
      </c>
    </row>
    <row r="40" spans="13:19">
      <c r="R40">
        <v>260</v>
      </c>
      <c r="S40">
        <f t="shared" si="7"/>
        <v>999.99602352941179</v>
      </c>
    </row>
    <row r="41" spans="13:19">
      <c r="R41">
        <v>280</v>
      </c>
      <c r="S41">
        <f t="shared" si="7"/>
        <v>999.99538823529417</v>
      </c>
    </row>
    <row r="42" spans="13:19">
      <c r="R42">
        <v>300</v>
      </c>
      <c r="S42">
        <f t="shared" si="7"/>
        <v>999.99470588235295</v>
      </c>
    </row>
    <row r="43" spans="13:19">
      <c r="R43">
        <v>320</v>
      </c>
      <c r="S43">
        <f t="shared" si="7"/>
        <v>999.99397647058822</v>
      </c>
    </row>
    <row r="44" spans="13:19">
      <c r="R44">
        <v>340</v>
      </c>
      <c r="S44">
        <f t="shared" si="7"/>
        <v>999.9932</v>
      </c>
    </row>
    <row r="45" spans="13:19">
      <c r="R45">
        <v>360</v>
      </c>
      <c r="S45">
        <f t="shared" si="7"/>
        <v>999.99237647058828</v>
      </c>
    </row>
    <row r="46" spans="13:19">
      <c r="R46">
        <v>380</v>
      </c>
      <c r="S46">
        <f t="shared" si="7"/>
        <v>999.99150588235295</v>
      </c>
    </row>
    <row r="47" spans="13:19">
      <c r="R47">
        <v>400</v>
      </c>
      <c r="S47">
        <f t="shared" si="7"/>
        <v>999.99058823529413</v>
      </c>
    </row>
  </sheetData>
  <mergeCells count="2">
    <mergeCell ref="A1:H1"/>
    <mergeCell ref="R2:S2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9"/>
  <sheetViews>
    <sheetView tabSelected="1" topLeftCell="A30" workbookViewId="0">
      <selection activeCell="H57" sqref="H57"/>
    </sheetView>
  </sheetViews>
  <sheetFormatPr baseColWidth="10" defaultRowHeight="15"/>
  <cols>
    <col min="3" max="3" width="12.28515625" customWidth="1"/>
    <col min="5" max="5" width="11.85546875" customWidth="1"/>
    <col min="7" max="7" width="11.85546875" customWidth="1"/>
    <col min="9" max="9" width="11.85546875" customWidth="1"/>
    <col min="11" max="11" width="12" customWidth="1"/>
    <col min="13" max="13" width="12.140625" customWidth="1"/>
    <col min="15" max="15" width="12.85546875" customWidth="1"/>
    <col min="17" max="17" width="12.5703125" customWidth="1"/>
    <col min="19" max="19" width="12.140625" customWidth="1"/>
  </cols>
  <sheetData>
    <row r="1" spans="1:20">
      <c r="A1" s="11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 spans="1:20">
      <c r="A3" s="11" t="s">
        <v>44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>
      <c r="A4" s="10" t="s">
        <v>45</v>
      </c>
      <c r="B4" s="11" t="s">
        <v>48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0" t="s">
        <v>52</v>
      </c>
    </row>
    <row r="5" spans="1:20">
      <c r="A5" s="10"/>
      <c r="B5" s="11">
        <v>100</v>
      </c>
      <c r="C5" s="11"/>
      <c r="D5" s="11">
        <v>500</v>
      </c>
      <c r="E5" s="11"/>
      <c r="F5" s="11">
        <v>1000</v>
      </c>
      <c r="G5" s="11"/>
      <c r="H5" s="11">
        <v>2000</v>
      </c>
      <c r="I5" s="11"/>
      <c r="J5" s="11">
        <v>4000</v>
      </c>
      <c r="K5" s="11"/>
      <c r="L5" s="11">
        <v>6000</v>
      </c>
      <c r="M5" s="11"/>
      <c r="N5" s="11">
        <v>10000</v>
      </c>
      <c r="O5" s="11"/>
      <c r="P5" s="10"/>
    </row>
    <row r="6" spans="1:20">
      <c r="A6" s="10"/>
      <c r="B6" s="5" t="s">
        <v>49</v>
      </c>
      <c r="C6" s="5" t="s">
        <v>50</v>
      </c>
      <c r="D6" s="5" t="s">
        <v>49</v>
      </c>
      <c r="E6" s="5" t="s">
        <v>50</v>
      </c>
      <c r="F6" s="5" t="s">
        <v>49</v>
      </c>
      <c r="G6" s="5" t="s">
        <v>50</v>
      </c>
      <c r="H6" s="5" t="s">
        <v>49</v>
      </c>
      <c r="I6" s="5" t="s">
        <v>50</v>
      </c>
      <c r="J6" s="5" t="s">
        <v>49</v>
      </c>
      <c r="K6" s="5" t="s">
        <v>50</v>
      </c>
      <c r="L6" s="5" t="s">
        <v>51</v>
      </c>
      <c r="M6" s="5" t="s">
        <v>50</v>
      </c>
      <c r="N6" s="5" t="s">
        <v>49</v>
      </c>
      <c r="O6" s="5" t="s">
        <v>50</v>
      </c>
      <c r="P6" s="10"/>
    </row>
    <row r="7" spans="1:20">
      <c r="A7" s="5" t="s">
        <v>46</v>
      </c>
      <c r="B7" s="5">
        <v>1500</v>
      </c>
      <c r="C7" s="5">
        <v>5</v>
      </c>
      <c r="D7" s="5">
        <v>1500</v>
      </c>
      <c r="E7" s="5">
        <v>25</v>
      </c>
      <c r="F7" s="5">
        <v>1500</v>
      </c>
      <c r="G7" s="5">
        <v>50</v>
      </c>
      <c r="H7" s="5">
        <f>-H82500</f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1.5</v>
      </c>
    </row>
    <row r="8" spans="1:20">
      <c r="A8" s="5" t="s">
        <v>47</v>
      </c>
      <c r="B8" s="5">
        <v>2500</v>
      </c>
      <c r="C8" s="5">
        <v>5</v>
      </c>
      <c r="D8" s="5">
        <v>2500</v>
      </c>
      <c r="E8" s="5">
        <v>25</v>
      </c>
      <c r="F8" s="5">
        <v>2500</v>
      </c>
      <c r="G8" s="5">
        <v>50</v>
      </c>
      <c r="H8" s="5">
        <v>2500</v>
      </c>
      <c r="I8" s="5">
        <v>100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1.5</v>
      </c>
    </row>
    <row r="9" spans="1:20">
      <c r="A9" s="5">
        <v>23</v>
      </c>
      <c r="B9" s="5">
        <v>2500</v>
      </c>
      <c r="C9" s="5">
        <v>5</v>
      </c>
      <c r="D9" s="5">
        <v>2500</v>
      </c>
      <c r="E9" s="5">
        <v>25</v>
      </c>
      <c r="F9" s="5">
        <v>2500</v>
      </c>
      <c r="G9" s="5">
        <v>50</v>
      </c>
      <c r="H9" s="5">
        <v>2500</v>
      </c>
      <c r="I9" s="5">
        <v>100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</row>
    <row r="10" spans="1:20">
      <c r="A10" s="5">
        <v>30</v>
      </c>
      <c r="B10" s="5">
        <v>3000</v>
      </c>
      <c r="C10" s="5">
        <v>5</v>
      </c>
      <c r="D10" s="5">
        <v>3000</v>
      </c>
      <c r="E10" s="5">
        <v>25</v>
      </c>
      <c r="F10" s="5">
        <v>3000</v>
      </c>
      <c r="G10" s="5">
        <v>50</v>
      </c>
      <c r="H10" s="5">
        <v>3000</v>
      </c>
      <c r="I10" s="5">
        <v>100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</v>
      </c>
    </row>
    <row r="11" spans="1:20">
      <c r="A11" s="5">
        <v>37</v>
      </c>
      <c r="B11" s="5">
        <v>4000</v>
      </c>
      <c r="C11" s="5">
        <v>5</v>
      </c>
      <c r="D11" s="5">
        <v>4000</v>
      </c>
      <c r="E11" s="5">
        <v>25</v>
      </c>
      <c r="F11" s="5">
        <v>4000</v>
      </c>
      <c r="G11" s="5">
        <v>50</v>
      </c>
      <c r="H11" s="5">
        <v>4000</v>
      </c>
      <c r="I11" s="5">
        <v>100</v>
      </c>
      <c r="J11" s="5">
        <v>1200</v>
      </c>
      <c r="K11" s="5">
        <v>200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</row>
    <row r="12" spans="1:20">
      <c r="A12" s="5">
        <v>57</v>
      </c>
      <c r="B12" s="5">
        <v>6000</v>
      </c>
      <c r="C12" s="5">
        <v>5</v>
      </c>
      <c r="D12" s="5">
        <v>6000</v>
      </c>
      <c r="E12" s="5">
        <v>25</v>
      </c>
      <c r="F12" s="5">
        <v>6000</v>
      </c>
      <c r="G12" s="5">
        <v>50</v>
      </c>
      <c r="H12" s="5">
        <v>6000</v>
      </c>
      <c r="I12" s="5">
        <v>100</v>
      </c>
      <c r="J12" s="5">
        <v>3000</v>
      </c>
      <c r="K12" s="5">
        <v>200</v>
      </c>
      <c r="L12" s="5">
        <v>2600</v>
      </c>
      <c r="M12" s="5">
        <v>340</v>
      </c>
      <c r="N12" s="5"/>
      <c r="O12" s="5"/>
      <c r="P12" s="5">
        <v>2.5</v>
      </c>
    </row>
    <row r="13" spans="1:20">
      <c r="A13" s="5">
        <v>100</v>
      </c>
      <c r="B13" s="5">
        <v>12000</v>
      </c>
      <c r="C13" s="5">
        <v>10</v>
      </c>
      <c r="D13" s="5">
        <v>12000</v>
      </c>
      <c r="E13" s="5">
        <v>50</v>
      </c>
      <c r="F13" s="5">
        <v>12000</v>
      </c>
      <c r="G13" s="5">
        <v>100</v>
      </c>
      <c r="H13" s="5">
        <v>11800</v>
      </c>
      <c r="I13" s="5">
        <v>200</v>
      </c>
      <c r="J13" s="5">
        <v>11000</v>
      </c>
      <c r="K13" s="5">
        <v>340</v>
      </c>
      <c r="L13" s="5">
        <v>10400</v>
      </c>
      <c r="M13" s="5">
        <v>680</v>
      </c>
      <c r="N13" s="5">
        <v>6600</v>
      </c>
      <c r="O13" s="5">
        <v>1300</v>
      </c>
      <c r="P13" s="5">
        <v>2.5</v>
      </c>
    </row>
    <row r="14" spans="1:20">
      <c r="G14" s="11" t="s">
        <v>53</v>
      </c>
      <c r="H14" s="11"/>
      <c r="I14" s="11"/>
      <c r="J14" s="11"/>
      <c r="K14" s="11"/>
      <c r="L14" s="11"/>
      <c r="M14" s="11"/>
      <c r="N14" s="11"/>
      <c r="O14" s="11"/>
      <c r="P14" s="11"/>
    </row>
    <row r="16" spans="1:20">
      <c r="A16" s="11" t="s">
        <v>54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10" t="s">
        <v>55</v>
      </c>
      <c r="B17" s="11" t="s">
        <v>48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0" t="s">
        <v>65</v>
      </c>
    </row>
    <row r="18" spans="1:20">
      <c r="A18" s="10"/>
      <c r="B18" s="11">
        <v>100</v>
      </c>
      <c r="C18" s="11"/>
      <c r="D18" s="11">
        <v>500</v>
      </c>
      <c r="E18" s="11"/>
      <c r="F18" s="11">
        <v>1000</v>
      </c>
      <c r="G18" s="11"/>
      <c r="H18" s="11">
        <v>2000</v>
      </c>
      <c r="I18" s="11"/>
      <c r="J18" s="11">
        <v>4000</v>
      </c>
      <c r="K18" s="11"/>
      <c r="L18" s="11">
        <v>6000</v>
      </c>
      <c r="M18" s="11"/>
      <c r="N18" s="11">
        <v>10000</v>
      </c>
      <c r="O18" s="11"/>
      <c r="P18" s="11">
        <v>17000</v>
      </c>
      <c r="Q18" s="11"/>
      <c r="R18" s="11">
        <v>30000</v>
      </c>
      <c r="S18" s="11"/>
      <c r="T18" s="10"/>
    </row>
    <row r="19" spans="1:20">
      <c r="A19" s="10"/>
      <c r="B19" s="5" t="s">
        <v>49</v>
      </c>
      <c r="C19" s="5" t="s">
        <v>50</v>
      </c>
      <c r="D19" s="5" t="s">
        <v>49</v>
      </c>
      <c r="E19" s="5" t="s">
        <v>50</v>
      </c>
      <c r="F19" s="5" t="s">
        <v>49</v>
      </c>
      <c r="G19" s="5" t="s">
        <v>50</v>
      </c>
      <c r="H19" s="5" t="s">
        <v>49</v>
      </c>
      <c r="I19" s="5" t="s">
        <v>50</v>
      </c>
      <c r="J19" s="5" t="s">
        <v>49</v>
      </c>
      <c r="K19" s="5" t="s">
        <v>50</v>
      </c>
      <c r="L19" s="5" t="s">
        <v>49</v>
      </c>
      <c r="M19" s="5" t="s">
        <v>50</v>
      </c>
      <c r="N19" s="5" t="s">
        <v>49</v>
      </c>
      <c r="O19" s="5" t="s">
        <v>50</v>
      </c>
      <c r="P19" s="5" t="s">
        <v>49</v>
      </c>
      <c r="Q19" s="5" t="s">
        <v>50</v>
      </c>
      <c r="R19" s="5" t="s">
        <v>49</v>
      </c>
      <c r="S19" s="5" t="s">
        <v>50</v>
      </c>
      <c r="T19" s="10"/>
    </row>
    <row r="20" spans="1:20">
      <c r="A20" t="s">
        <v>56</v>
      </c>
      <c r="B20" s="5">
        <v>4000</v>
      </c>
      <c r="C20" s="5">
        <v>500</v>
      </c>
      <c r="D20" s="5">
        <v>4000</v>
      </c>
      <c r="E20" s="5">
        <v>500</v>
      </c>
      <c r="F20" s="5">
        <v>4000</v>
      </c>
      <c r="G20" s="5">
        <v>500</v>
      </c>
      <c r="H20" s="5">
        <v>4000</v>
      </c>
      <c r="I20" s="5">
        <v>500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</row>
    <row r="21" spans="1:20">
      <c r="A21" t="s">
        <v>57</v>
      </c>
      <c r="B21" s="5">
        <v>2000</v>
      </c>
      <c r="C21" s="5">
        <v>500</v>
      </c>
      <c r="D21" s="5">
        <v>2000</v>
      </c>
      <c r="E21" s="5">
        <v>500</v>
      </c>
      <c r="F21" s="5">
        <v>2000</v>
      </c>
      <c r="G21" s="5">
        <v>500</v>
      </c>
      <c r="H21" s="5">
        <v>2000</v>
      </c>
      <c r="I21" s="5">
        <v>500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1.6</v>
      </c>
    </row>
    <row r="22" spans="1:20">
      <c r="A22" t="s">
        <v>58</v>
      </c>
      <c r="B22" s="5">
        <v>2500</v>
      </c>
      <c r="C22" s="5">
        <v>500</v>
      </c>
      <c r="D22" s="5">
        <v>2500</v>
      </c>
      <c r="E22" s="5">
        <v>500</v>
      </c>
      <c r="F22" s="5">
        <v>2500</v>
      </c>
      <c r="G22" s="5">
        <v>500</v>
      </c>
      <c r="H22" s="5">
        <v>2500</v>
      </c>
      <c r="I22" s="5">
        <v>500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1.6</v>
      </c>
    </row>
    <row r="23" spans="1:20">
      <c r="A23" t="s">
        <v>59</v>
      </c>
      <c r="B23" s="5">
        <v>3000</v>
      </c>
      <c r="C23" s="5">
        <v>10</v>
      </c>
      <c r="D23" s="5">
        <v>3000</v>
      </c>
      <c r="E23" s="5">
        <v>10</v>
      </c>
      <c r="F23" s="5">
        <v>3000</v>
      </c>
      <c r="G23" s="5">
        <v>20</v>
      </c>
      <c r="H23" s="5">
        <v>3000</v>
      </c>
      <c r="I23" s="5">
        <v>40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1.6</v>
      </c>
    </row>
    <row r="24" spans="1:20">
      <c r="A24" t="s">
        <v>60</v>
      </c>
      <c r="B24" s="5">
        <v>10000</v>
      </c>
      <c r="C24" s="5">
        <v>1500</v>
      </c>
      <c r="D24" s="5">
        <v>10000</v>
      </c>
      <c r="E24" s="5">
        <v>1500</v>
      </c>
      <c r="F24" s="5">
        <v>10000</v>
      </c>
      <c r="G24" s="5">
        <v>1500</v>
      </c>
      <c r="H24" s="5">
        <v>10000</v>
      </c>
      <c r="I24" s="5">
        <v>1500</v>
      </c>
      <c r="J24" s="5">
        <v>10000</v>
      </c>
      <c r="K24" s="5">
        <v>1500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</row>
    <row r="25" spans="1:20">
      <c r="A25" t="s">
        <v>61</v>
      </c>
      <c r="B25" s="5">
        <v>5000</v>
      </c>
      <c r="C25" s="5">
        <v>800</v>
      </c>
      <c r="D25" s="5">
        <v>5000</v>
      </c>
      <c r="E25" s="5">
        <v>800</v>
      </c>
      <c r="F25" s="5">
        <v>5000</v>
      </c>
      <c r="G25" s="5">
        <v>800</v>
      </c>
      <c r="H25" s="5">
        <v>5000</v>
      </c>
      <c r="I25" s="5">
        <v>800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</row>
    <row r="26" spans="1:20">
      <c r="A26" t="s">
        <v>62</v>
      </c>
      <c r="B26" s="5">
        <v>14000</v>
      </c>
      <c r="C26" s="5">
        <v>3500</v>
      </c>
      <c r="D26" s="5">
        <v>16100</v>
      </c>
      <c r="E26" s="5">
        <v>3500</v>
      </c>
      <c r="F26" s="5">
        <v>17200</v>
      </c>
      <c r="G26" s="5">
        <v>3500</v>
      </c>
      <c r="H26" s="5">
        <v>18860</v>
      </c>
      <c r="I26" s="5">
        <v>3500</v>
      </c>
      <c r="J26" s="5">
        <v>20000</v>
      </c>
      <c r="K26" s="5">
        <v>3500</v>
      </c>
      <c r="L26" s="5">
        <v>18000</v>
      </c>
      <c r="M26" s="5">
        <v>3500</v>
      </c>
      <c r="N26" s="5">
        <v>15900</v>
      </c>
      <c r="O26" s="5">
        <v>3500</v>
      </c>
      <c r="P26" s="5">
        <v>0</v>
      </c>
      <c r="Q26" s="5">
        <v>0</v>
      </c>
      <c r="R26" s="5">
        <v>0</v>
      </c>
      <c r="S26" s="5">
        <v>0</v>
      </c>
      <c r="T26" s="5">
        <v>4</v>
      </c>
    </row>
    <row r="27" spans="1:20">
      <c r="A27" t="s">
        <v>63</v>
      </c>
      <c r="B27" s="5">
        <v>11000</v>
      </c>
      <c r="C27" s="5">
        <v>3500</v>
      </c>
      <c r="D27" s="5">
        <v>11000</v>
      </c>
      <c r="E27" s="5">
        <v>3500</v>
      </c>
      <c r="F27" s="5">
        <v>18000</v>
      </c>
      <c r="G27" s="5">
        <v>3500</v>
      </c>
      <c r="H27" s="5">
        <v>18000</v>
      </c>
      <c r="I27" s="5">
        <v>3500</v>
      </c>
      <c r="J27" s="5">
        <v>18000</v>
      </c>
      <c r="K27" s="5">
        <v>3500</v>
      </c>
      <c r="L27" s="5">
        <v>18000</v>
      </c>
      <c r="M27" s="5">
        <v>3500</v>
      </c>
      <c r="N27" s="5">
        <v>18000</v>
      </c>
      <c r="O27" s="5">
        <v>3500</v>
      </c>
      <c r="P27" s="5">
        <v>18000</v>
      </c>
      <c r="Q27" s="5">
        <v>3500</v>
      </c>
      <c r="R27" s="5">
        <v>0</v>
      </c>
      <c r="S27" s="5">
        <v>0</v>
      </c>
      <c r="T27" s="5">
        <v>4</v>
      </c>
    </row>
    <row r="28" spans="1:20">
      <c r="A28" t="s">
        <v>64</v>
      </c>
      <c r="B28" s="5">
        <v>14500</v>
      </c>
      <c r="C28" s="5">
        <v>7000</v>
      </c>
      <c r="D28" s="5">
        <v>15000</v>
      </c>
      <c r="E28" s="5">
        <v>7000</v>
      </c>
      <c r="F28" s="5">
        <v>20000</v>
      </c>
      <c r="G28" s="5">
        <v>7000</v>
      </c>
      <c r="H28" s="5">
        <v>32000</v>
      </c>
      <c r="I28" s="5">
        <v>7000</v>
      </c>
      <c r="J28" s="5">
        <v>42800</v>
      </c>
      <c r="K28" s="5">
        <v>7000</v>
      </c>
      <c r="L28" s="5">
        <v>42300</v>
      </c>
      <c r="M28" s="5">
        <v>7000</v>
      </c>
      <c r="N28" s="5">
        <v>41800</v>
      </c>
      <c r="O28" s="5">
        <v>7000</v>
      </c>
      <c r="P28" s="5">
        <v>38000</v>
      </c>
      <c r="Q28" s="5">
        <v>7000</v>
      </c>
      <c r="R28" s="5">
        <v>30800</v>
      </c>
      <c r="S28" s="5">
        <v>7000</v>
      </c>
      <c r="T28" s="5">
        <v>4</v>
      </c>
    </row>
    <row r="29" spans="1:20">
      <c r="G29" s="11" t="s">
        <v>53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1" spans="1:20">
      <c r="A31" s="11" t="s">
        <v>66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3" spans="1:20">
      <c r="A33" s="11" t="s">
        <v>44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>
      <c r="A34" s="10" t="s">
        <v>45</v>
      </c>
      <c r="B34" s="11" t="s">
        <v>48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0" t="s">
        <v>52</v>
      </c>
    </row>
    <row r="35" spans="1:20">
      <c r="A35" s="10"/>
      <c r="B35" s="11">
        <v>100</v>
      </c>
      <c r="C35" s="11"/>
      <c r="D35" s="11">
        <v>500</v>
      </c>
      <c r="E35" s="11"/>
      <c r="F35" s="11">
        <v>1000</v>
      </c>
      <c r="G35" s="11"/>
      <c r="H35" s="11">
        <v>2000</v>
      </c>
      <c r="I35" s="11"/>
      <c r="J35" s="11">
        <v>4000</v>
      </c>
      <c r="K35" s="11"/>
      <c r="L35" s="11">
        <v>6000</v>
      </c>
      <c r="M35" s="11"/>
      <c r="N35" s="11">
        <v>10000</v>
      </c>
      <c r="O35" s="11"/>
      <c r="P35" s="10"/>
    </row>
    <row r="36" spans="1:20">
      <c r="A36" s="10"/>
      <c r="B36" s="6" t="s">
        <v>49</v>
      </c>
      <c r="C36" s="6" t="s">
        <v>50</v>
      </c>
      <c r="D36" s="6" t="s">
        <v>49</v>
      </c>
      <c r="E36" s="6" t="s">
        <v>50</v>
      </c>
      <c r="F36" s="6" t="s">
        <v>49</v>
      </c>
      <c r="G36" s="6" t="s">
        <v>50</v>
      </c>
      <c r="H36" s="6" t="s">
        <v>49</v>
      </c>
      <c r="I36" s="6" t="s">
        <v>50</v>
      </c>
      <c r="J36" s="6" t="s">
        <v>49</v>
      </c>
      <c r="K36" s="6" t="s">
        <v>50</v>
      </c>
      <c r="L36" s="6" t="s">
        <v>51</v>
      </c>
      <c r="M36" s="6" t="s">
        <v>50</v>
      </c>
      <c r="N36" s="6" t="s">
        <v>49</v>
      </c>
      <c r="O36" s="6" t="s">
        <v>50</v>
      </c>
      <c r="P36" s="10"/>
    </row>
    <row r="37" spans="1:20">
      <c r="A37" s="6" t="s">
        <v>46</v>
      </c>
      <c r="B37" s="6">
        <v>1500</v>
      </c>
      <c r="C37" s="6">
        <v>5</v>
      </c>
      <c r="D37" s="6">
        <v>1500</v>
      </c>
      <c r="E37" s="6">
        <v>25</v>
      </c>
      <c r="F37" s="6">
        <v>1500</v>
      </c>
      <c r="G37" s="6">
        <v>50</v>
      </c>
      <c r="H37" s="6">
        <f>-H82530</f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1.5</v>
      </c>
    </row>
    <row r="38" spans="1:20">
      <c r="A38" s="6" t="s">
        <v>47</v>
      </c>
      <c r="B38" s="6">
        <v>2500</v>
      </c>
      <c r="C38" s="6">
        <v>5</v>
      </c>
      <c r="D38" s="6">
        <v>2500</v>
      </c>
      <c r="E38" s="6">
        <v>25</v>
      </c>
      <c r="F38" s="6">
        <v>2500</v>
      </c>
      <c r="G38" s="6">
        <v>50</v>
      </c>
      <c r="H38" s="6">
        <v>2500</v>
      </c>
      <c r="I38" s="6">
        <v>100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1.5</v>
      </c>
    </row>
    <row r="39" spans="1:20">
      <c r="A39" s="6">
        <v>23</v>
      </c>
      <c r="B39" s="6">
        <v>2500</v>
      </c>
      <c r="C39" s="6">
        <v>5</v>
      </c>
      <c r="D39" s="6">
        <v>2500</v>
      </c>
      <c r="E39" s="6">
        <v>25</v>
      </c>
      <c r="F39" s="6">
        <v>2500</v>
      </c>
      <c r="G39" s="6">
        <v>50</v>
      </c>
      <c r="H39" s="6">
        <v>2500</v>
      </c>
      <c r="I39" s="6">
        <v>100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2</v>
      </c>
    </row>
    <row r="40" spans="1:20">
      <c r="A40" s="6">
        <v>30</v>
      </c>
      <c r="B40" s="6">
        <v>3000</v>
      </c>
      <c r="C40" s="6">
        <v>5</v>
      </c>
      <c r="D40" s="6">
        <v>3000</v>
      </c>
      <c r="E40" s="6">
        <v>25</v>
      </c>
      <c r="F40" s="6">
        <v>3000</v>
      </c>
      <c r="G40" s="6">
        <v>50</v>
      </c>
      <c r="H40" s="6">
        <v>3000</v>
      </c>
      <c r="I40" s="6">
        <v>100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</row>
    <row r="41" spans="1:20">
      <c r="A41" s="6">
        <v>37</v>
      </c>
      <c r="B41" s="6">
        <v>4000</v>
      </c>
      <c r="C41" s="6">
        <v>5</v>
      </c>
      <c r="D41" s="6">
        <v>4000</v>
      </c>
      <c r="E41" s="6">
        <v>25</v>
      </c>
      <c r="F41" s="6">
        <v>4000</v>
      </c>
      <c r="G41" s="6">
        <v>50</v>
      </c>
      <c r="H41" s="6">
        <v>4000</v>
      </c>
      <c r="I41" s="6">
        <v>100</v>
      </c>
      <c r="J41" s="6">
        <v>1200</v>
      </c>
      <c r="K41" s="6">
        <v>200</v>
      </c>
      <c r="L41" s="6">
        <v>0</v>
      </c>
      <c r="M41" s="6">
        <v>0</v>
      </c>
      <c r="N41" s="6">
        <v>0</v>
      </c>
      <c r="O41" s="6">
        <v>0</v>
      </c>
      <c r="P41" s="6">
        <v>2</v>
      </c>
    </row>
    <row r="42" spans="1:20">
      <c r="A42" s="6">
        <v>57</v>
      </c>
      <c r="B42" s="6">
        <v>6000</v>
      </c>
      <c r="C42" s="6">
        <v>5</v>
      </c>
      <c r="D42" s="6">
        <v>6000</v>
      </c>
      <c r="E42" s="6">
        <v>25</v>
      </c>
      <c r="F42" s="6">
        <v>6000</v>
      </c>
      <c r="G42" s="6">
        <v>50</v>
      </c>
      <c r="H42" s="6">
        <v>6000</v>
      </c>
      <c r="I42" s="6">
        <v>100</v>
      </c>
      <c r="J42" s="6">
        <v>3000</v>
      </c>
      <c r="K42" s="6">
        <v>200</v>
      </c>
      <c r="L42" s="6">
        <v>2600</v>
      </c>
      <c r="M42" s="6">
        <v>340</v>
      </c>
      <c r="N42" s="6"/>
      <c r="O42" s="6"/>
      <c r="P42" s="6">
        <v>2.5</v>
      </c>
    </row>
    <row r="43" spans="1:20">
      <c r="A43" s="6">
        <v>100</v>
      </c>
      <c r="B43" s="6">
        <v>12000</v>
      </c>
      <c r="C43" s="6">
        <v>10</v>
      </c>
      <c r="D43" s="6">
        <v>12000</v>
      </c>
      <c r="E43" s="6">
        <v>50</v>
      </c>
      <c r="F43" s="6">
        <v>12000</v>
      </c>
      <c r="G43" s="6">
        <v>100</v>
      </c>
      <c r="H43" s="6">
        <v>11800</v>
      </c>
      <c r="I43" s="6">
        <v>200</v>
      </c>
      <c r="J43" s="6">
        <v>11000</v>
      </c>
      <c r="K43" s="6">
        <v>340</v>
      </c>
      <c r="L43" s="6">
        <v>10400</v>
      </c>
      <c r="M43" s="6">
        <v>680</v>
      </c>
      <c r="N43" s="6">
        <v>6600</v>
      </c>
      <c r="O43" s="6">
        <v>1300</v>
      </c>
      <c r="P43" s="6">
        <v>2.5</v>
      </c>
    </row>
    <row r="44" spans="1:20">
      <c r="G44" s="11" t="s">
        <v>53</v>
      </c>
      <c r="H44" s="11"/>
      <c r="I44" s="11"/>
      <c r="J44" s="11"/>
      <c r="K44" s="11"/>
      <c r="L44" s="11"/>
      <c r="M44" s="11"/>
      <c r="N44" s="11"/>
      <c r="O44" s="11"/>
      <c r="P44" s="11"/>
    </row>
    <row r="46" spans="1:20">
      <c r="A46" s="11" t="s">
        <v>54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>
      <c r="A47" s="10" t="s">
        <v>55</v>
      </c>
      <c r="B47" s="11" t="s">
        <v>48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0" t="s">
        <v>65</v>
      </c>
    </row>
    <row r="48" spans="1:20">
      <c r="A48" s="10"/>
      <c r="B48" s="11">
        <v>100</v>
      </c>
      <c r="C48" s="11"/>
      <c r="D48" s="11">
        <v>500</v>
      </c>
      <c r="E48" s="11"/>
      <c r="F48" s="11">
        <v>1000</v>
      </c>
      <c r="G48" s="11"/>
      <c r="H48" s="11">
        <v>2000</v>
      </c>
      <c r="I48" s="11"/>
      <c r="J48" s="11">
        <v>4000</v>
      </c>
      <c r="K48" s="11"/>
      <c r="L48" s="11">
        <v>6000</v>
      </c>
      <c r="M48" s="11"/>
      <c r="N48" s="11">
        <v>10000</v>
      </c>
      <c r="O48" s="11"/>
      <c r="P48" s="11">
        <v>17000</v>
      </c>
      <c r="Q48" s="11"/>
      <c r="R48" s="11">
        <v>30000</v>
      </c>
      <c r="S48" s="11"/>
      <c r="T48" s="10"/>
    </row>
    <row r="49" spans="1:20">
      <c r="A49" s="10"/>
      <c r="B49" s="6" t="s">
        <v>49</v>
      </c>
      <c r="C49" s="6" t="s">
        <v>50</v>
      </c>
      <c r="D49" s="6" t="s">
        <v>49</v>
      </c>
      <c r="E49" s="6" t="s">
        <v>50</v>
      </c>
      <c r="F49" s="6" t="s">
        <v>49</v>
      </c>
      <c r="G49" s="6" t="s">
        <v>50</v>
      </c>
      <c r="H49" s="6" t="s">
        <v>49</v>
      </c>
      <c r="I49" s="6" t="s">
        <v>50</v>
      </c>
      <c r="J49" s="6" t="s">
        <v>49</v>
      </c>
      <c r="K49" s="6" t="s">
        <v>50</v>
      </c>
      <c r="L49" s="6" t="s">
        <v>49</v>
      </c>
      <c r="M49" s="6" t="s">
        <v>50</v>
      </c>
      <c r="N49" s="6" t="s">
        <v>49</v>
      </c>
      <c r="O49" s="6" t="s">
        <v>50</v>
      </c>
      <c r="P49" s="6" t="s">
        <v>49</v>
      </c>
      <c r="Q49" s="6" t="s">
        <v>50</v>
      </c>
      <c r="R49" s="6" t="s">
        <v>49</v>
      </c>
      <c r="S49" s="6" t="s">
        <v>50</v>
      </c>
      <c r="T49" s="10"/>
    </row>
    <row r="50" spans="1:20">
      <c r="A50" t="s">
        <v>56</v>
      </c>
      <c r="B50" s="6">
        <v>4000</v>
      </c>
      <c r="C50" s="6">
        <v>500</v>
      </c>
      <c r="D50" s="6">
        <v>4000</v>
      </c>
      <c r="E50" s="6">
        <v>500</v>
      </c>
      <c r="F50" s="6">
        <v>4000</v>
      </c>
      <c r="G50" s="6">
        <v>500</v>
      </c>
      <c r="H50" s="6">
        <v>4000</v>
      </c>
      <c r="I50" s="6">
        <v>500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2</v>
      </c>
    </row>
    <row r="51" spans="1:20">
      <c r="A51" t="s">
        <v>57</v>
      </c>
      <c r="B51" s="6">
        <v>2000</v>
      </c>
      <c r="C51" s="6">
        <v>500</v>
      </c>
      <c r="D51" s="6">
        <v>2000</v>
      </c>
      <c r="E51" s="6">
        <v>500</v>
      </c>
      <c r="F51" s="6">
        <v>2000</v>
      </c>
      <c r="G51" s="6">
        <v>500</v>
      </c>
      <c r="H51" s="6">
        <v>2000</v>
      </c>
      <c r="I51" s="6">
        <v>500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1.6</v>
      </c>
    </row>
    <row r="52" spans="1:20">
      <c r="A52" t="s">
        <v>58</v>
      </c>
      <c r="B52" s="6">
        <v>2500</v>
      </c>
      <c r="C52" s="6">
        <v>500</v>
      </c>
      <c r="D52" s="6">
        <v>2500</v>
      </c>
      <c r="E52" s="6">
        <v>500</v>
      </c>
      <c r="F52" s="6">
        <v>2500</v>
      </c>
      <c r="G52" s="6">
        <v>500</v>
      </c>
      <c r="H52" s="6">
        <v>2500</v>
      </c>
      <c r="I52" s="6">
        <v>500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1.6</v>
      </c>
    </row>
    <row r="53" spans="1:20">
      <c r="A53" t="s">
        <v>59</v>
      </c>
      <c r="B53" s="6">
        <v>3000</v>
      </c>
      <c r="C53" s="6">
        <v>10</v>
      </c>
      <c r="D53" s="6">
        <v>3000</v>
      </c>
      <c r="E53" s="6">
        <v>10</v>
      </c>
      <c r="F53" s="6">
        <v>3000</v>
      </c>
      <c r="G53" s="6">
        <v>20</v>
      </c>
      <c r="H53" s="6">
        <v>3000</v>
      </c>
      <c r="I53" s="6">
        <v>40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1.6</v>
      </c>
    </row>
    <row r="54" spans="1:20">
      <c r="A54" t="s">
        <v>60</v>
      </c>
      <c r="B54" s="6">
        <v>10000</v>
      </c>
      <c r="C54" s="6">
        <v>1500</v>
      </c>
      <c r="D54" s="6">
        <v>10000</v>
      </c>
      <c r="E54" s="6">
        <v>1500</v>
      </c>
      <c r="F54" s="6">
        <v>10000</v>
      </c>
      <c r="G54" s="6">
        <v>1500</v>
      </c>
      <c r="H54" s="6">
        <v>10000</v>
      </c>
      <c r="I54" s="6">
        <v>1500</v>
      </c>
      <c r="J54" s="6">
        <v>10000</v>
      </c>
      <c r="K54" s="6">
        <v>1500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2</v>
      </c>
    </row>
    <row r="55" spans="1:20">
      <c r="A55" t="s">
        <v>61</v>
      </c>
      <c r="B55" s="6">
        <v>5000</v>
      </c>
      <c r="C55" s="6">
        <v>800</v>
      </c>
      <c r="D55" s="6">
        <v>5000</v>
      </c>
      <c r="E55" s="6">
        <v>800</v>
      </c>
      <c r="F55" s="6">
        <v>5000</v>
      </c>
      <c r="G55" s="6">
        <v>800</v>
      </c>
      <c r="H55" s="6">
        <v>5000</v>
      </c>
      <c r="I55" s="6">
        <v>800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2</v>
      </c>
    </row>
    <row r="56" spans="1:20">
      <c r="A56" t="s">
        <v>62</v>
      </c>
      <c r="B56" s="6">
        <v>14000</v>
      </c>
      <c r="C56" s="6">
        <v>3500</v>
      </c>
      <c r="D56" s="6">
        <v>16100</v>
      </c>
      <c r="E56" s="6">
        <v>3500</v>
      </c>
      <c r="F56" s="6">
        <v>17200</v>
      </c>
      <c r="G56" s="6">
        <v>3500</v>
      </c>
      <c r="H56" s="6">
        <v>18860</v>
      </c>
      <c r="I56" s="6">
        <v>3500</v>
      </c>
      <c r="J56" s="6">
        <v>20000</v>
      </c>
      <c r="K56" s="6">
        <v>3500</v>
      </c>
      <c r="L56" s="6">
        <v>18000</v>
      </c>
      <c r="M56" s="6">
        <v>3500</v>
      </c>
      <c r="N56" s="6">
        <v>15900</v>
      </c>
      <c r="O56" s="6">
        <v>3500</v>
      </c>
      <c r="P56" s="6">
        <v>0</v>
      </c>
      <c r="Q56" s="6">
        <v>0</v>
      </c>
      <c r="R56" s="6">
        <v>0</v>
      </c>
      <c r="S56" s="6">
        <v>0</v>
      </c>
      <c r="T56" s="6">
        <v>4</v>
      </c>
    </row>
    <row r="57" spans="1:20">
      <c r="A57" t="s">
        <v>63</v>
      </c>
      <c r="B57" s="12">
        <v>11500</v>
      </c>
      <c r="C57" s="6">
        <v>3500</v>
      </c>
      <c r="D57" s="12">
        <v>17600</v>
      </c>
      <c r="E57" s="6">
        <v>3500</v>
      </c>
      <c r="F57" s="12">
        <v>17600</v>
      </c>
      <c r="G57" s="6">
        <v>3500</v>
      </c>
      <c r="H57" s="12">
        <v>17310</v>
      </c>
      <c r="I57" s="6">
        <v>3500</v>
      </c>
      <c r="J57" s="12">
        <v>18400</v>
      </c>
      <c r="K57" s="6">
        <v>3500</v>
      </c>
      <c r="L57" s="12">
        <v>18200</v>
      </c>
      <c r="M57" s="6">
        <v>3500</v>
      </c>
      <c r="N57" s="8">
        <v>19500</v>
      </c>
      <c r="O57" s="6">
        <v>3500</v>
      </c>
      <c r="P57" s="8">
        <v>24800</v>
      </c>
      <c r="Q57" s="6">
        <v>3500</v>
      </c>
      <c r="R57" s="6">
        <v>0</v>
      </c>
      <c r="S57" s="6">
        <v>0</v>
      </c>
      <c r="T57" s="8">
        <v>4</v>
      </c>
    </row>
    <row r="58" spans="1:20">
      <c r="A58" s="7" t="s">
        <v>64</v>
      </c>
      <c r="B58" s="8">
        <v>24000</v>
      </c>
      <c r="C58" s="6">
        <v>7000</v>
      </c>
      <c r="D58" s="8">
        <v>24000</v>
      </c>
      <c r="E58" s="6">
        <v>7000</v>
      </c>
      <c r="F58" s="8">
        <v>24000</v>
      </c>
      <c r="G58" s="6">
        <v>7000</v>
      </c>
      <c r="H58" s="8">
        <v>26000</v>
      </c>
      <c r="I58" s="6">
        <v>7000</v>
      </c>
      <c r="J58" s="8">
        <v>38500</v>
      </c>
      <c r="K58" s="6">
        <v>7000</v>
      </c>
      <c r="L58" s="8">
        <v>41500</v>
      </c>
      <c r="M58" s="6">
        <v>7000</v>
      </c>
      <c r="N58" s="8">
        <v>48500</v>
      </c>
      <c r="O58" s="6">
        <v>7000</v>
      </c>
      <c r="P58" s="8">
        <v>52000</v>
      </c>
      <c r="Q58" s="6">
        <v>7000</v>
      </c>
      <c r="R58" s="8">
        <v>47000</v>
      </c>
      <c r="S58" s="6">
        <v>7000</v>
      </c>
      <c r="T58" s="8">
        <v>6</v>
      </c>
    </row>
    <row r="59" spans="1:20">
      <c r="G59" s="11" t="s">
        <v>53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</sheetData>
  <mergeCells count="54">
    <mergeCell ref="G59:T59"/>
    <mergeCell ref="G44:P44"/>
    <mergeCell ref="A46:T46"/>
    <mergeCell ref="A47:A49"/>
    <mergeCell ref="B47:S47"/>
    <mergeCell ref="T47:T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A31:T31"/>
    <mergeCell ref="A33:T33"/>
    <mergeCell ref="A34:A36"/>
    <mergeCell ref="B34:O34"/>
    <mergeCell ref="P34:P36"/>
    <mergeCell ref="B35:C35"/>
    <mergeCell ref="D35:E35"/>
    <mergeCell ref="F35:G35"/>
    <mergeCell ref="H35:I35"/>
    <mergeCell ref="J35:K35"/>
    <mergeCell ref="L35:M35"/>
    <mergeCell ref="N35:O35"/>
    <mergeCell ref="A1:T1"/>
    <mergeCell ref="A3:T3"/>
    <mergeCell ref="A4:A6"/>
    <mergeCell ref="B4:O4"/>
    <mergeCell ref="B5:C5"/>
    <mergeCell ref="D5:E5"/>
    <mergeCell ref="F5:G5"/>
    <mergeCell ref="H5:I5"/>
    <mergeCell ref="J5:K5"/>
    <mergeCell ref="L5:M5"/>
    <mergeCell ref="N5:O5"/>
    <mergeCell ref="P4:P6"/>
    <mergeCell ref="G14:P14"/>
    <mergeCell ref="A16:T16"/>
    <mergeCell ref="B17:S17"/>
    <mergeCell ref="A17:A19"/>
    <mergeCell ref="B18:C18"/>
    <mergeCell ref="D18:E18"/>
    <mergeCell ref="F18:G18"/>
    <mergeCell ref="H18:I18"/>
    <mergeCell ref="G29:T29"/>
    <mergeCell ref="J18:K18"/>
    <mergeCell ref="L18:M18"/>
    <mergeCell ref="N18:O18"/>
    <mergeCell ref="P18:Q18"/>
    <mergeCell ref="R18:S18"/>
    <mergeCell ref="T17:T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5</vt:i4>
      </vt:variant>
    </vt:vector>
  </HeadingPairs>
  <TitlesOfParts>
    <vt:vector size="8" baseType="lpstr">
      <vt:lpstr>Hoja1</vt:lpstr>
      <vt:lpstr>Hoja2</vt:lpstr>
      <vt:lpstr>Hoja3</vt:lpstr>
      <vt:lpstr>Gráfico5</vt:lpstr>
      <vt:lpstr>Gráfico4</vt:lpstr>
      <vt:lpstr>Gráfico1</vt:lpstr>
      <vt:lpstr>Gráfico2</vt:lpstr>
      <vt:lpstr>Gráfico3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carreño</dc:creator>
  <cp:lastModifiedBy>Carreño-01</cp:lastModifiedBy>
  <dcterms:created xsi:type="dcterms:W3CDTF">2016-12-06T17:42:43Z</dcterms:created>
  <dcterms:modified xsi:type="dcterms:W3CDTF">2019-05-02T11:59:46Z</dcterms:modified>
</cp:coreProperties>
</file>