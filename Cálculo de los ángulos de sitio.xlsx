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05" windowWidth="20115" windowHeight="7485" activeTab="7"/>
  </bookViews>
  <sheets>
    <sheet name="Gráfico1" sheetId="4" r:id="rId1"/>
    <sheet name="Gráfico2" sheetId="5" r:id="rId2"/>
    <sheet name="Gráfico3" sheetId="6" r:id="rId3"/>
    <sheet name="Gráfico4" sheetId="7" r:id="rId4"/>
    <sheet name="Gráfico5" sheetId="8" r:id="rId5"/>
    <sheet name="Gráfico6" sheetId="9" r:id="rId6"/>
    <sheet name="Gráfico7" sheetId="10" r:id="rId7"/>
    <sheet name="Hoja1" sheetId="1" r:id="rId8"/>
    <sheet name="Hoja2" sheetId="2" r:id="rId9"/>
    <sheet name="Hoja3" sheetId="3" r:id="rId10"/>
  </sheets>
  <calcPr calcId="124519"/>
</workbook>
</file>

<file path=xl/calcChain.xml><?xml version="1.0" encoding="utf-8"?>
<calcChain xmlns="http://schemas.openxmlformats.org/spreadsheetml/2006/main">
  <c r="J27" i="1"/>
  <c r="B46"/>
  <c r="F57"/>
  <c r="F56"/>
  <c r="F55"/>
  <c r="F54"/>
  <c r="F53"/>
  <c r="F52"/>
  <c r="E57"/>
  <c r="D57"/>
  <c r="E56"/>
  <c r="D56"/>
  <c r="E55"/>
  <c r="D55"/>
  <c r="E54"/>
  <c r="D54"/>
  <c r="E53"/>
  <c r="D53"/>
  <c r="E52"/>
  <c r="D52"/>
  <c r="C57"/>
  <c r="C56"/>
  <c r="C55"/>
  <c r="C54"/>
  <c r="C53"/>
  <c r="C52"/>
  <c r="J20"/>
  <c r="J19"/>
  <c r="J18"/>
  <c r="J17"/>
  <c r="J16"/>
  <c r="J14"/>
  <c r="J15"/>
  <c r="I20"/>
  <c r="G20"/>
  <c r="E20"/>
  <c r="C20"/>
  <c r="I10"/>
  <c r="G10"/>
  <c r="E10"/>
  <c r="C10"/>
  <c r="N10"/>
  <c r="M10"/>
  <c r="L10"/>
  <c r="N46"/>
  <c r="M46"/>
  <c r="L46"/>
  <c r="K46"/>
  <c r="J46"/>
  <c r="P41"/>
  <c r="P40"/>
  <c r="P38"/>
  <c r="P37"/>
  <c r="P34"/>
  <c r="P33"/>
  <c r="P32"/>
  <c r="O32"/>
  <c r="N32"/>
  <c r="M32"/>
  <c r="M33"/>
  <c r="L32"/>
  <c r="K32"/>
  <c r="J32"/>
  <c r="H41"/>
  <c r="H40"/>
  <c r="H38"/>
  <c r="H37"/>
  <c r="H34"/>
  <c r="H33"/>
  <c r="H32"/>
  <c r="L24"/>
  <c r="G32"/>
  <c r="F32"/>
  <c r="E32"/>
  <c r="D32"/>
  <c r="D33"/>
  <c r="C46"/>
  <c r="C32"/>
  <c r="E28"/>
  <c r="D28"/>
  <c r="L23"/>
  <c r="L22"/>
  <c r="G33" s="1"/>
  <c r="L21"/>
  <c r="N33" s="1"/>
  <c r="L20"/>
  <c r="E27"/>
  <c r="K33" s="1"/>
  <c r="F33" l="1"/>
  <c r="E33"/>
  <c r="C45"/>
  <c r="K45"/>
  <c r="C33"/>
  <c r="J44"/>
  <c r="L34"/>
  <c r="O33"/>
  <c r="T18"/>
  <c r="T16"/>
  <c r="R18"/>
  <c r="P16"/>
  <c r="O18"/>
  <c r="N14"/>
  <c r="R12"/>
  <c r="N12"/>
  <c r="N9"/>
  <c r="L9"/>
  <c r="N8"/>
  <c r="M8"/>
  <c r="M9"/>
  <c r="L8"/>
  <c r="N7"/>
  <c r="M7"/>
  <c r="L7"/>
  <c r="N6"/>
  <c r="L6"/>
  <c r="N5"/>
  <c r="N4"/>
  <c r="M4"/>
  <c r="M6"/>
  <c r="L5"/>
  <c r="M5"/>
  <c r="L19"/>
  <c r="T19" s="1"/>
  <c r="L18"/>
  <c r="Q18" s="1"/>
  <c r="L17"/>
  <c r="R17" s="1"/>
  <c r="L16"/>
  <c r="Q16" s="1"/>
  <c r="L15"/>
  <c r="R15" s="1"/>
  <c r="L14"/>
  <c r="Q14" s="1"/>
  <c r="L13"/>
  <c r="T13" s="1"/>
  <c r="L12"/>
  <c r="P12" s="1"/>
  <c r="S19" l="1"/>
  <c r="O15"/>
  <c r="P15"/>
  <c r="R14"/>
  <c r="S18"/>
  <c r="O14"/>
  <c r="P14"/>
  <c r="P19"/>
  <c r="S15"/>
  <c r="T15"/>
  <c r="N18"/>
  <c r="O19"/>
  <c r="P18"/>
  <c r="S14"/>
  <c r="T14"/>
  <c r="L33"/>
  <c r="J45"/>
  <c r="Q13"/>
  <c r="N13"/>
  <c r="R13"/>
  <c r="T12"/>
  <c r="N16"/>
  <c r="O13"/>
  <c r="O17"/>
  <c r="Q15"/>
  <c r="R16"/>
  <c r="S13"/>
  <c r="S17"/>
  <c r="O12"/>
  <c r="S12"/>
  <c r="N15"/>
  <c r="N19"/>
  <c r="O16"/>
  <c r="P13"/>
  <c r="P17"/>
  <c r="R19"/>
  <c r="S16"/>
  <c r="T17"/>
  <c r="Q17"/>
  <c r="Q12"/>
  <c r="N17"/>
  <c r="Q19"/>
  <c r="C19"/>
  <c r="C18"/>
  <c r="C15"/>
  <c r="C9"/>
  <c r="C8"/>
  <c r="C5"/>
  <c r="I15"/>
  <c r="I5"/>
  <c r="G5"/>
  <c r="E5"/>
  <c r="E26"/>
  <c r="G15" s="1"/>
  <c r="E25"/>
  <c r="E24"/>
  <c r="E23"/>
  <c r="E22"/>
  <c r="D27"/>
  <c r="D22"/>
  <c r="D26"/>
  <c r="D25"/>
  <c r="D24"/>
  <c r="D23"/>
  <c r="I9" l="1"/>
  <c r="J34"/>
  <c r="K43"/>
  <c r="M45"/>
  <c r="L44"/>
  <c r="C43"/>
  <c r="K35"/>
  <c r="L36"/>
  <c r="J42"/>
  <c r="C35"/>
  <c r="N45"/>
  <c r="L43"/>
  <c r="K42"/>
  <c r="L39"/>
  <c r="J39"/>
  <c r="C36"/>
  <c r="J35"/>
  <c r="C42"/>
  <c r="M44"/>
  <c r="K36"/>
  <c r="K37"/>
  <c r="C37"/>
  <c r="K41"/>
  <c r="C41"/>
  <c r="C38"/>
  <c r="K38"/>
  <c r="C40"/>
  <c r="K40"/>
  <c r="L35"/>
  <c r="J43"/>
  <c r="C44"/>
  <c r="C34"/>
  <c r="J33"/>
  <c r="K34"/>
  <c r="K44"/>
  <c r="L45"/>
  <c r="C7"/>
  <c r="E7" s="1"/>
  <c r="E9"/>
  <c r="G19"/>
  <c r="C17"/>
  <c r="C16"/>
  <c r="E15"/>
  <c r="E14" s="1"/>
  <c r="C6"/>
  <c r="C4"/>
  <c r="I14" s="1"/>
  <c r="G9"/>
  <c r="C14"/>
  <c r="G18"/>
  <c r="I19"/>
  <c r="I18"/>
  <c r="I16"/>
  <c r="G7"/>
  <c r="E8"/>
  <c r="G8"/>
  <c r="I8"/>
  <c r="I7" l="1"/>
  <c r="E17"/>
  <c r="G17"/>
  <c r="I17"/>
  <c r="G40"/>
  <c r="F40"/>
  <c r="E40"/>
  <c r="B40"/>
  <c r="D40"/>
  <c r="N41"/>
  <c r="O41"/>
  <c r="M41"/>
  <c r="J40"/>
  <c r="J41"/>
  <c r="J38"/>
  <c r="J37"/>
  <c r="N40"/>
  <c r="O40"/>
  <c r="M40"/>
  <c r="G41"/>
  <c r="E41"/>
  <c r="B41"/>
  <c r="F41"/>
  <c r="D41"/>
  <c r="I6"/>
  <c r="E6"/>
  <c r="G6"/>
  <c r="G38"/>
  <c r="F38"/>
  <c r="E38"/>
  <c r="D38"/>
  <c r="B38"/>
  <c r="N37"/>
  <c r="O37"/>
  <c r="M37"/>
  <c r="I4"/>
  <c r="G4"/>
  <c r="E4"/>
  <c r="N38"/>
  <c r="O38"/>
  <c r="M38"/>
  <c r="G37"/>
  <c r="F37"/>
  <c r="E37"/>
  <c r="D37"/>
  <c r="B37"/>
  <c r="L40"/>
  <c r="L37"/>
  <c r="L38"/>
  <c r="L41"/>
  <c r="E19"/>
  <c r="E18"/>
  <c r="G16"/>
  <c r="E16"/>
  <c r="G14"/>
</calcChain>
</file>

<file path=xl/sharedStrings.xml><?xml version="1.0" encoding="utf-8"?>
<sst xmlns="http://schemas.openxmlformats.org/spreadsheetml/2006/main" count="125" uniqueCount="62">
  <si>
    <t>Cálculo de Ángulos de Sitio, para diferentes inclinaciones de antena.</t>
  </si>
  <si>
    <t>Inclinación de la antena</t>
  </si>
  <si>
    <t>0°</t>
  </si>
  <si>
    <t>-1°</t>
  </si>
  <si>
    <t>ángulo sitio 10'</t>
  </si>
  <si>
    <t>ángulo sitio 30'</t>
  </si>
  <si>
    <t>ángulo sitio 1°</t>
  </si>
  <si>
    <t>ángulo sitio 2°</t>
  </si>
  <si>
    <t>ángulo sitio 3°</t>
  </si>
  <si>
    <t>ángulo sitio 4°</t>
  </si>
  <si>
    <t>ángulo sitio 0°</t>
  </si>
  <si>
    <t>Altura mts</t>
  </si>
  <si>
    <t>Distancia ms</t>
  </si>
  <si>
    <t>Cálculo de los valores de los límites del patrón para diferentes ángulos de sitio</t>
  </si>
  <si>
    <t>tang -1°</t>
  </si>
  <si>
    <t>tang  0°</t>
  </si>
  <si>
    <t>tang 1°</t>
  </si>
  <si>
    <t>tang 2°</t>
  </si>
  <si>
    <t>tang 3°</t>
  </si>
  <si>
    <t>tang 4°</t>
  </si>
  <si>
    <t>tang 5°</t>
  </si>
  <si>
    <t>tang -2°</t>
  </si>
  <si>
    <t>Eje Focal (0°)</t>
  </si>
  <si>
    <t>1°</t>
  </si>
  <si>
    <t>menos 1°</t>
  </si>
  <si>
    <t>Distancia</t>
  </si>
  <si>
    <t>Cálculo de la posición del ángulo de sitio a 10 Kms de distancia para diferentes ángulos de la antena</t>
  </si>
  <si>
    <t>Valor por altura a 10 Kms de distancia del rótulo del ángulo de sitio</t>
  </si>
  <si>
    <t>Eje Focal -1°</t>
  </si>
  <si>
    <t>Eje Focal 0°</t>
  </si>
  <si>
    <t>Eje Focal 1°</t>
  </si>
  <si>
    <t>Eje Focal 2°</t>
  </si>
  <si>
    <t>Eje Focal 3°</t>
  </si>
  <si>
    <t>Eje Focal 4°</t>
  </si>
  <si>
    <t>Ángulo de Sitio</t>
  </si>
  <si>
    <t>4°</t>
  </si>
  <si>
    <t>3°</t>
  </si>
  <si>
    <t>2°</t>
  </si>
  <si>
    <t>30'</t>
  </si>
  <si>
    <t>10'</t>
  </si>
  <si>
    <t>(-10')</t>
  </si>
  <si>
    <t>(-30')</t>
  </si>
  <si>
    <t>(-1°)</t>
  </si>
  <si>
    <t>(-2°)</t>
  </si>
  <si>
    <t>(-3°)</t>
  </si>
  <si>
    <t>(-4°)</t>
  </si>
  <si>
    <t>tang 6°</t>
  </si>
  <si>
    <t>tang 7°</t>
  </si>
  <si>
    <t>tang 8°</t>
  </si>
  <si>
    <t>tang 9°</t>
  </si>
  <si>
    <t>Cálculo de la posición del ángulo de sitio a 150 Kms de distancia para diferentes ángulos de la antena</t>
  </si>
  <si>
    <t>Valor por altura a 150 Kms de distancia del rótulo del ángulo de sitio</t>
  </si>
  <si>
    <t>5°</t>
  </si>
  <si>
    <t>(-5°)</t>
  </si>
  <si>
    <t>Eje Focal 5°</t>
  </si>
  <si>
    <t>tang 10°</t>
  </si>
  <si>
    <t>ángulo sitio 5°</t>
  </si>
  <si>
    <t>Extrapolación de Valores de alcance Zona Plana de Fuego</t>
  </si>
  <si>
    <t>Medio</t>
  </si>
  <si>
    <t>12,7</t>
  </si>
  <si>
    <t>14,5</t>
  </si>
  <si>
    <t>Cuadrado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</si>
</sst>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theme" Target="theme/theme1.xml"/><Relationship Id="rId5" Type="http://schemas.openxmlformats.org/officeDocument/2006/relationships/chartsheet" Target="chartsheets/sheet5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Ángulos de Sitio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X*tang(-2°)</c:v>
          </c:tx>
          <c:cat>
            <c:numRef>
              <c:f>Hoja1!$N$11:$T$11</c:f>
              <c:numCache>
                <c:formatCode>General</c:formatCode>
                <c:ptCount val="7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cat>
          <c:val>
            <c:numRef>
              <c:f>Hoja1!$N$12:$T$12</c:f>
              <c:numCache>
                <c:formatCode>General</c:formatCode>
                <c:ptCount val="7"/>
                <c:pt idx="0">
                  <c:v>0</c:v>
                </c:pt>
                <c:pt idx="1">
                  <c:v>-174.60384745873864</c:v>
                </c:pt>
                <c:pt idx="2">
                  <c:v>-349.20769491747728</c:v>
                </c:pt>
                <c:pt idx="3">
                  <c:v>-523.81154237621593</c:v>
                </c:pt>
                <c:pt idx="4">
                  <c:v>-698.41538983495457</c:v>
                </c:pt>
                <c:pt idx="5">
                  <c:v>-873.01923729369321</c:v>
                </c:pt>
                <c:pt idx="6">
                  <c:v>-1047.6230847524319</c:v>
                </c:pt>
              </c:numCache>
            </c:numRef>
          </c:val>
        </c:ser>
        <c:ser>
          <c:idx val="1"/>
          <c:order val="1"/>
          <c:tx>
            <c:v>X*tang(-1°)</c:v>
          </c:tx>
          <c:val>
            <c:numRef>
              <c:f>Hoja1!$N$13:$T$13</c:f>
              <c:numCache>
                <c:formatCode>General</c:formatCode>
                <c:ptCount val="7"/>
                <c:pt idx="0">
                  <c:v>0</c:v>
                </c:pt>
                <c:pt idx="1">
                  <c:v>-87.275324641087934</c:v>
                </c:pt>
                <c:pt idx="2">
                  <c:v>-174.55064928217587</c:v>
                </c:pt>
                <c:pt idx="3">
                  <c:v>-261.8259739232638</c:v>
                </c:pt>
                <c:pt idx="4">
                  <c:v>-349.10129856435174</c:v>
                </c:pt>
                <c:pt idx="5">
                  <c:v>-436.37662320543961</c:v>
                </c:pt>
                <c:pt idx="6">
                  <c:v>-523.65194784652761</c:v>
                </c:pt>
              </c:numCache>
            </c:numRef>
          </c:val>
        </c:ser>
        <c:ser>
          <c:idx val="2"/>
          <c:order val="2"/>
          <c:tx>
            <c:v>X*tang(0°)</c:v>
          </c:tx>
          <c:val>
            <c:numRef>
              <c:f>Hoja1!$N$14:$T$14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v>X*tang(1°)</c:v>
          </c:tx>
          <c:val>
            <c:numRef>
              <c:f>Hoja1!$N$15:$T$15</c:f>
              <c:numCache>
                <c:formatCode>General</c:formatCode>
                <c:ptCount val="7"/>
                <c:pt idx="0">
                  <c:v>0</c:v>
                </c:pt>
                <c:pt idx="1">
                  <c:v>87.275324641087934</c:v>
                </c:pt>
                <c:pt idx="2">
                  <c:v>174.55064928217587</c:v>
                </c:pt>
                <c:pt idx="3">
                  <c:v>261.8259739232638</c:v>
                </c:pt>
                <c:pt idx="4">
                  <c:v>349.10129856435174</c:v>
                </c:pt>
                <c:pt idx="5">
                  <c:v>436.37662320543961</c:v>
                </c:pt>
                <c:pt idx="6">
                  <c:v>523.65194784652761</c:v>
                </c:pt>
              </c:numCache>
            </c:numRef>
          </c:val>
        </c:ser>
        <c:ser>
          <c:idx val="4"/>
          <c:order val="4"/>
          <c:tx>
            <c:v>X*tang(2°)</c:v>
          </c:tx>
          <c:val>
            <c:numRef>
              <c:f>Hoja1!$N$16:$T$16</c:f>
              <c:numCache>
                <c:formatCode>General</c:formatCode>
                <c:ptCount val="7"/>
                <c:pt idx="0">
                  <c:v>0</c:v>
                </c:pt>
                <c:pt idx="1">
                  <c:v>174.60384745873864</c:v>
                </c:pt>
                <c:pt idx="2">
                  <c:v>349.20769491747728</c:v>
                </c:pt>
                <c:pt idx="3">
                  <c:v>523.81154237621593</c:v>
                </c:pt>
                <c:pt idx="4">
                  <c:v>698.41538983495457</c:v>
                </c:pt>
                <c:pt idx="5">
                  <c:v>873.01923729369321</c:v>
                </c:pt>
                <c:pt idx="6">
                  <c:v>1047.6230847524319</c:v>
                </c:pt>
              </c:numCache>
            </c:numRef>
          </c:val>
        </c:ser>
        <c:ser>
          <c:idx val="5"/>
          <c:order val="5"/>
          <c:tx>
            <c:v>X*tang(3°)</c:v>
          </c:tx>
          <c:val>
            <c:numRef>
              <c:f>Hoja1!$N$17:$T$17</c:f>
              <c:numCache>
                <c:formatCode>General</c:formatCode>
                <c:ptCount val="7"/>
                <c:pt idx="0">
                  <c:v>0</c:v>
                </c:pt>
                <c:pt idx="1">
                  <c:v>262.03889641520595</c:v>
                </c:pt>
                <c:pt idx="2">
                  <c:v>524.07779283041191</c:v>
                </c:pt>
                <c:pt idx="3">
                  <c:v>786.11668924561798</c:v>
                </c:pt>
                <c:pt idx="4">
                  <c:v>1048.1555856608238</c:v>
                </c:pt>
                <c:pt idx="5">
                  <c:v>1310.19448207603</c:v>
                </c:pt>
                <c:pt idx="6">
                  <c:v>1572.233378491236</c:v>
                </c:pt>
              </c:numCache>
            </c:numRef>
          </c:val>
        </c:ser>
        <c:ser>
          <c:idx val="6"/>
          <c:order val="6"/>
          <c:tx>
            <c:v>X*tang(4°)</c:v>
          </c:tx>
          <c:val>
            <c:numRef>
              <c:f>Hoja1!$N$18:$T$18</c:f>
              <c:numCache>
                <c:formatCode>General</c:formatCode>
                <c:ptCount val="7"/>
                <c:pt idx="0">
                  <c:v>0</c:v>
                </c:pt>
                <c:pt idx="1">
                  <c:v>349.63405971755208</c:v>
                </c:pt>
                <c:pt idx="2">
                  <c:v>699.26811943510415</c:v>
                </c:pt>
                <c:pt idx="3">
                  <c:v>1048.9021791526561</c:v>
                </c:pt>
                <c:pt idx="4">
                  <c:v>1398.5362388702083</c:v>
                </c:pt>
                <c:pt idx="5">
                  <c:v>1748.1702985877603</c:v>
                </c:pt>
                <c:pt idx="6">
                  <c:v>2097.8043583053122</c:v>
                </c:pt>
              </c:numCache>
            </c:numRef>
          </c:val>
        </c:ser>
        <c:ser>
          <c:idx val="7"/>
          <c:order val="7"/>
          <c:tx>
            <c:v>X*tang(5°)</c:v>
          </c:tx>
          <c:val>
            <c:numRef>
              <c:f>Hoja1!$N$19:$T$19</c:f>
              <c:numCache>
                <c:formatCode>General</c:formatCode>
                <c:ptCount val="7"/>
                <c:pt idx="0">
                  <c:v>0</c:v>
                </c:pt>
                <c:pt idx="1">
                  <c:v>437.44331762962003</c:v>
                </c:pt>
                <c:pt idx="2">
                  <c:v>874.88663525924005</c:v>
                </c:pt>
                <c:pt idx="3">
                  <c:v>1312.3299528888601</c:v>
                </c:pt>
                <c:pt idx="4">
                  <c:v>1749.7732705184801</c:v>
                </c:pt>
                <c:pt idx="5">
                  <c:v>2187.2165881481001</c:v>
                </c:pt>
                <c:pt idx="6">
                  <c:v>2624.6599057777203</c:v>
                </c:pt>
              </c:numCache>
            </c:numRef>
          </c:val>
        </c:ser>
        <c:marker val="1"/>
        <c:axId val="83316736"/>
        <c:axId val="83318272"/>
      </c:lineChart>
      <c:catAx>
        <c:axId val="83316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83318272"/>
        <c:crosses val="autoZero"/>
        <c:auto val="1"/>
        <c:lblAlgn val="ctr"/>
        <c:lblOffset val="100"/>
      </c:catAx>
      <c:valAx>
        <c:axId val="8331827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lang="es-MX"/>
                </a:pPr>
                <a:r>
                  <a:rPr lang="en-US"/>
                  <a:t>Valor de la función</a:t>
                </a:r>
              </a:p>
            </c:rich>
          </c:tx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83316736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en ángulo de sitio  0°</a:t>
            </a:r>
          </a:p>
        </c:rich>
      </c:tx>
    </c:title>
    <c:plotArea>
      <c:layout/>
      <c:lineChart>
        <c:grouping val="standard"/>
        <c:ser>
          <c:idx val="2"/>
          <c:order val="0"/>
          <c:tx>
            <c:v>-1° [X*tang(-1°)]</c:v>
          </c:tx>
          <c:val>
            <c:numRef>
              <c:f>Hoja1!$N$13:$T$13</c:f>
              <c:numCache>
                <c:formatCode>General</c:formatCode>
                <c:ptCount val="7"/>
                <c:pt idx="0">
                  <c:v>0</c:v>
                </c:pt>
                <c:pt idx="1">
                  <c:v>-87.275324641087934</c:v>
                </c:pt>
                <c:pt idx="2">
                  <c:v>-174.55064928217587</c:v>
                </c:pt>
                <c:pt idx="3">
                  <c:v>-261.8259739232638</c:v>
                </c:pt>
                <c:pt idx="4">
                  <c:v>-349.10129856435174</c:v>
                </c:pt>
                <c:pt idx="5">
                  <c:v>-436.37662320543961</c:v>
                </c:pt>
                <c:pt idx="6">
                  <c:v>-523.65194784652761</c:v>
                </c:pt>
              </c:numCache>
            </c:numRef>
          </c:val>
        </c:ser>
        <c:ser>
          <c:idx val="3"/>
          <c:order val="1"/>
          <c:tx>
            <c:v>X*tang(0°) Eje focal</c:v>
          </c:tx>
          <c:val>
            <c:numRef>
              <c:f>Hoja1!$N$14:$T$14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2"/>
          <c:tx>
            <c:v>1° [X*tang(1°)]</c:v>
          </c:tx>
          <c:val>
            <c:numRef>
              <c:f>Hoja1!$N$15:$T$15</c:f>
              <c:numCache>
                <c:formatCode>General</c:formatCode>
                <c:ptCount val="7"/>
                <c:pt idx="0">
                  <c:v>0</c:v>
                </c:pt>
                <c:pt idx="1">
                  <c:v>87.275324641087934</c:v>
                </c:pt>
                <c:pt idx="2">
                  <c:v>174.55064928217587</c:v>
                </c:pt>
                <c:pt idx="3">
                  <c:v>261.8259739232638</c:v>
                </c:pt>
                <c:pt idx="4">
                  <c:v>349.10129856435174</c:v>
                </c:pt>
                <c:pt idx="5">
                  <c:v>436.37662320543961</c:v>
                </c:pt>
                <c:pt idx="6">
                  <c:v>523.65194784652761</c:v>
                </c:pt>
              </c:numCache>
            </c:numRef>
          </c:val>
        </c:ser>
        <c:marker val="1"/>
        <c:axId val="55508992"/>
        <c:axId val="55510528"/>
      </c:lineChart>
      <c:catAx>
        <c:axId val="55508992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510528"/>
        <c:crosses val="autoZero"/>
        <c:auto val="1"/>
        <c:lblAlgn val="ctr"/>
        <c:lblOffset val="100"/>
      </c:catAx>
      <c:valAx>
        <c:axId val="55510528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50899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en ángulo de sitio -1°</a:t>
            </a:r>
          </a:p>
        </c:rich>
      </c:tx>
    </c:title>
    <c:plotArea>
      <c:layout/>
      <c:lineChart>
        <c:grouping val="standard"/>
        <c:ser>
          <c:idx val="1"/>
          <c:order val="0"/>
          <c:tx>
            <c:v>-1° [X*tang(-2°)]</c:v>
          </c:tx>
          <c:val>
            <c:numRef>
              <c:f>Hoja1!$N$12:$T$12</c:f>
              <c:numCache>
                <c:formatCode>General</c:formatCode>
                <c:ptCount val="7"/>
                <c:pt idx="0">
                  <c:v>0</c:v>
                </c:pt>
                <c:pt idx="1">
                  <c:v>-174.60384745873864</c:v>
                </c:pt>
                <c:pt idx="2">
                  <c:v>-349.20769491747728</c:v>
                </c:pt>
                <c:pt idx="3">
                  <c:v>-523.81154237621593</c:v>
                </c:pt>
                <c:pt idx="4">
                  <c:v>-698.41538983495457</c:v>
                </c:pt>
                <c:pt idx="5">
                  <c:v>-873.01923729369321</c:v>
                </c:pt>
                <c:pt idx="6">
                  <c:v>-1047.6230847524319</c:v>
                </c:pt>
              </c:numCache>
            </c:numRef>
          </c:val>
        </c:ser>
        <c:ser>
          <c:idx val="2"/>
          <c:order val="1"/>
          <c:tx>
            <c:v>X*tang(-1) Eje Focal</c:v>
          </c:tx>
          <c:val>
            <c:numRef>
              <c:f>Hoja1!$N$13:$T$13</c:f>
              <c:numCache>
                <c:formatCode>General</c:formatCode>
                <c:ptCount val="7"/>
                <c:pt idx="0">
                  <c:v>0</c:v>
                </c:pt>
                <c:pt idx="1">
                  <c:v>-87.275324641087934</c:v>
                </c:pt>
                <c:pt idx="2">
                  <c:v>-174.55064928217587</c:v>
                </c:pt>
                <c:pt idx="3">
                  <c:v>-261.8259739232638</c:v>
                </c:pt>
                <c:pt idx="4">
                  <c:v>-349.10129856435174</c:v>
                </c:pt>
                <c:pt idx="5">
                  <c:v>-436.37662320543961</c:v>
                </c:pt>
                <c:pt idx="6">
                  <c:v>-523.65194784652761</c:v>
                </c:pt>
              </c:numCache>
            </c:numRef>
          </c:val>
        </c:ser>
        <c:ser>
          <c:idx val="3"/>
          <c:order val="2"/>
          <c:tx>
            <c:v>1° [X*tang(0°)]</c:v>
          </c:tx>
          <c:val>
            <c:numRef>
              <c:f>Hoja1!$N$14:$T$14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5774592"/>
        <c:axId val="55788672"/>
      </c:lineChart>
      <c:catAx>
        <c:axId val="55774592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788672"/>
        <c:crosses val="autoZero"/>
        <c:auto val="1"/>
        <c:lblAlgn val="ctr"/>
        <c:lblOffset val="100"/>
      </c:catAx>
      <c:valAx>
        <c:axId val="55788672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77459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en ángulo de sitio 1°</a:t>
            </a:r>
          </a:p>
        </c:rich>
      </c:tx>
    </c:title>
    <c:plotArea>
      <c:layout/>
      <c:lineChart>
        <c:grouping val="standard"/>
        <c:ser>
          <c:idx val="3"/>
          <c:order val="0"/>
          <c:tx>
            <c:v>X*tang(1°) Eje focal</c:v>
          </c:tx>
          <c:val>
            <c:numRef>
              <c:f>Hoja1!$N$15:$T$15</c:f>
              <c:numCache>
                <c:formatCode>General</c:formatCode>
                <c:ptCount val="7"/>
                <c:pt idx="0">
                  <c:v>0</c:v>
                </c:pt>
                <c:pt idx="1">
                  <c:v>87.275324641087934</c:v>
                </c:pt>
                <c:pt idx="2">
                  <c:v>174.55064928217587</c:v>
                </c:pt>
                <c:pt idx="3">
                  <c:v>261.8259739232638</c:v>
                </c:pt>
                <c:pt idx="4">
                  <c:v>349.10129856435174</c:v>
                </c:pt>
                <c:pt idx="5">
                  <c:v>436.37662320543961</c:v>
                </c:pt>
                <c:pt idx="6">
                  <c:v>523.65194784652761</c:v>
                </c:pt>
              </c:numCache>
            </c:numRef>
          </c:val>
        </c:ser>
        <c:ser>
          <c:idx val="4"/>
          <c:order val="1"/>
          <c:tx>
            <c:v>-1° [X*tang(0°)]</c:v>
          </c:tx>
          <c:val>
            <c:numRef>
              <c:f>Hoja1!$N$14:$T$14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5"/>
          <c:order val="2"/>
          <c:tx>
            <c:v>1° [X*tang(2°)]</c:v>
          </c:tx>
          <c:val>
            <c:numRef>
              <c:f>Hoja1!$N$16:$T$16</c:f>
              <c:numCache>
                <c:formatCode>General</c:formatCode>
                <c:ptCount val="7"/>
                <c:pt idx="0">
                  <c:v>0</c:v>
                </c:pt>
                <c:pt idx="1">
                  <c:v>174.60384745873864</c:v>
                </c:pt>
                <c:pt idx="2">
                  <c:v>349.20769491747728</c:v>
                </c:pt>
                <c:pt idx="3">
                  <c:v>523.81154237621593</c:v>
                </c:pt>
                <c:pt idx="4">
                  <c:v>698.41538983495457</c:v>
                </c:pt>
                <c:pt idx="5">
                  <c:v>873.01923729369321</c:v>
                </c:pt>
                <c:pt idx="6">
                  <c:v>1047.6230847524319</c:v>
                </c:pt>
              </c:numCache>
            </c:numRef>
          </c:val>
        </c:ser>
        <c:marker val="1"/>
        <c:axId val="55819264"/>
        <c:axId val="55825152"/>
      </c:lineChart>
      <c:catAx>
        <c:axId val="5581926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825152"/>
        <c:crosses val="autoZero"/>
        <c:auto val="1"/>
        <c:lblAlgn val="ctr"/>
        <c:lblOffset val="100"/>
      </c:catAx>
      <c:valAx>
        <c:axId val="55825152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819264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con ángulo de sitio 2°</a:t>
            </a:r>
          </a:p>
        </c:rich>
      </c:tx>
    </c:title>
    <c:plotArea>
      <c:layout/>
      <c:lineChart>
        <c:grouping val="standard"/>
        <c:ser>
          <c:idx val="4"/>
          <c:order val="0"/>
          <c:tx>
            <c:v>-1° [X*tang(1°)]</c:v>
          </c:tx>
          <c:val>
            <c:numRef>
              <c:f>Hoja1!$N$15:$T$15</c:f>
              <c:numCache>
                <c:formatCode>General</c:formatCode>
                <c:ptCount val="7"/>
                <c:pt idx="0">
                  <c:v>0</c:v>
                </c:pt>
                <c:pt idx="1">
                  <c:v>87.275324641087934</c:v>
                </c:pt>
                <c:pt idx="2">
                  <c:v>174.55064928217587</c:v>
                </c:pt>
                <c:pt idx="3">
                  <c:v>261.8259739232638</c:v>
                </c:pt>
                <c:pt idx="4">
                  <c:v>349.10129856435174</c:v>
                </c:pt>
                <c:pt idx="5">
                  <c:v>436.37662320543961</c:v>
                </c:pt>
                <c:pt idx="6">
                  <c:v>523.65194784652761</c:v>
                </c:pt>
              </c:numCache>
            </c:numRef>
          </c:val>
        </c:ser>
        <c:ser>
          <c:idx val="5"/>
          <c:order val="1"/>
          <c:tx>
            <c:v>X*tang(2°) Eje focal</c:v>
          </c:tx>
          <c:val>
            <c:numRef>
              <c:f>Hoja1!$N$16:$T$16</c:f>
              <c:numCache>
                <c:formatCode>General</c:formatCode>
                <c:ptCount val="7"/>
                <c:pt idx="0">
                  <c:v>0</c:v>
                </c:pt>
                <c:pt idx="1">
                  <c:v>174.60384745873864</c:v>
                </c:pt>
                <c:pt idx="2">
                  <c:v>349.20769491747728</c:v>
                </c:pt>
                <c:pt idx="3">
                  <c:v>523.81154237621593</c:v>
                </c:pt>
                <c:pt idx="4">
                  <c:v>698.41538983495457</c:v>
                </c:pt>
                <c:pt idx="5">
                  <c:v>873.01923729369321</c:v>
                </c:pt>
                <c:pt idx="6">
                  <c:v>1047.6230847524319</c:v>
                </c:pt>
              </c:numCache>
            </c:numRef>
          </c:val>
        </c:ser>
        <c:ser>
          <c:idx val="6"/>
          <c:order val="2"/>
          <c:tx>
            <c:v>1° [X*tang(3°)]</c:v>
          </c:tx>
          <c:val>
            <c:numRef>
              <c:f>Hoja1!$N$17:$T$17</c:f>
              <c:numCache>
                <c:formatCode>General</c:formatCode>
                <c:ptCount val="7"/>
                <c:pt idx="0">
                  <c:v>0</c:v>
                </c:pt>
                <c:pt idx="1">
                  <c:v>262.03889641520595</c:v>
                </c:pt>
                <c:pt idx="2">
                  <c:v>524.07779283041191</c:v>
                </c:pt>
                <c:pt idx="3">
                  <c:v>786.11668924561798</c:v>
                </c:pt>
                <c:pt idx="4">
                  <c:v>1048.1555856608238</c:v>
                </c:pt>
                <c:pt idx="5">
                  <c:v>1310.19448207603</c:v>
                </c:pt>
                <c:pt idx="6">
                  <c:v>1572.233378491236</c:v>
                </c:pt>
              </c:numCache>
            </c:numRef>
          </c:val>
        </c:ser>
        <c:marker val="1"/>
        <c:axId val="55765632"/>
        <c:axId val="55849344"/>
      </c:lineChart>
      <c:catAx>
        <c:axId val="55765632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849344"/>
        <c:crosses val="autoZero"/>
        <c:auto val="1"/>
        <c:lblAlgn val="ctr"/>
        <c:lblOffset val="100"/>
      </c:catAx>
      <c:valAx>
        <c:axId val="55849344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765632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con ángulo de sitio 3°</a:t>
            </a:r>
          </a:p>
        </c:rich>
      </c:tx>
    </c:title>
    <c:plotArea>
      <c:layout/>
      <c:lineChart>
        <c:grouping val="standard"/>
        <c:ser>
          <c:idx val="5"/>
          <c:order val="0"/>
          <c:tx>
            <c:v>-1 [X*tang(2°)]</c:v>
          </c:tx>
          <c:val>
            <c:numRef>
              <c:f>Hoja1!$N$16:$T$16</c:f>
              <c:numCache>
                <c:formatCode>General</c:formatCode>
                <c:ptCount val="7"/>
                <c:pt idx="0">
                  <c:v>0</c:v>
                </c:pt>
                <c:pt idx="1">
                  <c:v>174.60384745873864</c:v>
                </c:pt>
                <c:pt idx="2">
                  <c:v>349.20769491747728</c:v>
                </c:pt>
                <c:pt idx="3">
                  <c:v>523.81154237621593</c:v>
                </c:pt>
                <c:pt idx="4">
                  <c:v>698.41538983495457</c:v>
                </c:pt>
                <c:pt idx="5">
                  <c:v>873.01923729369321</c:v>
                </c:pt>
                <c:pt idx="6">
                  <c:v>1047.6230847524319</c:v>
                </c:pt>
              </c:numCache>
            </c:numRef>
          </c:val>
        </c:ser>
        <c:ser>
          <c:idx val="6"/>
          <c:order val="1"/>
          <c:tx>
            <c:v>X*tang(3°) Eje focal</c:v>
          </c:tx>
          <c:val>
            <c:numRef>
              <c:f>Hoja1!$N$17:$T$17</c:f>
              <c:numCache>
                <c:formatCode>General</c:formatCode>
                <c:ptCount val="7"/>
                <c:pt idx="0">
                  <c:v>0</c:v>
                </c:pt>
                <c:pt idx="1">
                  <c:v>262.03889641520595</c:v>
                </c:pt>
                <c:pt idx="2">
                  <c:v>524.07779283041191</c:v>
                </c:pt>
                <c:pt idx="3">
                  <c:v>786.11668924561798</c:v>
                </c:pt>
                <c:pt idx="4">
                  <c:v>1048.1555856608238</c:v>
                </c:pt>
                <c:pt idx="5">
                  <c:v>1310.19448207603</c:v>
                </c:pt>
                <c:pt idx="6">
                  <c:v>1572.233378491236</c:v>
                </c:pt>
              </c:numCache>
            </c:numRef>
          </c:val>
        </c:ser>
        <c:ser>
          <c:idx val="7"/>
          <c:order val="2"/>
          <c:tx>
            <c:v>1° [X*tang(4°)]</c:v>
          </c:tx>
          <c:val>
            <c:numRef>
              <c:f>Hoja1!$N$18:$T$18</c:f>
              <c:numCache>
                <c:formatCode>General</c:formatCode>
                <c:ptCount val="7"/>
                <c:pt idx="0">
                  <c:v>0</c:v>
                </c:pt>
                <c:pt idx="1">
                  <c:v>349.63405971755208</c:v>
                </c:pt>
                <c:pt idx="2">
                  <c:v>699.26811943510415</c:v>
                </c:pt>
                <c:pt idx="3">
                  <c:v>1048.9021791526561</c:v>
                </c:pt>
                <c:pt idx="4">
                  <c:v>1398.5362388702083</c:v>
                </c:pt>
                <c:pt idx="5">
                  <c:v>1748.1702985877603</c:v>
                </c:pt>
                <c:pt idx="6">
                  <c:v>2097.8043583053122</c:v>
                </c:pt>
              </c:numCache>
            </c:numRef>
          </c:val>
        </c:ser>
        <c:marker val="1"/>
        <c:axId val="55888128"/>
        <c:axId val="55889920"/>
      </c:lineChart>
      <c:catAx>
        <c:axId val="55888128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889920"/>
        <c:crosses val="autoZero"/>
        <c:auto val="1"/>
        <c:lblAlgn val="ctr"/>
        <c:lblOffset val="100"/>
      </c:catAx>
      <c:valAx>
        <c:axId val="55889920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888128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lang="es-MX"/>
            </a:pPr>
            <a:r>
              <a:rPr lang="en-US"/>
              <a:t>Para antena con angulo de sitio 4°</a:t>
            </a:r>
          </a:p>
        </c:rich>
      </c:tx>
    </c:title>
    <c:plotArea>
      <c:layout/>
      <c:lineChart>
        <c:grouping val="standard"/>
        <c:ser>
          <c:idx val="6"/>
          <c:order val="0"/>
          <c:tx>
            <c:v>-1°  [X*tang(3°)]</c:v>
          </c:tx>
          <c:val>
            <c:numRef>
              <c:f>Hoja1!$N$17:$T$17</c:f>
              <c:numCache>
                <c:formatCode>General</c:formatCode>
                <c:ptCount val="7"/>
                <c:pt idx="0">
                  <c:v>0</c:v>
                </c:pt>
                <c:pt idx="1">
                  <c:v>262.03889641520595</c:v>
                </c:pt>
                <c:pt idx="2">
                  <c:v>524.07779283041191</c:v>
                </c:pt>
                <c:pt idx="3">
                  <c:v>786.11668924561798</c:v>
                </c:pt>
                <c:pt idx="4">
                  <c:v>1048.1555856608238</c:v>
                </c:pt>
                <c:pt idx="5">
                  <c:v>1310.19448207603</c:v>
                </c:pt>
                <c:pt idx="6">
                  <c:v>1572.233378491236</c:v>
                </c:pt>
              </c:numCache>
            </c:numRef>
          </c:val>
        </c:ser>
        <c:ser>
          <c:idx val="7"/>
          <c:order val="1"/>
          <c:tx>
            <c:v>X*tang(4°) Eje focal</c:v>
          </c:tx>
          <c:val>
            <c:numRef>
              <c:f>Hoja1!$N$18:$T$18</c:f>
              <c:numCache>
                <c:formatCode>General</c:formatCode>
                <c:ptCount val="7"/>
                <c:pt idx="0">
                  <c:v>0</c:v>
                </c:pt>
                <c:pt idx="1">
                  <c:v>349.63405971755208</c:v>
                </c:pt>
                <c:pt idx="2">
                  <c:v>699.26811943510415</c:v>
                </c:pt>
                <c:pt idx="3">
                  <c:v>1048.9021791526561</c:v>
                </c:pt>
                <c:pt idx="4">
                  <c:v>1398.5362388702083</c:v>
                </c:pt>
                <c:pt idx="5">
                  <c:v>1748.1702985877603</c:v>
                </c:pt>
                <c:pt idx="6">
                  <c:v>2097.8043583053122</c:v>
                </c:pt>
              </c:numCache>
            </c:numRef>
          </c:val>
        </c:ser>
        <c:ser>
          <c:idx val="8"/>
          <c:order val="2"/>
          <c:tx>
            <c:v>1° [X*tang(5°)]</c:v>
          </c:tx>
          <c:val>
            <c:numRef>
              <c:f>Hoja1!$N$19:$T$19</c:f>
              <c:numCache>
                <c:formatCode>General</c:formatCode>
                <c:ptCount val="7"/>
                <c:pt idx="0">
                  <c:v>0</c:v>
                </c:pt>
                <c:pt idx="1">
                  <c:v>437.44331762962003</c:v>
                </c:pt>
                <c:pt idx="2">
                  <c:v>874.88663525924005</c:v>
                </c:pt>
                <c:pt idx="3">
                  <c:v>1312.3299528888601</c:v>
                </c:pt>
                <c:pt idx="4">
                  <c:v>1749.7732705184801</c:v>
                </c:pt>
                <c:pt idx="5">
                  <c:v>2187.2165881481001</c:v>
                </c:pt>
                <c:pt idx="6">
                  <c:v>2624.6599057777203</c:v>
                </c:pt>
              </c:numCache>
            </c:numRef>
          </c:val>
        </c:ser>
        <c:marker val="1"/>
        <c:axId val="55965568"/>
        <c:axId val="55967104"/>
      </c:lineChart>
      <c:catAx>
        <c:axId val="55965568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967104"/>
        <c:crosses val="autoZero"/>
        <c:auto val="1"/>
        <c:lblAlgn val="ctr"/>
        <c:lblOffset val="100"/>
      </c:catAx>
      <c:valAx>
        <c:axId val="55967104"/>
        <c:scaling>
          <c:orientation val="minMax"/>
        </c:scaling>
        <c:axPos val="l"/>
        <c:majorGridlines/>
        <c:title>
          <c:txPr>
            <a:bodyPr/>
            <a:lstStyle/>
            <a:p>
              <a:pPr>
                <a:defRPr lang="es-MX"/>
              </a:pPr>
              <a:endParaRPr lang="es-ES"/>
            </a:p>
          </c:txPr>
        </c:title>
        <c:numFmt formatCode="General" sourceLinked="1"/>
        <c:majorTickMark val="none"/>
        <c:tickLblPos val="nextTo"/>
        <c:txPr>
          <a:bodyPr/>
          <a:lstStyle/>
          <a:p>
            <a:pPr>
              <a:defRPr lang="es-MX"/>
            </a:pPr>
            <a:endParaRPr lang="es-ES"/>
          </a:p>
        </c:txPr>
        <c:crossAx val="55965568"/>
        <c:crosses val="autoZero"/>
        <c:crossBetween val="between"/>
      </c:valAx>
    </c:plotArea>
    <c:legend>
      <c:legendPos val="r"/>
      <c:txPr>
        <a:bodyPr/>
        <a:lstStyle/>
        <a:p>
          <a:pPr>
            <a:defRPr lang="es-MX"/>
          </a:pPr>
          <a:endParaRPr lang="es-ES"/>
        </a:p>
      </c:txPr>
    </c:legend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473" cy="6281351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tabSelected="1" topLeftCell="A13" workbookViewId="0">
      <selection activeCell="J28" sqref="J28"/>
    </sheetView>
  </sheetViews>
  <sheetFormatPr baseColWidth="10" defaultRowHeight="15"/>
  <cols>
    <col min="1" max="1" width="14.5703125" customWidth="1"/>
    <col min="2" max="2" width="13" customWidth="1"/>
    <col min="3" max="3" width="10.28515625" customWidth="1"/>
    <col min="4" max="4" width="13.42578125" customWidth="1"/>
    <col min="5" max="5" width="10.28515625" customWidth="1"/>
    <col min="6" max="6" width="13" customWidth="1"/>
    <col min="7" max="7" width="10" customWidth="1"/>
    <col min="8" max="8" width="12.7109375" customWidth="1"/>
    <col min="9" max="9" width="14.7109375" customWidth="1"/>
    <col min="10" max="10" width="13.5703125" customWidth="1"/>
    <col min="11" max="11" width="12.28515625" customWidth="1"/>
    <col min="12" max="12" width="12.85546875" customWidth="1"/>
    <col min="13" max="13" width="10.42578125" customWidth="1"/>
    <col min="14" max="14" width="13" customWidth="1"/>
    <col min="15" max="15" width="10.7109375" customWidth="1"/>
  </cols>
  <sheetData>
    <row r="1" spans="1:2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 t="s">
        <v>13</v>
      </c>
      <c r="L1" s="8"/>
      <c r="M1" s="8"/>
      <c r="N1" s="8"/>
      <c r="O1" s="8"/>
      <c r="P1" s="8"/>
      <c r="Q1" s="8"/>
      <c r="R1" s="8"/>
      <c r="S1" s="8"/>
      <c r="T1" s="8"/>
    </row>
    <row r="2" spans="1:20">
      <c r="A2" s="9" t="s">
        <v>1</v>
      </c>
      <c r="B2" s="9" t="s">
        <v>10</v>
      </c>
      <c r="C2" s="9"/>
      <c r="D2" s="8" t="s">
        <v>4</v>
      </c>
      <c r="E2" s="8"/>
      <c r="F2" s="8" t="s">
        <v>5</v>
      </c>
      <c r="G2" s="8"/>
      <c r="H2" t="s">
        <v>6</v>
      </c>
      <c r="K2" s="9" t="s">
        <v>1</v>
      </c>
      <c r="L2" s="7" t="s">
        <v>22</v>
      </c>
      <c r="M2" s="7" t="s">
        <v>24</v>
      </c>
      <c r="N2" s="7" t="s">
        <v>23</v>
      </c>
      <c r="O2" s="10"/>
    </row>
    <row r="3" spans="1:20">
      <c r="A3" s="9"/>
      <c r="B3" t="s">
        <v>12</v>
      </c>
      <c r="C3" t="s">
        <v>11</v>
      </c>
      <c r="D3" t="s">
        <v>12</v>
      </c>
      <c r="E3" t="s">
        <v>11</v>
      </c>
      <c r="F3" t="s">
        <v>12</v>
      </c>
      <c r="G3" t="s">
        <v>11</v>
      </c>
      <c r="H3" t="s">
        <v>12</v>
      </c>
      <c r="I3" t="s">
        <v>11</v>
      </c>
      <c r="K3" s="9"/>
      <c r="L3" s="7"/>
      <c r="M3" s="7"/>
      <c r="N3" s="7"/>
      <c r="O3" s="10"/>
    </row>
    <row r="4" spans="1:20">
      <c r="A4" s="2" t="s">
        <v>3</v>
      </c>
      <c r="B4" s="3">
        <v>320000</v>
      </c>
      <c r="C4" s="3">
        <f>PRODUCT(B4,-E24)</f>
        <v>-5585.6207770296278</v>
      </c>
      <c r="D4" s="3">
        <v>320000</v>
      </c>
      <c r="E4">
        <f>SUM(C4,E5)</f>
        <v>-4658.4992842712254</v>
      </c>
      <c r="F4" s="3">
        <v>320000</v>
      </c>
      <c r="G4">
        <f>SUM(C4,G5)</f>
        <v>-2793.0230839868154</v>
      </c>
      <c r="H4" s="3">
        <v>320000</v>
      </c>
      <c r="I4" s="1">
        <f>SUM(C4,I5)</f>
        <v>0</v>
      </c>
      <c r="K4" s="2" t="s">
        <v>3</v>
      </c>
      <c r="L4" s="1"/>
      <c r="M4" s="1">
        <f>TAN(-2*PI()/180)</f>
        <v>-3.492076949174773E-2</v>
      </c>
      <c r="N4" s="1">
        <f>TAN(0*PI()/180)</f>
        <v>0</v>
      </c>
    </row>
    <row r="5" spans="1:20">
      <c r="A5" s="3" t="s">
        <v>2</v>
      </c>
      <c r="B5" s="3">
        <v>320000</v>
      </c>
      <c r="C5" s="3">
        <f>PRODUCT(B5,0)</f>
        <v>0</v>
      </c>
      <c r="D5" s="3">
        <v>320000</v>
      </c>
      <c r="E5">
        <f>PRODUCT(D5,E22)</f>
        <v>927.12149275840216</v>
      </c>
      <c r="F5" s="3">
        <v>320000</v>
      </c>
      <c r="G5">
        <f>PRODUCT(F5,E23)</f>
        <v>2792.5976930428124</v>
      </c>
      <c r="H5" s="3">
        <v>320000</v>
      </c>
      <c r="I5">
        <f>PRODUCT(H5,E24)</f>
        <v>5585.6207770296278</v>
      </c>
      <c r="K5" s="3" t="s">
        <v>2</v>
      </c>
      <c r="L5" s="1">
        <f>TAN(0*PI()/180)</f>
        <v>0</v>
      </c>
      <c r="M5" s="1">
        <f>TAN(-1*PI()/180)</f>
        <v>-1.7455064928217585E-2</v>
      </c>
      <c r="N5" s="1">
        <f>TAN(1*PI()/180)</f>
        <v>1.7455064928217585E-2</v>
      </c>
    </row>
    <row r="6" spans="1:20">
      <c r="A6" s="6" t="s">
        <v>23</v>
      </c>
      <c r="B6" s="3">
        <v>320000</v>
      </c>
      <c r="C6" s="3">
        <f>PRODUCT(B6,E24)</f>
        <v>5585.6207770296278</v>
      </c>
      <c r="D6" s="3">
        <v>320000</v>
      </c>
      <c r="E6">
        <f>SUM(C6,E5)</f>
        <v>6512.7422697880302</v>
      </c>
      <c r="F6" s="3">
        <v>320000</v>
      </c>
      <c r="G6">
        <f>SUM(C6,G5)</f>
        <v>8378.2184700724392</v>
      </c>
      <c r="H6" s="3">
        <v>320000</v>
      </c>
      <c r="I6">
        <f>SUM(C6,I5)</f>
        <v>11171.241554059256</v>
      </c>
      <c r="K6" s="6" t="s">
        <v>23</v>
      </c>
      <c r="L6">
        <f>TAN(1*PI()/180)</f>
        <v>1.7455064928217585E-2</v>
      </c>
      <c r="M6" s="1">
        <f>TAN(0*PI()/180)</f>
        <v>0</v>
      </c>
      <c r="N6">
        <f>TAN(2*PI()/180)</f>
        <v>3.492076949174773E-2</v>
      </c>
    </row>
    <row r="7" spans="1:20">
      <c r="A7" s="6" t="s">
        <v>37</v>
      </c>
      <c r="B7" s="3">
        <v>320000</v>
      </c>
      <c r="C7" s="3">
        <f>PRODUCT(B7,E25)</f>
        <v>11174.646237359273</v>
      </c>
      <c r="D7" s="3">
        <v>320000</v>
      </c>
      <c r="E7">
        <f>SUM(C7,E5)</f>
        <v>12101.767730117675</v>
      </c>
      <c r="F7" s="3">
        <v>320000</v>
      </c>
      <c r="G7">
        <f>SUM(C7,G5)</f>
        <v>13967.243930402085</v>
      </c>
      <c r="H7" s="3">
        <v>320000</v>
      </c>
      <c r="I7">
        <f>SUM(C7,I5)</f>
        <v>16760.267014388901</v>
      </c>
      <c r="K7" s="6" t="s">
        <v>37</v>
      </c>
      <c r="L7">
        <f>TAN(2*PI()/180)</f>
        <v>3.492076949174773E-2</v>
      </c>
      <c r="M7">
        <f>TAN(1*PI()/180)</f>
        <v>1.7455064928217585E-2</v>
      </c>
      <c r="N7">
        <f>TAN(3*PI()/180)</f>
        <v>5.2407779283041196E-2</v>
      </c>
    </row>
    <row r="8" spans="1:20">
      <c r="A8" s="6" t="s">
        <v>36</v>
      </c>
      <c r="B8" s="3">
        <v>320000</v>
      </c>
      <c r="C8" s="3">
        <f>PRODUCT(B8,E26)</f>
        <v>16770.489370573181</v>
      </c>
      <c r="D8" s="3">
        <v>320000</v>
      </c>
      <c r="E8">
        <f>SUM(C8,E5)</f>
        <v>17697.610863331582</v>
      </c>
      <c r="F8" s="3">
        <v>320000</v>
      </c>
      <c r="G8">
        <f>SUM(C8,G5)</f>
        <v>19563.087063615993</v>
      </c>
      <c r="H8" s="3">
        <v>320000</v>
      </c>
      <c r="I8">
        <f>SUM(C8,I5)</f>
        <v>22356.110147602809</v>
      </c>
      <c r="K8" s="6" t="s">
        <v>36</v>
      </c>
      <c r="L8">
        <f>TAN(3*PI()/180)</f>
        <v>5.2407779283041196E-2</v>
      </c>
      <c r="M8">
        <f>TAN(2*PI()/180)</f>
        <v>3.492076949174773E-2</v>
      </c>
      <c r="N8">
        <f>TAN(4*PI()/180)</f>
        <v>6.9926811943510414E-2</v>
      </c>
    </row>
    <row r="9" spans="1:20">
      <c r="A9" s="6" t="s">
        <v>35</v>
      </c>
      <c r="B9" s="3">
        <v>320000</v>
      </c>
      <c r="C9" s="3">
        <f>PRODUCT(B9,E27)</f>
        <v>22376.579821923333</v>
      </c>
      <c r="D9" s="3">
        <v>320000</v>
      </c>
      <c r="E9">
        <f>SUM(C9,E5)</f>
        <v>23303.701314681733</v>
      </c>
      <c r="F9" s="3">
        <v>320000</v>
      </c>
      <c r="G9">
        <f>SUM(C9,G5)</f>
        <v>25169.177514966144</v>
      </c>
      <c r="H9" s="3">
        <v>320000</v>
      </c>
      <c r="I9">
        <f>SUM(C9,I5)</f>
        <v>27962.200598952961</v>
      </c>
      <c r="K9" s="6" t="s">
        <v>35</v>
      </c>
      <c r="L9">
        <f>TAN(4*PI()/180)</f>
        <v>6.9926811943510414E-2</v>
      </c>
      <c r="M9">
        <f>TAN(3*PI()/180)</f>
        <v>5.2407779283041196E-2</v>
      </c>
      <c r="N9">
        <f>TAN(5*PI()/180)</f>
        <v>8.7488663525924007E-2</v>
      </c>
    </row>
    <row r="10" spans="1:20">
      <c r="A10" s="12" t="s">
        <v>52</v>
      </c>
      <c r="B10" s="13">
        <v>320000</v>
      </c>
      <c r="C10" s="13">
        <f>PRODUCT(B10,E28)</f>
        <v>27996.372328295682</v>
      </c>
      <c r="D10" s="13">
        <v>320000</v>
      </c>
      <c r="E10" s="11">
        <f>SUM(C10,E5)</f>
        <v>28923.493821054082</v>
      </c>
      <c r="F10" s="13">
        <v>320000</v>
      </c>
      <c r="G10" s="11">
        <f>SUM(C10,G5)</f>
        <v>30788.970021338493</v>
      </c>
      <c r="H10" s="13">
        <v>320000</v>
      </c>
      <c r="I10" s="11">
        <f>SUM(C10,I5)</f>
        <v>33581.993105325309</v>
      </c>
      <c r="K10" s="12" t="s">
        <v>52</v>
      </c>
      <c r="L10" s="11">
        <f>TAN(5*PI()/180)</f>
        <v>8.7488663525924007E-2</v>
      </c>
      <c r="M10" s="11">
        <f>TAN(4*PI()/180)</f>
        <v>6.9926811943510414E-2</v>
      </c>
      <c r="N10" s="11">
        <f>TAN(6*PI()/180)</f>
        <v>0.10510423526567646</v>
      </c>
    </row>
    <row r="11" spans="1:20">
      <c r="A11" s="8" t="s">
        <v>0</v>
      </c>
      <c r="B11" s="8"/>
      <c r="C11" s="8"/>
      <c r="D11" s="8"/>
      <c r="E11" s="8"/>
      <c r="F11" s="8"/>
      <c r="G11" s="8"/>
      <c r="H11" s="8"/>
      <c r="I11" s="8"/>
      <c r="J11" s="8"/>
      <c r="M11" t="s">
        <v>25</v>
      </c>
      <c r="N11">
        <v>0</v>
      </c>
      <c r="O11">
        <v>5000</v>
      </c>
      <c r="P11">
        <v>10000</v>
      </c>
      <c r="Q11">
        <v>15000</v>
      </c>
      <c r="R11">
        <v>20000</v>
      </c>
      <c r="S11">
        <v>25000</v>
      </c>
      <c r="T11">
        <v>30000</v>
      </c>
    </row>
    <row r="12" spans="1:20">
      <c r="A12" s="9" t="s">
        <v>1</v>
      </c>
      <c r="B12" s="9" t="s">
        <v>10</v>
      </c>
      <c r="C12" s="9"/>
      <c r="D12" s="8" t="s">
        <v>7</v>
      </c>
      <c r="E12" s="8"/>
      <c r="F12" s="8" t="s">
        <v>8</v>
      </c>
      <c r="G12" s="8"/>
      <c r="H12" s="8" t="s">
        <v>9</v>
      </c>
      <c r="I12" s="8"/>
      <c r="J12" s="11" t="s">
        <v>56</v>
      </c>
      <c r="K12" t="s">
        <v>21</v>
      </c>
      <c r="L12">
        <f>TAN(-2*PI()/180)</f>
        <v>-3.492076949174773E-2</v>
      </c>
      <c r="N12">
        <f>PRODUCT(L12,N11)</f>
        <v>0</v>
      </c>
      <c r="O12">
        <f>PRODUCT(L12,O11)</f>
        <v>-174.60384745873864</v>
      </c>
      <c r="P12">
        <f>PRODUCT(L12,P11)</f>
        <v>-349.20769491747728</v>
      </c>
      <c r="Q12">
        <f>PRODUCT(L12,Q11)</f>
        <v>-523.81154237621593</v>
      </c>
      <c r="R12">
        <f>PRODUCT(L12,R11)</f>
        <v>-698.41538983495457</v>
      </c>
      <c r="S12">
        <f>PRODUCT(L12,S11)</f>
        <v>-873.01923729369321</v>
      </c>
      <c r="T12">
        <f>PRODUCT(L12,T11)</f>
        <v>-1047.6230847524319</v>
      </c>
    </row>
    <row r="13" spans="1:20">
      <c r="A13" s="9"/>
      <c r="B13" t="s">
        <v>12</v>
      </c>
      <c r="C13" t="s">
        <v>11</v>
      </c>
      <c r="D13" t="s">
        <v>12</v>
      </c>
      <c r="E13" t="s">
        <v>11</v>
      </c>
      <c r="F13" t="s">
        <v>12</v>
      </c>
      <c r="G13" t="s">
        <v>11</v>
      </c>
      <c r="H13" t="s">
        <v>12</v>
      </c>
      <c r="I13" t="s">
        <v>11</v>
      </c>
      <c r="J13" s="11" t="s">
        <v>11</v>
      </c>
      <c r="K13" t="s">
        <v>14</v>
      </c>
      <c r="L13">
        <f>TAN(-1*PI()/180)</f>
        <v>-1.7455064928217585E-2</v>
      </c>
      <c r="N13">
        <f>PRODUCT(L13,N11)</f>
        <v>0</v>
      </c>
      <c r="O13">
        <f>PRODUCT(L13,O11)</f>
        <v>-87.275324641087934</v>
      </c>
      <c r="P13">
        <f>PRODUCT(L13,P11)</f>
        <v>-174.55064928217587</v>
      </c>
      <c r="Q13">
        <f>PRODUCT(L13,Q11)</f>
        <v>-261.8259739232638</v>
      </c>
      <c r="R13">
        <f>PRODUCT(L13,R11)</f>
        <v>-349.10129856435174</v>
      </c>
      <c r="S13">
        <f>PRODUCT(L13,S11)</f>
        <v>-436.37662320543961</v>
      </c>
      <c r="T13">
        <f>PRODUCT(L13,T11)</f>
        <v>-523.65194784652761</v>
      </c>
    </row>
    <row r="14" spans="1:20">
      <c r="A14" s="2" t="s">
        <v>3</v>
      </c>
      <c r="B14" s="3">
        <v>320000</v>
      </c>
      <c r="C14" s="3">
        <f>PRODUCT(B14,-E24)</f>
        <v>-5585.6207770296278</v>
      </c>
      <c r="D14" s="3">
        <v>320000</v>
      </c>
      <c r="E14">
        <f>SUM(C4,E15)</f>
        <v>5589.0254603296453</v>
      </c>
      <c r="F14" s="3">
        <v>320000</v>
      </c>
      <c r="G14">
        <f>SUM(C4,G15)</f>
        <v>11184.868593543553</v>
      </c>
      <c r="H14" s="3">
        <v>320000</v>
      </c>
      <c r="I14">
        <f>SUM(C4,I15)</f>
        <v>16790.959044893705</v>
      </c>
      <c r="J14" s="11">
        <f>SUM(C4,J15)</f>
        <v>22410.751551266054</v>
      </c>
      <c r="K14" t="s">
        <v>15</v>
      </c>
      <c r="L14">
        <f>TAN(0*PI()/180)</f>
        <v>0</v>
      </c>
      <c r="N14">
        <f>PRODUCT(L14,N11)</f>
        <v>0</v>
      </c>
      <c r="O14">
        <f>PRODUCT(L14,O11)</f>
        <v>0</v>
      </c>
      <c r="P14">
        <f>PRODUCT(L14,P11)</f>
        <v>0</v>
      </c>
      <c r="Q14">
        <f>PRODUCT(L14,Q11)</f>
        <v>0</v>
      </c>
      <c r="R14">
        <f>PRODUCT(L14,R11)</f>
        <v>0</v>
      </c>
      <c r="S14">
        <f>PRODUCT(L14,S11)</f>
        <v>0</v>
      </c>
      <c r="T14">
        <f>PRODUCT(L14,T11)</f>
        <v>0</v>
      </c>
    </row>
    <row r="15" spans="1:20">
      <c r="A15" s="3" t="s">
        <v>2</v>
      </c>
      <c r="B15" s="3">
        <v>320000</v>
      </c>
      <c r="C15" s="3">
        <f>PRODUCT(B15,0)</f>
        <v>0</v>
      </c>
      <c r="D15" s="3">
        <v>320000</v>
      </c>
      <c r="E15">
        <f>PRODUCT(D15,E25)</f>
        <v>11174.646237359273</v>
      </c>
      <c r="F15" s="3">
        <v>320000</v>
      </c>
      <c r="G15">
        <f>PRODUCT(F15,E26)</f>
        <v>16770.489370573181</v>
      </c>
      <c r="H15" s="3">
        <v>320000</v>
      </c>
      <c r="I15">
        <f>PRODUCT(H15,E27)</f>
        <v>22376.579821923333</v>
      </c>
      <c r="J15" s="11">
        <f>PRODUCT(H15,E28)</f>
        <v>27996.372328295682</v>
      </c>
      <c r="K15" t="s">
        <v>16</v>
      </c>
      <c r="L15">
        <f>TAN(1*PI()/180)</f>
        <v>1.7455064928217585E-2</v>
      </c>
      <c r="N15">
        <f>PRODUCT(L15,N11)</f>
        <v>0</v>
      </c>
      <c r="O15">
        <f>PRODUCT(L15,O11)</f>
        <v>87.275324641087934</v>
      </c>
      <c r="P15">
        <f>PRODUCT(L15,P11)</f>
        <v>174.55064928217587</v>
      </c>
      <c r="Q15">
        <f>PRODUCT(L15,Q11)</f>
        <v>261.8259739232638</v>
      </c>
      <c r="R15">
        <f>PRODUCT(L15,R11)</f>
        <v>349.10129856435174</v>
      </c>
      <c r="S15">
        <f>PRODUCT(L15,S11)</f>
        <v>436.37662320543961</v>
      </c>
      <c r="T15">
        <f>PRODUCT(L15,T11)</f>
        <v>523.65194784652761</v>
      </c>
    </row>
    <row r="16" spans="1:20">
      <c r="A16" s="6" t="s">
        <v>23</v>
      </c>
      <c r="B16" s="3">
        <v>320000</v>
      </c>
      <c r="C16" s="3">
        <f>PRODUCT(B16,E24)</f>
        <v>5585.6207770296278</v>
      </c>
      <c r="D16" s="3">
        <v>320000</v>
      </c>
      <c r="E16">
        <f>SUM(C6,E15)</f>
        <v>16760.267014388901</v>
      </c>
      <c r="F16" s="3">
        <v>320000</v>
      </c>
      <c r="G16">
        <f>SUM(C6,G15)</f>
        <v>22356.110147602809</v>
      </c>
      <c r="H16" s="3">
        <v>320000</v>
      </c>
      <c r="I16">
        <f>SUM(C6,I15)</f>
        <v>27962.200598952961</v>
      </c>
      <c r="J16" s="11">
        <f>SUM(C6,J15)</f>
        <v>33581.993105325309</v>
      </c>
      <c r="K16" t="s">
        <v>17</v>
      </c>
      <c r="L16">
        <f>TAN(2*PI()/180)</f>
        <v>3.492076949174773E-2</v>
      </c>
      <c r="N16">
        <f>PRODUCT(L16,N11)</f>
        <v>0</v>
      </c>
      <c r="O16">
        <f>PRODUCT(L16,O11)</f>
        <v>174.60384745873864</v>
      </c>
      <c r="P16">
        <f>PRODUCT(L16,P11)</f>
        <v>349.20769491747728</v>
      </c>
      <c r="Q16">
        <f>PRODUCT(L16,Q11)</f>
        <v>523.81154237621593</v>
      </c>
      <c r="R16">
        <f>PRODUCT(L16,R11)</f>
        <v>698.41538983495457</v>
      </c>
      <c r="S16">
        <f>PRODUCT(L16,S11)</f>
        <v>873.01923729369321</v>
      </c>
      <c r="T16">
        <f>PRODUCT(L16,T11)</f>
        <v>1047.6230847524319</v>
      </c>
    </row>
    <row r="17" spans="1:20">
      <c r="A17" s="6" t="s">
        <v>37</v>
      </c>
      <c r="B17" s="3">
        <v>320000</v>
      </c>
      <c r="C17" s="3">
        <f>PRODUCT(B17,E25)</f>
        <v>11174.646237359273</v>
      </c>
      <c r="D17" s="3">
        <v>320000</v>
      </c>
      <c r="E17">
        <f>SUM(C7,E15)</f>
        <v>22349.292474718546</v>
      </c>
      <c r="F17" s="3">
        <v>320000</v>
      </c>
      <c r="G17">
        <f>SUM(C7,G15)</f>
        <v>27945.135607932454</v>
      </c>
      <c r="H17" s="3">
        <v>320000</v>
      </c>
      <c r="I17">
        <f>SUM(C7,I15)</f>
        <v>33551.226059282606</v>
      </c>
      <c r="J17" s="11">
        <f>SUM(C7,J15)</f>
        <v>39171.018565654958</v>
      </c>
      <c r="K17" t="s">
        <v>18</v>
      </c>
      <c r="L17">
        <f>TAN(3*PI()/180)</f>
        <v>5.2407779283041196E-2</v>
      </c>
      <c r="N17">
        <f>PRODUCT(L17,N11)</f>
        <v>0</v>
      </c>
      <c r="O17">
        <f>PRODUCT(L17,O11)</f>
        <v>262.03889641520595</v>
      </c>
      <c r="P17">
        <f>PRODUCT(L17,P11)</f>
        <v>524.07779283041191</v>
      </c>
      <c r="Q17">
        <f>PRODUCT(L17,Q11)</f>
        <v>786.11668924561798</v>
      </c>
      <c r="R17">
        <f>PRODUCT(L17,R11)</f>
        <v>1048.1555856608238</v>
      </c>
      <c r="S17">
        <f>PRODUCT(L17,S11)</f>
        <v>1310.19448207603</v>
      </c>
      <c r="T17">
        <f>PRODUCT(L17,T11)</f>
        <v>1572.233378491236</v>
      </c>
    </row>
    <row r="18" spans="1:20">
      <c r="A18" s="6" t="s">
        <v>36</v>
      </c>
      <c r="B18" s="3">
        <v>320000</v>
      </c>
      <c r="C18" s="3">
        <f>PRODUCT(B18,E26)</f>
        <v>16770.489370573181</v>
      </c>
      <c r="D18" s="3">
        <v>320000</v>
      </c>
      <c r="E18">
        <f>SUM(C8,E15)</f>
        <v>27945.135607932454</v>
      </c>
      <c r="F18" s="3">
        <v>320000</v>
      </c>
      <c r="G18">
        <f>SUM(C8,G15)</f>
        <v>33540.978741146362</v>
      </c>
      <c r="H18" s="3">
        <v>320000</v>
      </c>
      <c r="I18">
        <f>SUM(C8,I15)</f>
        <v>39147.069192496514</v>
      </c>
      <c r="J18" s="11">
        <f>SUM(C8,J15)</f>
        <v>44766.861698868859</v>
      </c>
      <c r="K18" t="s">
        <v>19</v>
      </c>
      <c r="L18">
        <f>TAN(4*PI()/180)</f>
        <v>6.9926811943510414E-2</v>
      </c>
      <c r="N18">
        <f>PRODUCT(L18,N11)</f>
        <v>0</v>
      </c>
      <c r="O18">
        <f>PRODUCT(L18,O11)</f>
        <v>349.63405971755208</v>
      </c>
      <c r="P18">
        <f>PRODUCT(L18,P11)</f>
        <v>699.26811943510415</v>
      </c>
      <c r="Q18">
        <f>PRODUCT(L18,Q11)</f>
        <v>1048.9021791526561</v>
      </c>
      <c r="R18">
        <f>PRODUCT(L18,R11)</f>
        <v>1398.5362388702083</v>
      </c>
      <c r="S18">
        <f>PRODUCT(L18,S11)</f>
        <v>1748.1702985877603</v>
      </c>
      <c r="T18">
        <f>PRODUCT(L18,T11)</f>
        <v>2097.8043583053122</v>
      </c>
    </row>
    <row r="19" spans="1:20">
      <c r="A19" s="6" t="s">
        <v>35</v>
      </c>
      <c r="B19" s="3">
        <v>320000</v>
      </c>
      <c r="C19" s="3">
        <f>PRODUCT(B19,E27)</f>
        <v>22376.579821923333</v>
      </c>
      <c r="D19" s="3">
        <v>320000</v>
      </c>
      <c r="E19">
        <f>SUM(C9,E15)</f>
        <v>33551.226059282606</v>
      </c>
      <c r="F19" s="3">
        <v>320000</v>
      </c>
      <c r="G19">
        <f>SUM(C9,G15)</f>
        <v>39147.069192496514</v>
      </c>
      <c r="H19" s="3">
        <v>320000</v>
      </c>
      <c r="I19">
        <f>SUM(C9,I15)</f>
        <v>44753.159643846666</v>
      </c>
      <c r="J19" s="11">
        <f>SUM(C9,J15)</f>
        <v>50372.952150219018</v>
      </c>
      <c r="K19" t="s">
        <v>20</v>
      </c>
      <c r="L19">
        <f>TAN(5*PI()/180)</f>
        <v>8.7488663525924007E-2</v>
      </c>
      <c r="N19">
        <f>PRODUCT(L19,N11)</f>
        <v>0</v>
      </c>
      <c r="O19">
        <f>PRODUCT(L19,O11)</f>
        <v>437.44331762962003</v>
      </c>
      <c r="P19">
        <f>PRODUCT(L19,P11)</f>
        <v>874.88663525924005</v>
      </c>
      <c r="Q19">
        <f>PRODUCT(L19,Q11)</f>
        <v>1312.3299528888601</v>
      </c>
      <c r="R19">
        <f>PRODUCT(L19,R11)</f>
        <v>1749.7732705184801</v>
      </c>
      <c r="S19">
        <f>PRODUCT(L19,S11)</f>
        <v>2187.2165881481001</v>
      </c>
      <c r="T19">
        <f>PRODUCT(L19,T11)</f>
        <v>2624.6599057777203</v>
      </c>
    </row>
    <row r="20" spans="1:20">
      <c r="A20" s="12" t="s">
        <v>52</v>
      </c>
      <c r="B20" s="13">
        <v>320000</v>
      </c>
      <c r="C20" s="13">
        <f>PRODUCT(B20,E28)</f>
        <v>27996.372328295682</v>
      </c>
      <c r="D20" s="13">
        <v>320000</v>
      </c>
      <c r="E20" s="11">
        <f>SUM(C10,E15)</f>
        <v>39171.018565654958</v>
      </c>
      <c r="F20" s="13">
        <v>320000</v>
      </c>
      <c r="G20" s="11">
        <f>SUM(C10,G15)</f>
        <v>44766.861698868859</v>
      </c>
      <c r="H20" s="13">
        <v>320000</v>
      </c>
      <c r="I20" s="11">
        <f>SUM(C10,I15)</f>
        <v>50372.952150219018</v>
      </c>
      <c r="J20" s="11">
        <f>SUM(C10,J15)</f>
        <v>55992.744656591363</v>
      </c>
      <c r="K20" t="s">
        <v>46</v>
      </c>
      <c r="L20">
        <f>TAN(6*PI()/180)</f>
        <v>0.10510423526567646</v>
      </c>
    </row>
    <row r="21" spans="1:20">
      <c r="K21" t="s">
        <v>47</v>
      </c>
      <c r="L21">
        <f>TAN(7*PI()/180)</f>
        <v>0.1227845609029046</v>
      </c>
    </row>
    <row r="22" spans="1:20">
      <c r="D22">
        <f>SIN(0.166*PI()/180)</f>
        <v>2.8972425050461876E-3</v>
      </c>
      <c r="E22">
        <f>TAN(0.166*PI()/180)</f>
        <v>2.8972546648700069E-3</v>
      </c>
      <c r="K22" t="s">
        <v>48</v>
      </c>
      <c r="L22">
        <f>TAN(8*PI()/180)</f>
        <v>0.14054083470239145</v>
      </c>
    </row>
    <row r="23" spans="1:20">
      <c r="D23">
        <f>SIN(0.5*PI()/180)</f>
        <v>8.7265354983739347E-3</v>
      </c>
      <c r="E23">
        <f>TAN(0.5*PI()/180)</f>
        <v>8.7268677907587893E-3</v>
      </c>
      <c r="K23" t="s">
        <v>49</v>
      </c>
      <c r="L23">
        <f>TAN(9*PI()/180)</f>
        <v>0.15838444032453627</v>
      </c>
    </row>
    <row r="24" spans="1:20">
      <c r="D24">
        <f>SIN(1*PI()/180)</f>
        <v>1.7452406437283512E-2</v>
      </c>
      <c r="E24">
        <f>TAN(1*PI()/180)</f>
        <v>1.7455064928217585E-2</v>
      </c>
      <c r="K24" t="s">
        <v>55</v>
      </c>
      <c r="L24">
        <f>TAN(10*PI()/180)</f>
        <v>0.17632698070846498</v>
      </c>
    </row>
    <row r="25" spans="1:20">
      <c r="D25">
        <f>SIN(2*PI()/180)</f>
        <v>3.4899496702500969E-2</v>
      </c>
      <c r="E25">
        <f>TAN(2*PI()/180)</f>
        <v>3.492076949174773E-2</v>
      </c>
    </row>
    <row r="26" spans="1:20">
      <c r="D26">
        <f>SIN(3*PI()/180)</f>
        <v>5.2335956242943828E-2</v>
      </c>
      <c r="E26">
        <f>TAN(3*PI()/180)</f>
        <v>5.2407779283041196E-2</v>
      </c>
    </row>
    <row r="27" spans="1:20">
      <c r="D27">
        <f>SIN(4*PI()/180)</f>
        <v>6.9756473744125302E-2</v>
      </c>
      <c r="E27">
        <f>TAN(4*PI()/180)</f>
        <v>6.9926811943510414E-2</v>
      </c>
      <c r="J27">
        <f>PRODUCT(320000,E24)</f>
        <v>5585.6207770296278</v>
      </c>
    </row>
    <row r="28" spans="1:20">
      <c r="D28">
        <f>SIN(5*PI()/180)</f>
        <v>8.7155742747658166E-2</v>
      </c>
      <c r="E28">
        <f>TAN(5*PI()/180)</f>
        <v>8.7488663525924007E-2</v>
      </c>
    </row>
    <row r="29" spans="1:20">
      <c r="A29" s="8" t="s">
        <v>26</v>
      </c>
      <c r="B29" s="8"/>
      <c r="C29" s="8"/>
      <c r="D29" s="8"/>
      <c r="E29" s="8"/>
      <c r="F29" s="8"/>
      <c r="G29" s="8"/>
      <c r="H29" s="8"/>
      <c r="I29" s="8" t="s">
        <v>50</v>
      </c>
      <c r="J29" s="8"/>
      <c r="K29" s="8"/>
      <c r="L29" s="8"/>
      <c r="M29" s="8"/>
      <c r="N29" s="8"/>
      <c r="O29" s="8"/>
      <c r="P29" s="8"/>
    </row>
    <row r="30" spans="1:20">
      <c r="B30" s="8" t="s">
        <v>27</v>
      </c>
      <c r="C30" s="8"/>
      <c r="D30" s="8"/>
      <c r="E30" s="8"/>
      <c r="F30" s="8"/>
      <c r="G30" s="8"/>
      <c r="H30" s="8"/>
      <c r="I30" s="8" t="s">
        <v>51</v>
      </c>
      <c r="J30" s="8"/>
      <c r="K30" s="8"/>
      <c r="L30" s="8"/>
      <c r="M30" s="8"/>
      <c r="N30" s="8"/>
      <c r="O30" s="8"/>
      <c r="P30" s="8"/>
    </row>
    <row r="31" spans="1:20">
      <c r="A31" t="s">
        <v>34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s="11" t="s">
        <v>54</v>
      </c>
      <c r="I31" t="s">
        <v>34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33</v>
      </c>
      <c r="P31" t="s">
        <v>54</v>
      </c>
    </row>
    <row r="32" spans="1:20">
      <c r="A32" s="11" t="s">
        <v>52</v>
      </c>
      <c r="B32">
        <v>699.26811999999995</v>
      </c>
      <c r="C32" s="11">
        <f>PRODUCT(E28,10000)</f>
        <v>874.88663525924005</v>
      </c>
      <c r="D32" s="11">
        <f>PRODUCT(L20,10000)</f>
        <v>1051.0423526567645</v>
      </c>
      <c r="E32" s="11">
        <f>PRODUCT(L21,10000)</f>
        <v>1227.845609029046</v>
      </c>
      <c r="F32" s="11">
        <f>PRODUCT(L22,10000)</f>
        <v>1405.4083470239145</v>
      </c>
      <c r="G32" s="11">
        <f>PRODUCT(L23,10000)</f>
        <v>1583.8444032453629</v>
      </c>
      <c r="H32" s="11">
        <f>PRODUCT(L24,10000)</f>
        <v>1763.2698070846498</v>
      </c>
      <c r="I32" s="11" t="s">
        <v>52</v>
      </c>
      <c r="J32" s="11">
        <f>PRODUCT(E27,150000)</f>
        <v>10489.021791526562</v>
      </c>
      <c r="K32" s="11">
        <f>PRODUCT(E28,150000)</f>
        <v>13123.299528888601</v>
      </c>
      <c r="L32" s="11">
        <f>PRODUCT(L20,150000)</f>
        <v>15765.635289851469</v>
      </c>
      <c r="M32" s="11">
        <f>PRODUCT(L21,150000)</f>
        <v>18417.684135435691</v>
      </c>
      <c r="N32" s="11">
        <f>PRODUCT(L22,150000)</f>
        <v>21081.12520535872</v>
      </c>
      <c r="O32" s="11">
        <f>PRODUCT(L23,150000)</f>
        <v>23757.666048680439</v>
      </c>
      <c r="P32" s="11">
        <f>PRODUCT(L24,150000)</f>
        <v>26449.047106269747</v>
      </c>
    </row>
    <row r="33" spans="1:16">
      <c r="A33" t="s">
        <v>35</v>
      </c>
      <c r="B33">
        <v>524.07779000000005</v>
      </c>
      <c r="C33">
        <f>PRODUCT(E27,10000)</f>
        <v>699.26811943510415</v>
      </c>
      <c r="D33">
        <f>PRODUCT(L19,10000)</f>
        <v>874.88663525924005</v>
      </c>
      <c r="E33">
        <f>PRODUCT(L20,10000)</f>
        <v>1051.0423526567645</v>
      </c>
      <c r="F33">
        <f>PRODUCT(L21,10000)</f>
        <v>1227.845609029046</v>
      </c>
      <c r="G33">
        <f>PRODUCT(L22,10000)</f>
        <v>1405.4083470239145</v>
      </c>
      <c r="H33" s="11">
        <f>PRODUCT(L23,10000)</f>
        <v>1583.8444032453629</v>
      </c>
      <c r="I33" t="s">
        <v>35</v>
      </c>
      <c r="J33">
        <f>PRODUCT(E26,150000)</f>
        <v>7861.1668924561791</v>
      </c>
      <c r="K33">
        <f>PRODUCT(E27,150000)</f>
        <v>10489.021791526562</v>
      </c>
      <c r="L33">
        <f>PRODUCT(L19,150000)</f>
        <v>13123.299528888601</v>
      </c>
      <c r="M33">
        <f>PRODUCT(L20,150000)</f>
        <v>15765.635289851469</v>
      </c>
      <c r="N33">
        <f>PRODUCT(L21,150000)</f>
        <v>18417.684135435691</v>
      </c>
      <c r="O33">
        <f>PRODUCT(L22,150000)</f>
        <v>21081.12520535872</v>
      </c>
      <c r="P33" s="11">
        <f>PRODUCT(L23,150000)</f>
        <v>23757.666048680439</v>
      </c>
    </row>
    <row r="34" spans="1:16">
      <c r="A34" t="s">
        <v>36</v>
      </c>
      <c r="B34">
        <v>349.20769000000001</v>
      </c>
      <c r="C34">
        <f>PRODUCT(E26,10000)</f>
        <v>524.07779283041191</v>
      </c>
      <c r="D34">
        <v>699.26811999999995</v>
      </c>
      <c r="E34">
        <v>874.88663529999997</v>
      </c>
      <c r="F34">
        <v>1051.0424</v>
      </c>
      <c r="G34">
        <v>1227.845609</v>
      </c>
      <c r="H34" s="11">
        <f>PRODUCT(L22,10000)</f>
        <v>1405.4083470239145</v>
      </c>
      <c r="I34" t="s">
        <v>36</v>
      </c>
      <c r="J34">
        <f>PRODUCT(E25,150000)</f>
        <v>5238.1154237621595</v>
      </c>
      <c r="K34">
        <f>PRODUCT(E26,150000)</f>
        <v>7861.1668924561791</v>
      </c>
      <c r="L34">
        <f>PRODUCT(E27,150000)</f>
        <v>10489.021791526562</v>
      </c>
      <c r="M34" s="5">
        <v>13123.29953</v>
      </c>
      <c r="N34">
        <v>15765.635</v>
      </c>
      <c r="O34">
        <v>18417.684140000001</v>
      </c>
      <c r="P34" s="11">
        <f>PRODUCT(L22,150000)</f>
        <v>21081.12520535872</v>
      </c>
    </row>
    <row r="35" spans="1:16">
      <c r="A35" t="s">
        <v>37</v>
      </c>
      <c r="B35">
        <v>174.55064999999999</v>
      </c>
      <c r="C35">
        <f>PRODUCT(E25,10000)</f>
        <v>349.20769491747728</v>
      </c>
      <c r="D35">
        <v>524.07779000000005</v>
      </c>
      <c r="E35">
        <v>699.26811999999995</v>
      </c>
      <c r="F35">
        <v>874.88663529999997</v>
      </c>
      <c r="G35">
        <v>1051.0424</v>
      </c>
      <c r="H35" s="11">
        <v>1227.845609</v>
      </c>
      <c r="I35" t="s">
        <v>37</v>
      </c>
      <c r="J35">
        <f>PRODUCT(E24,150000)</f>
        <v>2618.2597392326379</v>
      </c>
      <c r="K35">
        <f>PRODUCT(E25,150000)</f>
        <v>5238.1154237621595</v>
      </c>
      <c r="L35">
        <f>PRODUCT(E26,150000)</f>
        <v>7861.1668924561791</v>
      </c>
      <c r="M35">
        <v>10489.021790000001</v>
      </c>
      <c r="N35">
        <v>13123.29953</v>
      </c>
      <c r="O35">
        <v>15765.635</v>
      </c>
      <c r="P35" s="11">
        <v>18417.684140000001</v>
      </c>
    </row>
    <row r="36" spans="1:16">
      <c r="A36" t="s">
        <v>23</v>
      </c>
      <c r="B36">
        <v>0</v>
      </c>
      <c r="C36">
        <f>PRODUCT(E24,10000)</f>
        <v>174.55064928217587</v>
      </c>
      <c r="D36">
        <v>349.20769000000001</v>
      </c>
      <c r="E36">
        <v>524.07779000000005</v>
      </c>
      <c r="F36">
        <v>699.26811999999995</v>
      </c>
      <c r="G36">
        <v>874.88663529999997</v>
      </c>
      <c r="H36" s="11">
        <v>1051.0424</v>
      </c>
      <c r="I36" t="s">
        <v>23</v>
      </c>
      <c r="J36">
        <v>0</v>
      </c>
      <c r="K36">
        <f>PRODUCT(E24,150000)</f>
        <v>2618.2597392326379</v>
      </c>
      <c r="L36">
        <f>PRODUCT(E25,150000)</f>
        <v>5238.1154237621595</v>
      </c>
      <c r="M36">
        <v>7861.1668920000002</v>
      </c>
      <c r="N36">
        <v>10489.021790000001</v>
      </c>
      <c r="O36">
        <v>13123.29953</v>
      </c>
      <c r="P36" s="11">
        <v>15765.635</v>
      </c>
    </row>
    <row r="37" spans="1:16">
      <c r="A37" t="s">
        <v>38</v>
      </c>
      <c r="B37">
        <f>SUM(B39,C37)</f>
        <v>-87.281922092412117</v>
      </c>
      <c r="C37">
        <f>PRODUCT(E23,10000)</f>
        <v>87.268677907587886</v>
      </c>
      <c r="D37">
        <f>SUM(D39,C37)</f>
        <v>261.81932790758788</v>
      </c>
      <c r="E37">
        <f>SUM(E39,C37)</f>
        <v>436.47636790758793</v>
      </c>
      <c r="F37">
        <f>SUM(F39,C37)</f>
        <v>611.34646790758791</v>
      </c>
      <c r="G37">
        <f>SUM(G39,C37)</f>
        <v>786.53679790758781</v>
      </c>
      <c r="H37" s="11">
        <f>SUM(H39,C37)</f>
        <v>962.15531320758782</v>
      </c>
      <c r="I37" t="s">
        <v>38</v>
      </c>
      <c r="J37">
        <f>SUM(J39,K37)</f>
        <v>-1309.2295706188195</v>
      </c>
      <c r="K37">
        <f>PRODUCT(E23,150000)</f>
        <v>1309.0301686138184</v>
      </c>
      <c r="L37">
        <f>SUM(L39,K37)</f>
        <v>3927.2899078464561</v>
      </c>
      <c r="M37">
        <f>SUM(M39,K37)</f>
        <v>6547.1455926138178</v>
      </c>
      <c r="N37">
        <f>SUM(N39,K37)</f>
        <v>9170.1970606138184</v>
      </c>
      <c r="O37">
        <f>SUM(O39,K37)</f>
        <v>11798.05195861382</v>
      </c>
      <c r="P37" s="11">
        <f>SUM(P39,K37)</f>
        <v>14432.329698613819</v>
      </c>
    </row>
    <row r="38" spans="1:16">
      <c r="A38" t="s">
        <v>39</v>
      </c>
      <c r="B38">
        <f>SUM(B39,C38)</f>
        <v>-145.57805335129993</v>
      </c>
      <c r="C38">
        <f>PRODUCT(E22,10000)</f>
        <v>28.972546648700067</v>
      </c>
      <c r="D38">
        <f>SUM(C38,D39)</f>
        <v>203.52319664870006</v>
      </c>
      <c r="E38">
        <f>SUM(E39,C38)</f>
        <v>378.18023664870009</v>
      </c>
      <c r="F38">
        <f>SUM(F39,C38)</f>
        <v>553.05033664870007</v>
      </c>
      <c r="G38">
        <f>SUM(G39,C38)</f>
        <v>728.24066664869997</v>
      </c>
      <c r="H38" s="11">
        <f>SUM(H39,C38)</f>
        <v>903.85918194869998</v>
      </c>
      <c r="I38" t="s">
        <v>39</v>
      </c>
      <c r="J38">
        <f>SUM(J39,K38)</f>
        <v>-2183.671539502137</v>
      </c>
      <c r="K38">
        <f>PRODUCT(E22,150000)</f>
        <v>434.588199730501</v>
      </c>
      <c r="L38">
        <f>SUM(L39,K38)</f>
        <v>3052.8479389631389</v>
      </c>
      <c r="M38">
        <f>SUM(M39,K38)</f>
        <v>5672.703623730501</v>
      </c>
      <c r="N38">
        <f>SUM(N39,K38)</f>
        <v>8295.7550917305016</v>
      </c>
      <c r="O38">
        <f>SUM(O39,K38)</f>
        <v>10923.609989730501</v>
      </c>
      <c r="P38" s="11">
        <f>SUM(P39,K38)</f>
        <v>13557.887729730501</v>
      </c>
    </row>
    <row r="39" spans="1:16">
      <c r="A39" t="s">
        <v>2</v>
      </c>
      <c r="B39">
        <v>-174.5506</v>
      </c>
      <c r="C39">
        <v>0</v>
      </c>
      <c r="D39">
        <v>174.55064999999999</v>
      </c>
      <c r="E39">
        <v>349.20769000000001</v>
      </c>
      <c r="F39">
        <v>524.07779000000005</v>
      </c>
      <c r="G39">
        <v>699.26811999999995</v>
      </c>
      <c r="H39" s="11">
        <v>874.88663529999997</v>
      </c>
      <c r="I39" t="s">
        <v>2</v>
      </c>
      <c r="J39">
        <f>PRODUCT(-E24,150000)</f>
        <v>-2618.2597392326379</v>
      </c>
      <c r="K39">
        <v>0</v>
      </c>
      <c r="L39">
        <f>PRODUCT(E24,150000)</f>
        <v>2618.2597392326379</v>
      </c>
      <c r="M39">
        <v>5238.1154239999996</v>
      </c>
      <c r="N39">
        <v>7861.1668920000002</v>
      </c>
      <c r="O39">
        <v>10489.021790000001</v>
      </c>
      <c r="P39" s="11">
        <v>13123.29953</v>
      </c>
    </row>
    <row r="40" spans="1:16">
      <c r="A40" t="s">
        <v>40</v>
      </c>
      <c r="B40">
        <f>SUM(B39,C40)</f>
        <v>-203.52314664870008</v>
      </c>
      <c r="C40">
        <f>PRODUCT(-E22,10000)</f>
        <v>-28.972546648700067</v>
      </c>
      <c r="D40">
        <f>SUM(D39,C40)</f>
        <v>145.57810335129992</v>
      </c>
      <c r="E40">
        <f>SUM(E39,C40)</f>
        <v>320.23514335129994</v>
      </c>
      <c r="F40">
        <f>SUM(F39,C40)</f>
        <v>495.10524335129998</v>
      </c>
      <c r="G40">
        <f>SUM(G39,C40)</f>
        <v>670.29557335129994</v>
      </c>
      <c r="H40" s="11">
        <f>SUM(H39,C40)</f>
        <v>845.91408865129995</v>
      </c>
      <c r="I40" t="s">
        <v>40</v>
      </c>
      <c r="J40" s="4">
        <f>SUM(J39,K40)</f>
        <v>-3052.8479389631389</v>
      </c>
      <c r="K40" s="4">
        <f t="shared" ref="K40:K46" si="0">PRODUCT(-E22,150000)</f>
        <v>-434.588199730501</v>
      </c>
      <c r="L40" s="4">
        <f>SUM(L39,K40)</f>
        <v>2183.671539502137</v>
      </c>
      <c r="M40" s="4">
        <f>SUM(M39,K40)</f>
        <v>4803.5272242694982</v>
      </c>
      <c r="N40" s="4">
        <f>SUM(N39,K40)</f>
        <v>7426.5786922694988</v>
      </c>
      <c r="O40" s="4">
        <f>SUM(O39,K40)</f>
        <v>10054.4335902695</v>
      </c>
      <c r="P40" s="14">
        <f>SUM(P39,K40)</f>
        <v>12688.7113302695</v>
      </c>
    </row>
    <row r="41" spans="1:16">
      <c r="A41" t="s">
        <v>41</v>
      </c>
      <c r="B41">
        <f>SUM(B39,C41)</f>
        <v>-261.81927790758789</v>
      </c>
      <c r="C41">
        <f t="shared" ref="C41:C46" si="1">PRODUCT(-E23,10000)</f>
        <v>-87.268677907587886</v>
      </c>
      <c r="D41">
        <f>SUM(D39,C41)</f>
        <v>87.281972092412104</v>
      </c>
      <c r="E41">
        <f>SUM(E39,C41)</f>
        <v>261.9390120924121</v>
      </c>
      <c r="F41">
        <f>SUM(F39,C41)</f>
        <v>436.80911209241219</v>
      </c>
      <c r="G41">
        <f>SUM(G39,C41)</f>
        <v>611.9994420924121</v>
      </c>
      <c r="H41" s="11">
        <f>SUM(H39,C41)</f>
        <v>787.61795739241211</v>
      </c>
      <c r="I41" t="s">
        <v>41</v>
      </c>
      <c r="J41">
        <f>SUM(J39,K41)</f>
        <v>-3927.2899078464561</v>
      </c>
      <c r="K41">
        <f t="shared" si="0"/>
        <v>-1309.0301686138184</v>
      </c>
      <c r="L41">
        <f>SUM(L39,K41)</f>
        <v>1309.2295706188195</v>
      </c>
      <c r="M41">
        <f>SUM(M39,K41)</f>
        <v>3929.0852553861814</v>
      </c>
      <c r="N41">
        <f>SUM(N39,K41)</f>
        <v>6552.136723386182</v>
      </c>
      <c r="O41">
        <f>SUM(O39,K41)</f>
        <v>9179.9916213861816</v>
      </c>
      <c r="P41" s="11">
        <f>SUM(P39,K41)</f>
        <v>11814.269361386181</v>
      </c>
    </row>
    <row r="42" spans="1:16">
      <c r="A42" t="s">
        <v>42</v>
      </c>
      <c r="B42">
        <v>-349.20769999999999</v>
      </c>
      <c r="C42">
        <f t="shared" si="1"/>
        <v>-174.55064928217587</v>
      </c>
      <c r="D42">
        <v>0</v>
      </c>
      <c r="E42">
        <v>174.55064999999999</v>
      </c>
      <c r="F42">
        <v>349.20769000000001</v>
      </c>
      <c r="G42">
        <v>524.07779000000005</v>
      </c>
      <c r="H42" s="11">
        <v>699.26811999999995</v>
      </c>
      <c r="I42" t="s">
        <v>42</v>
      </c>
      <c r="J42">
        <f>PRODUCT(-E25,150000)</f>
        <v>-5238.1154237621595</v>
      </c>
      <c r="K42">
        <f t="shared" si="0"/>
        <v>-2618.2597392326379</v>
      </c>
      <c r="L42">
        <v>0</v>
      </c>
      <c r="M42">
        <v>2618.2597390000001</v>
      </c>
      <c r="N42">
        <v>5238.1154239999996</v>
      </c>
      <c r="O42">
        <v>7861.1668920000002</v>
      </c>
      <c r="P42" s="11">
        <v>10489.021790000001</v>
      </c>
    </row>
    <row r="43" spans="1:16">
      <c r="A43" t="s">
        <v>43</v>
      </c>
      <c r="B43">
        <v>-524.07780000000002</v>
      </c>
      <c r="C43">
        <f t="shared" si="1"/>
        <v>-349.20769491747728</v>
      </c>
      <c r="D43">
        <v>-174.5506</v>
      </c>
      <c r="E43">
        <v>0</v>
      </c>
      <c r="F43">
        <v>174.55064999999999</v>
      </c>
      <c r="G43">
        <v>349.20769000000001</v>
      </c>
      <c r="H43" s="11">
        <v>524.07779000000005</v>
      </c>
      <c r="I43" t="s">
        <v>43</v>
      </c>
      <c r="J43">
        <f>PRODUCT(-E26,150000)</f>
        <v>-7861.1668924561791</v>
      </c>
      <c r="K43">
        <f t="shared" si="0"/>
        <v>-5238.1154237621595</v>
      </c>
      <c r="L43">
        <f>PRODUCT(-E24,150000)</f>
        <v>-2618.2597392326379</v>
      </c>
      <c r="M43">
        <v>0</v>
      </c>
      <c r="N43">
        <v>2618.2597390000001</v>
      </c>
      <c r="O43">
        <v>5238.1154239999996</v>
      </c>
      <c r="P43" s="11">
        <v>7861.1668920000002</v>
      </c>
    </row>
    <row r="44" spans="1:16">
      <c r="A44" t="s">
        <v>44</v>
      </c>
      <c r="B44">
        <v>-699.2681</v>
      </c>
      <c r="C44">
        <f t="shared" si="1"/>
        <v>-524.07779283041191</v>
      </c>
      <c r="D44">
        <v>-349.20769999999999</v>
      </c>
      <c r="E44">
        <v>-174.5506</v>
      </c>
      <c r="F44">
        <v>0</v>
      </c>
      <c r="G44">
        <v>174.55064999999999</v>
      </c>
      <c r="H44" s="11">
        <v>349.20769000000001</v>
      </c>
      <c r="I44" t="s">
        <v>44</v>
      </c>
      <c r="J44">
        <f>PRODUCT(-E27,150000)</f>
        <v>-10489.021791526562</v>
      </c>
      <c r="K44">
        <f t="shared" si="0"/>
        <v>-7861.1668924561791</v>
      </c>
      <c r="L44">
        <f>PRODUCT(-E25,150000)</f>
        <v>-5238.1154237621595</v>
      </c>
      <c r="M44">
        <f>PRODUCT(-E24,150000)</f>
        <v>-2618.2597392326379</v>
      </c>
      <c r="N44">
        <v>0</v>
      </c>
      <c r="O44">
        <v>2618.2597390000001</v>
      </c>
      <c r="P44" s="11">
        <v>5238.1154239999996</v>
      </c>
    </row>
    <row r="45" spans="1:16">
      <c r="A45" t="s">
        <v>45</v>
      </c>
      <c r="B45">
        <v>-874.88660000000004</v>
      </c>
      <c r="C45">
        <f t="shared" si="1"/>
        <v>-699.26811943510415</v>
      </c>
      <c r="D45">
        <v>-524.07780000000002</v>
      </c>
      <c r="E45">
        <v>-349.20769999999999</v>
      </c>
      <c r="F45">
        <v>-174.5506</v>
      </c>
      <c r="G45">
        <v>0</v>
      </c>
      <c r="H45" s="11">
        <v>174.55064999999999</v>
      </c>
      <c r="I45" t="s">
        <v>45</v>
      </c>
      <c r="J45">
        <f>PRODUCT(-L19,150000)</f>
        <v>-13123.299528888601</v>
      </c>
      <c r="K45">
        <f t="shared" si="0"/>
        <v>-10489.021791526562</v>
      </c>
      <c r="L45">
        <f>PRODUCT(-E26,150000)</f>
        <v>-7861.1668924561791</v>
      </c>
      <c r="M45">
        <f>PRODUCT(-E25,150000)</f>
        <v>-5238.1154237621595</v>
      </c>
      <c r="N45">
        <f>PRODUCT(-E24,150000)</f>
        <v>-2618.2597392326379</v>
      </c>
      <c r="O45">
        <v>0</v>
      </c>
      <c r="P45" s="11">
        <v>2618.2597390000001</v>
      </c>
    </row>
    <row r="46" spans="1:16">
      <c r="A46" s="11" t="s">
        <v>53</v>
      </c>
      <c r="B46" s="11">
        <f>PRODUCT(10000,L20)*-1</f>
        <v>-1051.0423526567645</v>
      </c>
      <c r="C46" s="11">
        <f t="shared" si="1"/>
        <v>-874.88663525924005</v>
      </c>
      <c r="D46" s="11">
        <v>-699.2681</v>
      </c>
      <c r="E46" s="11">
        <v>-524.07780000000002</v>
      </c>
      <c r="F46" s="11">
        <v>-349.20769999999999</v>
      </c>
      <c r="G46" s="11">
        <v>-174.5506</v>
      </c>
      <c r="H46" s="11">
        <v>0</v>
      </c>
      <c r="I46" s="11" t="s">
        <v>53</v>
      </c>
      <c r="J46" s="11">
        <f>PRODUCT(-L20,150000)</f>
        <v>-15765.635289851469</v>
      </c>
      <c r="K46" s="11">
        <f t="shared" si="0"/>
        <v>-13123.299528888601</v>
      </c>
      <c r="L46" s="11">
        <f>PRODUCT(-E27,150000)</f>
        <v>-10489.021791526562</v>
      </c>
      <c r="M46" s="11">
        <f>PRODUCT(-E26,150000)</f>
        <v>-7861.1668924561791</v>
      </c>
      <c r="N46" s="11">
        <f>PRODUCT(-E25,150000)</f>
        <v>-5238.1154237621595</v>
      </c>
      <c r="O46" s="11">
        <v>-2618.2597390000001</v>
      </c>
      <c r="P46" s="11">
        <v>0</v>
      </c>
    </row>
    <row r="50" spans="1:7">
      <c r="A50" s="12" t="s">
        <v>58</v>
      </c>
      <c r="B50" s="15" t="s">
        <v>57</v>
      </c>
      <c r="C50" s="15"/>
      <c r="D50" s="15"/>
      <c r="E50" s="15"/>
      <c r="F50" s="15"/>
      <c r="G50" s="15"/>
    </row>
    <row r="51" spans="1:7">
      <c r="A51" s="12"/>
      <c r="B51" s="12">
        <v>100</v>
      </c>
      <c r="C51" s="12">
        <v>200</v>
      </c>
      <c r="D51" s="12">
        <v>300</v>
      </c>
      <c r="E51" s="12">
        <v>400</v>
      </c>
      <c r="F51" s="12">
        <v>500</v>
      </c>
      <c r="G51" s="12"/>
    </row>
    <row r="52" spans="1:7">
      <c r="A52" s="12" t="s">
        <v>59</v>
      </c>
      <c r="B52" s="12">
        <v>1500</v>
      </c>
      <c r="C52" s="16">
        <f>SQRT((B52*B52-C51*C51))</f>
        <v>1486.6068747318504</v>
      </c>
      <c r="D52" s="16">
        <f>SQRT((B52*B52-D51*D51))</f>
        <v>1469.6938456699068</v>
      </c>
      <c r="E52" s="16">
        <f>SQRT((B52*B52-E51*E51))</f>
        <v>1445.6832294800961</v>
      </c>
      <c r="F52" s="16">
        <f>SQRT((B52*B52-F51*F51))</f>
        <v>1414.2135623730951</v>
      </c>
      <c r="G52" s="11"/>
    </row>
    <row r="53" spans="1:7">
      <c r="A53" s="12" t="s">
        <v>60</v>
      </c>
      <c r="B53" s="12">
        <v>2500</v>
      </c>
      <c r="C53" s="16">
        <f>SQRT((B53*B53-C51*C51))</f>
        <v>2491.9871588754227</v>
      </c>
      <c r="D53" s="16">
        <f>SQRT((B53*B53-D51*D51))</f>
        <v>2481.9347291981712</v>
      </c>
      <c r="E53" s="16">
        <f>SQRT((B53*B53-E51*E51))</f>
        <v>2467.7925358506131</v>
      </c>
      <c r="F53" s="16">
        <f>SQRT((B53*B53-F51*F51))</f>
        <v>2449.4897427831779</v>
      </c>
      <c r="G53" s="11"/>
    </row>
    <row r="54" spans="1:7">
      <c r="A54" s="12">
        <v>23</v>
      </c>
      <c r="B54" s="12">
        <v>2500</v>
      </c>
      <c r="C54" s="16">
        <f>SQRT((B54*B54-C51*C51))</f>
        <v>2491.9871588754227</v>
      </c>
      <c r="D54" s="16">
        <f>SQRT((B54*B54-D51*D51))</f>
        <v>2481.9347291981712</v>
      </c>
      <c r="E54" s="16">
        <f>SQRT((B54*B54-E51*E51))</f>
        <v>2467.7925358506131</v>
      </c>
      <c r="F54" s="16">
        <f>SQRT((B54*B54-F51*F51))</f>
        <v>2449.4897427831779</v>
      </c>
      <c r="G54" s="11"/>
    </row>
    <row r="55" spans="1:7">
      <c r="A55" s="12">
        <v>30</v>
      </c>
      <c r="B55" s="12">
        <v>3000</v>
      </c>
      <c r="C55" s="16">
        <f>SQRT((B55*B55-C51*C51))</f>
        <v>2993.325909419153</v>
      </c>
      <c r="D55" s="16">
        <f>SQRT((B55*B55-D51*D51))</f>
        <v>2984.96231131986</v>
      </c>
      <c r="E55" s="16">
        <f>SQRT((B55*B55-E51*E51))</f>
        <v>2973.2137494637009</v>
      </c>
      <c r="F55" s="16">
        <f>SQRT((B55*B55-F51*F51))</f>
        <v>2958.0398915498081</v>
      </c>
      <c r="G55" s="11"/>
    </row>
    <row r="56" spans="1:7">
      <c r="A56" s="12">
        <v>37</v>
      </c>
      <c r="B56" s="12">
        <v>4000</v>
      </c>
      <c r="C56" s="16">
        <f>SQRT((B56*B56-C51*C51))</f>
        <v>3994.996871087636</v>
      </c>
      <c r="D56" s="16">
        <f>SQRT((B56*B56-D51*D51))</f>
        <v>3988.7341350358261</v>
      </c>
      <c r="E56" s="16">
        <f>SQRT((B56*B56-E51*E51))</f>
        <v>3979.9497484264798</v>
      </c>
      <c r="F56" s="16">
        <f>SQRT((B56*B56-F51*F51))</f>
        <v>3968.6269665968857</v>
      </c>
      <c r="G56" s="11"/>
    </row>
    <row r="57" spans="1:7">
      <c r="A57" s="12">
        <v>57</v>
      </c>
      <c r="B57" s="12">
        <v>6000</v>
      </c>
      <c r="C57" s="16">
        <f>SQRT((B57*B57-C51*C51))</f>
        <v>5996.6657402259798</v>
      </c>
      <c r="D57" s="16">
        <f>SQRT((B57*B57-D51*D51))</f>
        <v>5992.4953066314538</v>
      </c>
      <c r="E57" s="16">
        <f>SQRT((B57*B57-E51*E51))</f>
        <v>5986.6518188383061</v>
      </c>
      <c r="F57" s="16">
        <f>SQRT((B57*B57-F51*F51))</f>
        <v>5979.1303715506992</v>
      </c>
      <c r="G57" s="11"/>
    </row>
    <row r="58" spans="1:7">
      <c r="A58" s="12">
        <v>100</v>
      </c>
      <c r="B58" s="12">
        <v>12000</v>
      </c>
      <c r="C58" s="12">
        <v>12000</v>
      </c>
      <c r="D58" s="12">
        <v>12000</v>
      </c>
      <c r="E58" s="12">
        <v>12000</v>
      </c>
      <c r="F58" s="12">
        <v>12000</v>
      </c>
      <c r="G58" s="11"/>
    </row>
    <row r="59" spans="1:7">
      <c r="A59" s="11" t="s">
        <v>61</v>
      </c>
      <c r="B59" s="12">
        <v>14000</v>
      </c>
      <c r="C59" s="12">
        <v>14525</v>
      </c>
      <c r="D59" s="12">
        <v>15050</v>
      </c>
      <c r="E59" s="12">
        <v>15575</v>
      </c>
      <c r="F59" s="12">
        <v>16100</v>
      </c>
      <c r="G59" s="11"/>
    </row>
  </sheetData>
  <mergeCells count="22">
    <mergeCell ref="A1:J1"/>
    <mergeCell ref="A11:J11"/>
    <mergeCell ref="K1:T1"/>
    <mergeCell ref="K2:K3"/>
    <mergeCell ref="L2:L3"/>
    <mergeCell ref="M2:M3"/>
    <mergeCell ref="N2:N3"/>
    <mergeCell ref="O2:O3"/>
    <mergeCell ref="B50:G50"/>
    <mergeCell ref="I30:P30"/>
    <mergeCell ref="A2:A3"/>
    <mergeCell ref="D2:E2"/>
    <mergeCell ref="F2:G2"/>
    <mergeCell ref="A29:H29"/>
    <mergeCell ref="I29:P29"/>
    <mergeCell ref="B30:H30"/>
    <mergeCell ref="D12:E12"/>
    <mergeCell ref="F12:G12"/>
    <mergeCell ref="H12:I12"/>
    <mergeCell ref="B2:C2"/>
    <mergeCell ref="A12:A13"/>
    <mergeCell ref="B12:C12"/>
  </mergeCells>
  <pageMargins left="0.7" right="0.7" top="0.75" bottom="0.75" header="0.3" footer="0.3"/>
  <pageSetup orientation="landscape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7</vt:i4>
      </vt:variant>
    </vt:vector>
  </HeadingPairs>
  <TitlesOfParts>
    <vt:vector size="10" baseType="lpstr">
      <vt:lpstr>Hoja1</vt:lpstr>
      <vt:lpstr>Hoja2</vt:lpstr>
      <vt:lpstr>Hoja3</vt:lpstr>
      <vt:lpstr>Gráfico1</vt:lpstr>
      <vt:lpstr>Gráfico2</vt:lpstr>
      <vt:lpstr>Gráfico3</vt:lpstr>
      <vt:lpstr>Gráfico4</vt:lpstr>
      <vt:lpstr>Gráfico5</vt:lpstr>
      <vt:lpstr>Gráfico6</vt:lpstr>
      <vt:lpstr>Gráfico7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DARGEN</dc:creator>
  <cp:lastModifiedBy>Guerra</cp:lastModifiedBy>
  <cp:lastPrinted>2017-11-06T00:53:24Z</cp:lastPrinted>
  <dcterms:created xsi:type="dcterms:W3CDTF">2017-11-05T23:09:16Z</dcterms:created>
  <dcterms:modified xsi:type="dcterms:W3CDTF">2018-06-05T20:50:41Z</dcterms:modified>
</cp:coreProperties>
</file>