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2\trabajosProgramacion\Qt_Pruebas\DistanciaVDP18_05\"/>
    </mc:Choice>
  </mc:AlternateContent>
  <bookViews>
    <workbookView xWindow="240" yWindow="75" windowWidth="20730" windowHeight="10485" activeTab="1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</sheets>
  <calcPr calcId="152511"/>
</workbook>
</file>

<file path=xl/calcChain.xml><?xml version="1.0" encoding="utf-8"?>
<calcChain xmlns="http://schemas.openxmlformats.org/spreadsheetml/2006/main">
  <c r="CW141" i="7" l="1"/>
  <c r="CW120" i="7"/>
  <c r="CW121" i="7"/>
  <c r="CW119" i="7"/>
  <c r="BY150" i="7"/>
  <c r="CA150" i="7" s="1"/>
  <c r="CC150" i="7" s="1"/>
  <c r="CE150" i="7" s="1"/>
  <c r="BW150" i="7"/>
  <c r="BW149" i="7"/>
  <c r="BY149" i="7" s="1"/>
  <c r="CA149" i="7" s="1"/>
  <c r="CC149" i="7" s="1"/>
  <c r="CE149" i="7" s="1"/>
  <c r="BW148" i="7"/>
  <c r="BY148" i="7" s="1"/>
  <c r="CA148" i="7" s="1"/>
  <c r="CC148" i="7" s="1"/>
  <c r="CE148" i="7" s="1"/>
  <c r="BW147" i="7"/>
  <c r="BY147" i="7" s="1"/>
  <c r="CA147" i="7" s="1"/>
  <c r="CC147" i="7" s="1"/>
  <c r="CE147" i="7" s="1"/>
  <c r="BY146" i="7"/>
  <c r="CA146" i="7" s="1"/>
  <c r="CC146" i="7" s="1"/>
  <c r="CE146" i="7" s="1"/>
  <c r="BW146" i="7"/>
  <c r="BW145" i="7"/>
  <c r="BY145" i="7" s="1"/>
  <c r="CA145" i="7" s="1"/>
  <c r="CC145" i="7" s="1"/>
  <c r="CE145" i="7" s="1"/>
  <c r="BY144" i="7"/>
  <c r="CA144" i="7" s="1"/>
  <c r="CC144" i="7" s="1"/>
  <c r="CE144" i="7" s="1"/>
  <c r="BW144" i="7"/>
  <c r="BK150" i="7"/>
  <c r="BM150" i="7" s="1"/>
  <c r="BO150" i="7" s="1"/>
  <c r="BQ150" i="7" s="1"/>
  <c r="BS150" i="7" s="1"/>
  <c r="BK149" i="7"/>
  <c r="BM149" i="7" s="1"/>
  <c r="BO149" i="7" s="1"/>
  <c r="BQ149" i="7" s="1"/>
  <c r="BS149" i="7" s="1"/>
  <c r="BK148" i="7"/>
  <c r="BM148" i="7" s="1"/>
  <c r="BO148" i="7" s="1"/>
  <c r="BQ148" i="7" s="1"/>
  <c r="BS148" i="7" s="1"/>
  <c r="BK147" i="7"/>
  <c r="BM147" i="7" s="1"/>
  <c r="BO147" i="7" s="1"/>
  <c r="BQ147" i="7" s="1"/>
  <c r="BS147" i="7" s="1"/>
  <c r="BK146" i="7"/>
  <c r="BM146" i="7" s="1"/>
  <c r="BO146" i="7" s="1"/>
  <c r="BQ146" i="7" s="1"/>
  <c r="BS146" i="7" s="1"/>
  <c r="BK145" i="7"/>
  <c r="BM145" i="7" s="1"/>
  <c r="BO145" i="7" s="1"/>
  <c r="BQ145" i="7" s="1"/>
  <c r="BS145" i="7" s="1"/>
  <c r="BK144" i="7"/>
  <c r="BM144" i="7" s="1"/>
  <c r="BO144" i="7" s="1"/>
  <c r="BQ144" i="7" s="1"/>
  <c r="BS144" i="7" s="1"/>
  <c r="AY150" i="7"/>
  <c r="BA150" i="7" s="1"/>
  <c r="BC150" i="7" s="1"/>
  <c r="BE150" i="7" s="1"/>
  <c r="BG150" i="7" s="1"/>
  <c r="AY149" i="7"/>
  <c r="BA149" i="7" s="1"/>
  <c r="BC149" i="7" s="1"/>
  <c r="BE149" i="7" s="1"/>
  <c r="BG149" i="7" s="1"/>
  <c r="BC148" i="7"/>
  <c r="BE148" i="7" s="1"/>
  <c r="BG148" i="7" s="1"/>
  <c r="AY148" i="7"/>
  <c r="BA148" i="7" s="1"/>
  <c r="AY147" i="7"/>
  <c r="BA147" i="7" s="1"/>
  <c r="BC147" i="7" s="1"/>
  <c r="BE147" i="7" s="1"/>
  <c r="BG147" i="7" s="1"/>
  <c r="AY146" i="7"/>
  <c r="BA146" i="7" s="1"/>
  <c r="BC146" i="7" s="1"/>
  <c r="BE146" i="7" s="1"/>
  <c r="BG146" i="7" s="1"/>
  <c r="AY145" i="7"/>
  <c r="BA145" i="7" s="1"/>
  <c r="BC145" i="7" s="1"/>
  <c r="BE145" i="7" s="1"/>
  <c r="BG145" i="7" s="1"/>
  <c r="AY144" i="7"/>
  <c r="BA144" i="7" s="1"/>
  <c r="BC144" i="7" s="1"/>
  <c r="BE144" i="7" s="1"/>
  <c r="BG144" i="7" s="1"/>
  <c r="AO150" i="7"/>
  <c r="AQ150" i="7" s="1"/>
  <c r="AS150" i="7" s="1"/>
  <c r="AU150" i="7" s="1"/>
  <c r="AM150" i="7"/>
  <c r="AM149" i="7"/>
  <c r="AO149" i="7" s="1"/>
  <c r="AQ149" i="7" s="1"/>
  <c r="AS149" i="7" s="1"/>
  <c r="AU149" i="7" s="1"/>
  <c r="AM148" i="7"/>
  <c r="AO148" i="7" s="1"/>
  <c r="AQ148" i="7" s="1"/>
  <c r="AS148" i="7" s="1"/>
  <c r="AU148" i="7" s="1"/>
  <c r="AM147" i="7"/>
  <c r="AO147" i="7" s="1"/>
  <c r="AQ147" i="7" s="1"/>
  <c r="AS147" i="7" s="1"/>
  <c r="AU147" i="7" s="1"/>
  <c r="AO146" i="7"/>
  <c r="AQ146" i="7" s="1"/>
  <c r="AS146" i="7" s="1"/>
  <c r="AU146" i="7" s="1"/>
  <c r="AM146" i="7"/>
  <c r="AM145" i="7"/>
  <c r="AO145" i="7" s="1"/>
  <c r="AQ145" i="7" s="1"/>
  <c r="AS145" i="7" s="1"/>
  <c r="AU145" i="7" s="1"/>
  <c r="AM144" i="7"/>
  <c r="AO144" i="7" s="1"/>
  <c r="AQ144" i="7" s="1"/>
  <c r="AS144" i="7" s="1"/>
  <c r="AU144" i="7" s="1"/>
  <c r="AA150" i="7"/>
  <c r="AC150" i="7" s="1"/>
  <c r="AE150" i="7" s="1"/>
  <c r="AG150" i="7" s="1"/>
  <c r="AI150" i="7" s="1"/>
  <c r="AC149" i="7"/>
  <c r="AE149" i="7" s="1"/>
  <c r="AG149" i="7" s="1"/>
  <c r="AI149" i="7" s="1"/>
  <c r="AA149" i="7"/>
  <c r="AA148" i="7"/>
  <c r="AC148" i="7" s="1"/>
  <c r="AE148" i="7" s="1"/>
  <c r="AG148" i="7" s="1"/>
  <c r="AI148" i="7" s="1"/>
  <c r="AG147" i="7"/>
  <c r="AI147" i="7" s="1"/>
  <c r="AA147" i="7"/>
  <c r="AC147" i="7" s="1"/>
  <c r="AE147" i="7" s="1"/>
  <c r="AA146" i="7"/>
  <c r="AC146" i="7" s="1"/>
  <c r="AE146" i="7" s="1"/>
  <c r="AG146" i="7" s="1"/>
  <c r="AI146" i="7" s="1"/>
  <c r="AA145" i="7"/>
  <c r="AC145" i="7" s="1"/>
  <c r="AE145" i="7" s="1"/>
  <c r="AG145" i="7" s="1"/>
  <c r="AI145" i="7" s="1"/>
  <c r="AA144" i="7"/>
  <c r="AC144" i="7" s="1"/>
  <c r="AE144" i="7" s="1"/>
  <c r="AG144" i="7" s="1"/>
  <c r="AI144" i="7" s="1"/>
  <c r="O150" i="7"/>
  <c r="Q150" i="7" s="1"/>
  <c r="S150" i="7" s="1"/>
  <c r="U150" i="7" s="1"/>
  <c r="W150" i="7" s="1"/>
  <c r="O149" i="7"/>
  <c r="Q149" i="7" s="1"/>
  <c r="S149" i="7" s="1"/>
  <c r="U149" i="7" s="1"/>
  <c r="W149" i="7" s="1"/>
  <c r="Q148" i="7"/>
  <c r="S148" i="7" s="1"/>
  <c r="U148" i="7" s="1"/>
  <c r="W148" i="7" s="1"/>
  <c r="O148" i="7"/>
  <c r="O147" i="7"/>
  <c r="Q147" i="7" s="1"/>
  <c r="S147" i="7" s="1"/>
  <c r="U147" i="7" s="1"/>
  <c r="W147" i="7" s="1"/>
  <c r="O146" i="7"/>
  <c r="Q146" i="7" s="1"/>
  <c r="S146" i="7" s="1"/>
  <c r="U146" i="7" s="1"/>
  <c r="W146" i="7" s="1"/>
  <c r="O145" i="7"/>
  <c r="Q145" i="7" s="1"/>
  <c r="S145" i="7" s="1"/>
  <c r="U145" i="7" s="1"/>
  <c r="W145" i="7" s="1"/>
  <c r="Q144" i="7"/>
  <c r="S144" i="7" s="1"/>
  <c r="U144" i="7" s="1"/>
  <c r="W144" i="7" s="1"/>
  <c r="O144" i="7"/>
  <c r="E150" i="7"/>
  <c r="G150" i="7" s="1"/>
  <c r="I150" i="7" s="1"/>
  <c r="K150" i="7" s="1"/>
  <c r="C150" i="7"/>
  <c r="C149" i="7"/>
  <c r="E149" i="7" s="1"/>
  <c r="G149" i="7" s="1"/>
  <c r="I149" i="7" s="1"/>
  <c r="K149" i="7" s="1"/>
  <c r="E148" i="7"/>
  <c r="G148" i="7" s="1"/>
  <c r="I148" i="7" s="1"/>
  <c r="K148" i="7" s="1"/>
  <c r="C148" i="7"/>
  <c r="C147" i="7"/>
  <c r="E147" i="7" s="1"/>
  <c r="G147" i="7" s="1"/>
  <c r="I147" i="7" s="1"/>
  <c r="K147" i="7" s="1"/>
  <c r="E146" i="7"/>
  <c r="G146" i="7" s="1"/>
  <c r="I146" i="7" s="1"/>
  <c r="K146" i="7" s="1"/>
  <c r="C146" i="7"/>
  <c r="C145" i="7"/>
  <c r="E145" i="7" s="1"/>
  <c r="G145" i="7" s="1"/>
  <c r="I145" i="7" s="1"/>
  <c r="K145" i="7" s="1"/>
  <c r="E144" i="7"/>
  <c r="G144" i="7" s="1"/>
  <c r="I144" i="7" s="1"/>
  <c r="K144" i="7" s="1"/>
  <c r="C144" i="7"/>
  <c r="CW66" i="7"/>
  <c r="CV68" i="7"/>
  <c r="CW81" i="7"/>
  <c r="CW82" i="7"/>
  <c r="CS93" i="7"/>
  <c r="CU91" i="7"/>
  <c r="CW99" i="7"/>
  <c r="CW98" i="7"/>
  <c r="CW97" i="7"/>
  <c r="CW96" i="7"/>
  <c r="CW95" i="7"/>
  <c r="CW94" i="7"/>
  <c r="CW93" i="7"/>
  <c r="CW92" i="7"/>
  <c r="CW91" i="7"/>
  <c r="CW90" i="7"/>
  <c r="CW89" i="7"/>
  <c r="CU99" i="7"/>
  <c r="CU98" i="7"/>
  <c r="CU97" i="7"/>
  <c r="CU96" i="7"/>
  <c r="CU95" i="7"/>
  <c r="CU94" i="7"/>
  <c r="CU93" i="7"/>
  <c r="CU92" i="7"/>
  <c r="CG99" i="7"/>
  <c r="CG98" i="7"/>
  <c r="CG97" i="7"/>
  <c r="CG96" i="7"/>
  <c r="CG95" i="7"/>
  <c r="CG94" i="7"/>
  <c r="CG93" i="7"/>
  <c r="CG92" i="7"/>
  <c r="CG91" i="7"/>
  <c r="CG90" i="7"/>
  <c r="CG89" i="7"/>
  <c r="BW97" i="7"/>
  <c r="BY97" i="7" s="1"/>
  <c r="CA97" i="7" s="1"/>
  <c r="CC97" i="7" s="1"/>
  <c r="CE97" i="7" s="1"/>
  <c r="BW96" i="7"/>
  <c r="BY96" i="7" s="1"/>
  <c r="CA96" i="7" s="1"/>
  <c r="CC96" i="7" s="1"/>
  <c r="CE96" i="7" s="1"/>
  <c r="BW95" i="7"/>
  <c r="BY95" i="7" s="1"/>
  <c r="CA95" i="7" s="1"/>
  <c r="CC95" i="7" s="1"/>
  <c r="CE95" i="7" s="1"/>
  <c r="BW94" i="7"/>
  <c r="BY94" i="7" s="1"/>
  <c r="CA94" i="7" s="1"/>
  <c r="CC94" i="7" s="1"/>
  <c r="CE94" i="7" s="1"/>
  <c r="BW93" i="7"/>
  <c r="BY93" i="7" s="1"/>
  <c r="CA93" i="7" s="1"/>
  <c r="CC93" i="7" s="1"/>
  <c r="CE93" i="7" s="1"/>
  <c r="BW92" i="7"/>
  <c r="BY92" i="7" s="1"/>
  <c r="CA92" i="7" s="1"/>
  <c r="CC92" i="7" s="1"/>
  <c r="CE92" i="7" s="1"/>
  <c r="BW91" i="7"/>
  <c r="BY91" i="7" s="1"/>
  <c r="CA91" i="7" s="1"/>
  <c r="CC91" i="7" s="1"/>
  <c r="CE91" i="7" s="1"/>
  <c r="BM97" i="7"/>
  <c r="BO97" i="7" s="1"/>
  <c r="BQ97" i="7" s="1"/>
  <c r="BS97" i="7" s="1"/>
  <c r="BK97" i="7"/>
  <c r="BK96" i="7"/>
  <c r="BM96" i="7" s="1"/>
  <c r="BO96" i="7" s="1"/>
  <c r="BQ96" i="7" s="1"/>
  <c r="BS96" i="7" s="1"/>
  <c r="BM95" i="7"/>
  <c r="BO95" i="7" s="1"/>
  <c r="BQ95" i="7" s="1"/>
  <c r="BS95" i="7" s="1"/>
  <c r="BK95" i="7"/>
  <c r="BK94" i="7"/>
  <c r="BM94" i="7" s="1"/>
  <c r="BO94" i="7" s="1"/>
  <c r="BQ94" i="7" s="1"/>
  <c r="BS94" i="7" s="1"/>
  <c r="BM93" i="7"/>
  <c r="BO93" i="7" s="1"/>
  <c r="BQ93" i="7" s="1"/>
  <c r="BS93" i="7" s="1"/>
  <c r="BK93" i="7"/>
  <c r="BK92" i="7"/>
  <c r="BM92" i="7" s="1"/>
  <c r="BO92" i="7" s="1"/>
  <c r="BQ92" i="7" s="1"/>
  <c r="BS92" i="7" s="1"/>
  <c r="BM91" i="7"/>
  <c r="BO91" i="7" s="1"/>
  <c r="BQ91" i="7" s="1"/>
  <c r="BS91" i="7" s="1"/>
  <c r="BK91" i="7"/>
  <c r="BA97" i="7"/>
  <c r="BC97" i="7" s="1"/>
  <c r="BE97" i="7" s="1"/>
  <c r="BG97" i="7" s="1"/>
  <c r="AY97" i="7"/>
  <c r="AY96" i="7"/>
  <c r="BA96" i="7" s="1"/>
  <c r="BC96" i="7" s="1"/>
  <c r="BE96" i="7" s="1"/>
  <c r="BG96" i="7" s="1"/>
  <c r="AY95" i="7"/>
  <c r="BA95" i="7" s="1"/>
  <c r="BC95" i="7" s="1"/>
  <c r="BE95" i="7" s="1"/>
  <c r="BG95" i="7" s="1"/>
  <c r="AY94" i="7"/>
  <c r="BA94" i="7" s="1"/>
  <c r="BC94" i="7" s="1"/>
  <c r="BE94" i="7" s="1"/>
  <c r="BG94" i="7" s="1"/>
  <c r="BA93" i="7"/>
  <c r="BC93" i="7" s="1"/>
  <c r="BE93" i="7" s="1"/>
  <c r="BG93" i="7" s="1"/>
  <c r="AY93" i="7"/>
  <c r="AY92" i="7"/>
  <c r="BA92" i="7" s="1"/>
  <c r="BC92" i="7" s="1"/>
  <c r="BE92" i="7" s="1"/>
  <c r="BG92" i="7" s="1"/>
  <c r="AY91" i="7"/>
  <c r="BA91" i="7" s="1"/>
  <c r="BC91" i="7" s="1"/>
  <c r="BE91" i="7" s="1"/>
  <c r="BG91" i="7" s="1"/>
  <c r="AM97" i="7"/>
  <c r="AO97" i="7" s="1"/>
  <c r="AQ97" i="7" s="1"/>
  <c r="AS97" i="7" s="1"/>
  <c r="AU97" i="7" s="1"/>
  <c r="AM96" i="7"/>
  <c r="AO96" i="7" s="1"/>
  <c r="AQ96" i="7" s="1"/>
  <c r="AS96" i="7" s="1"/>
  <c r="AU96" i="7" s="1"/>
  <c r="AM95" i="7"/>
  <c r="AO95" i="7" s="1"/>
  <c r="AQ95" i="7" s="1"/>
  <c r="AS95" i="7" s="1"/>
  <c r="AU95" i="7" s="1"/>
  <c r="AM94" i="7"/>
  <c r="AO94" i="7" s="1"/>
  <c r="AQ94" i="7" s="1"/>
  <c r="AS94" i="7" s="1"/>
  <c r="AU94" i="7" s="1"/>
  <c r="AM93" i="7"/>
  <c r="AO93" i="7" s="1"/>
  <c r="AQ93" i="7" s="1"/>
  <c r="AS93" i="7" s="1"/>
  <c r="AU93" i="7" s="1"/>
  <c r="AM92" i="7"/>
  <c r="AO92" i="7" s="1"/>
  <c r="AQ92" i="7" s="1"/>
  <c r="AS92" i="7" s="1"/>
  <c r="AU92" i="7" s="1"/>
  <c r="AM91" i="7"/>
  <c r="AO91" i="7" s="1"/>
  <c r="AQ91" i="7" s="1"/>
  <c r="AS91" i="7" s="1"/>
  <c r="AU91" i="7" s="1"/>
  <c r="AC97" i="7"/>
  <c r="AE97" i="7" s="1"/>
  <c r="AG97" i="7" s="1"/>
  <c r="AI97" i="7" s="1"/>
  <c r="AA97" i="7"/>
  <c r="AA96" i="7"/>
  <c r="AC96" i="7" s="1"/>
  <c r="AE96" i="7" s="1"/>
  <c r="AG96" i="7" s="1"/>
  <c r="AI96" i="7" s="1"/>
  <c r="AC95" i="7"/>
  <c r="AE95" i="7" s="1"/>
  <c r="AG95" i="7" s="1"/>
  <c r="AI95" i="7" s="1"/>
  <c r="AA95" i="7"/>
  <c r="AA94" i="7"/>
  <c r="AC94" i="7" s="1"/>
  <c r="AE94" i="7" s="1"/>
  <c r="AG94" i="7" s="1"/>
  <c r="AI94" i="7" s="1"/>
  <c r="AC93" i="7"/>
  <c r="AE93" i="7" s="1"/>
  <c r="AG93" i="7" s="1"/>
  <c r="AI93" i="7" s="1"/>
  <c r="AA93" i="7"/>
  <c r="AA92" i="7"/>
  <c r="AC92" i="7" s="1"/>
  <c r="AE92" i="7" s="1"/>
  <c r="AG92" i="7" s="1"/>
  <c r="AI92" i="7" s="1"/>
  <c r="AC91" i="7"/>
  <c r="AE91" i="7" s="1"/>
  <c r="AG91" i="7" s="1"/>
  <c r="AI91" i="7" s="1"/>
  <c r="AA91" i="7"/>
  <c r="O97" i="7"/>
  <c r="Q97" i="7" s="1"/>
  <c r="S97" i="7" s="1"/>
  <c r="U97" i="7" s="1"/>
  <c r="W97" i="7" s="1"/>
  <c r="O96" i="7"/>
  <c r="Q96" i="7" s="1"/>
  <c r="S96" i="7" s="1"/>
  <c r="U96" i="7" s="1"/>
  <c r="W96" i="7" s="1"/>
  <c r="Q95" i="7"/>
  <c r="S95" i="7" s="1"/>
  <c r="U95" i="7" s="1"/>
  <c r="W95" i="7" s="1"/>
  <c r="O95" i="7"/>
  <c r="O94" i="7"/>
  <c r="Q94" i="7" s="1"/>
  <c r="S94" i="7" s="1"/>
  <c r="U94" i="7" s="1"/>
  <c r="W94" i="7" s="1"/>
  <c r="O93" i="7"/>
  <c r="Q93" i="7" s="1"/>
  <c r="S93" i="7" s="1"/>
  <c r="U93" i="7" s="1"/>
  <c r="W93" i="7" s="1"/>
  <c r="O92" i="7"/>
  <c r="Q92" i="7" s="1"/>
  <c r="S92" i="7" s="1"/>
  <c r="U92" i="7" s="1"/>
  <c r="W92" i="7" s="1"/>
  <c r="Q91" i="7"/>
  <c r="S91" i="7" s="1"/>
  <c r="U91" i="7" s="1"/>
  <c r="W91" i="7" s="1"/>
  <c r="O91" i="7"/>
  <c r="E97" i="7"/>
  <c r="G97" i="7" s="1"/>
  <c r="I97" i="7" s="1"/>
  <c r="K97" i="7" s="1"/>
  <c r="C97" i="7"/>
  <c r="C96" i="7"/>
  <c r="E96" i="7" s="1"/>
  <c r="G96" i="7" s="1"/>
  <c r="I96" i="7" s="1"/>
  <c r="K96" i="7" s="1"/>
  <c r="C95" i="7"/>
  <c r="E95" i="7" s="1"/>
  <c r="G95" i="7" s="1"/>
  <c r="I95" i="7" s="1"/>
  <c r="K95" i="7" s="1"/>
  <c r="C94" i="7"/>
  <c r="E94" i="7" s="1"/>
  <c r="G94" i="7" s="1"/>
  <c r="I94" i="7" s="1"/>
  <c r="K94" i="7" s="1"/>
  <c r="E93" i="7"/>
  <c r="G93" i="7" s="1"/>
  <c r="I93" i="7" s="1"/>
  <c r="K93" i="7" s="1"/>
  <c r="C93" i="7"/>
  <c r="C92" i="7"/>
  <c r="E92" i="7" s="1"/>
  <c r="G92" i="7" s="1"/>
  <c r="I92" i="7" s="1"/>
  <c r="K92" i="7" s="1"/>
  <c r="C91" i="7"/>
  <c r="E91" i="7" s="1"/>
  <c r="G91" i="7" s="1"/>
  <c r="I91" i="7" s="1"/>
  <c r="K91" i="7" s="1"/>
  <c r="CW88" i="7"/>
  <c r="CW87" i="7"/>
  <c r="CW86" i="7"/>
  <c r="CW85" i="7"/>
  <c r="CW68" i="7"/>
  <c r="CW67" i="7"/>
  <c r="CV69" i="7"/>
  <c r="CW32" i="7"/>
  <c r="CW31" i="7"/>
  <c r="CW10" i="7"/>
  <c r="CW11" i="7"/>
  <c r="CW12" i="7"/>
  <c r="CW13" i="7"/>
  <c r="CW14" i="7"/>
  <c r="CW9" i="7"/>
  <c r="CV15" i="7"/>
  <c r="CV16" i="7" s="1"/>
  <c r="CV17" i="7" s="1"/>
  <c r="CV18" i="7" s="1"/>
  <c r="CV19" i="7" s="1"/>
  <c r="CV20" i="7" s="1"/>
  <c r="CV21" i="7" s="1"/>
  <c r="CV22" i="7" s="1"/>
  <c r="CV23" i="7" s="1"/>
  <c r="CV24" i="7" s="1"/>
  <c r="CV25" i="7" s="1"/>
  <c r="CV26" i="7" s="1"/>
  <c r="CV27" i="7" s="1"/>
  <c r="CV28" i="7" s="1"/>
  <c r="CV29" i="7" s="1"/>
  <c r="CV30" i="7" s="1"/>
  <c r="CW30" i="7" s="1"/>
  <c r="BW44" i="7"/>
  <c r="BY44" i="7" s="1"/>
  <c r="CA44" i="7" s="1"/>
  <c r="CC44" i="7" s="1"/>
  <c r="CE44" i="7" s="1"/>
  <c r="BW43" i="7"/>
  <c r="BY43" i="7" s="1"/>
  <c r="CA43" i="7" s="1"/>
  <c r="CC43" i="7" s="1"/>
  <c r="CE43" i="7" s="1"/>
  <c r="BY42" i="7"/>
  <c r="CA42" i="7" s="1"/>
  <c r="CC42" i="7" s="1"/>
  <c r="CE42" i="7" s="1"/>
  <c r="BW42" i="7"/>
  <c r="BW41" i="7"/>
  <c r="BY41" i="7" s="1"/>
  <c r="CA41" i="7" s="1"/>
  <c r="CC41" i="7" s="1"/>
  <c r="CE41" i="7" s="1"/>
  <c r="BW40" i="7"/>
  <c r="BY40" i="7" s="1"/>
  <c r="CA40" i="7" s="1"/>
  <c r="CC40" i="7" s="1"/>
  <c r="CE40" i="7" s="1"/>
  <c r="BW39" i="7"/>
  <c r="BY39" i="7" s="1"/>
  <c r="CA39" i="7" s="1"/>
  <c r="CC39" i="7" s="1"/>
  <c r="CE39" i="7" s="1"/>
  <c r="BY38" i="7"/>
  <c r="CA38" i="7" s="1"/>
  <c r="CC38" i="7" s="1"/>
  <c r="CE38" i="7" s="1"/>
  <c r="BW38" i="7"/>
  <c r="BM44" i="7"/>
  <c r="BO44" i="7" s="1"/>
  <c r="BQ44" i="7" s="1"/>
  <c r="BS44" i="7" s="1"/>
  <c r="BK44" i="7"/>
  <c r="BK43" i="7"/>
  <c r="BM43" i="7" s="1"/>
  <c r="BO43" i="7" s="1"/>
  <c r="BQ43" i="7" s="1"/>
  <c r="BS43" i="7" s="1"/>
  <c r="BK42" i="7"/>
  <c r="BM42" i="7" s="1"/>
  <c r="BO42" i="7" s="1"/>
  <c r="BQ42" i="7" s="1"/>
  <c r="BS42" i="7" s="1"/>
  <c r="BK41" i="7"/>
  <c r="BM41" i="7" s="1"/>
  <c r="BO41" i="7" s="1"/>
  <c r="BQ41" i="7" s="1"/>
  <c r="BS41" i="7" s="1"/>
  <c r="BM40" i="7"/>
  <c r="BO40" i="7" s="1"/>
  <c r="BQ40" i="7" s="1"/>
  <c r="BS40" i="7" s="1"/>
  <c r="BK40" i="7"/>
  <c r="BK39" i="7"/>
  <c r="BM39" i="7" s="1"/>
  <c r="BO39" i="7" s="1"/>
  <c r="BQ39" i="7" s="1"/>
  <c r="BS39" i="7" s="1"/>
  <c r="BK38" i="7"/>
  <c r="BM38" i="7" s="1"/>
  <c r="BO38" i="7" s="1"/>
  <c r="BQ38" i="7" s="1"/>
  <c r="BS38" i="7" s="1"/>
  <c r="AY44" i="7"/>
  <c r="BA44" i="7" s="1"/>
  <c r="BC44" i="7" s="1"/>
  <c r="BE44" i="7" s="1"/>
  <c r="BG44" i="7" s="1"/>
  <c r="AY43" i="7"/>
  <c r="BA43" i="7" s="1"/>
  <c r="BC43" i="7" s="1"/>
  <c r="BE43" i="7" s="1"/>
  <c r="BG43" i="7" s="1"/>
  <c r="BA42" i="7"/>
  <c r="BC42" i="7" s="1"/>
  <c r="BE42" i="7" s="1"/>
  <c r="BG42" i="7" s="1"/>
  <c r="AY42" i="7"/>
  <c r="AY41" i="7"/>
  <c r="BA41" i="7" s="1"/>
  <c r="BC41" i="7" s="1"/>
  <c r="BE41" i="7" s="1"/>
  <c r="BG41" i="7" s="1"/>
  <c r="AY40" i="7"/>
  <c r="BA40" i="7" s="1"/>
  <c r="BC40" i="7" s="1"/>
  <c r="BE40" i="7" s="1"/>
  <c r="BG40" i="7" s="1"/>
  <c r="AY39" i="7"/>
  <c r="BA39" i="7" s="1"/>
  <c r="BC39" i="7" s="1"/>
  <c r="BE39" i="7" s="1"/>
  <c r="BG39" i="7" s="1"/>
  <c r="BA38" i="7"/>
  <c r="BC38" i="7" s="1"/>
  <c r="BE38" i="7" s="1"/>
  <c r="BG38" i="7" s="1"/>
  <c r="AY38" i="7"/>
  <c r="AM44" i="7"/>
  <c r="AO44" i="7" s="1"/>
  <c r="AQ44" i="7" s="1"/>
  <c r="AS44" i="7" s="1"/>
  <c r="AU44" i="7" s="1"/>
  <c r="AM43" i="7"/>
  <c r="AO43" i="7" s="1"/>
  <c r="AQ43" i="7" s="1"/>
  <c r="AS43" i="7" s="1"/>
  <c r="AU43" i="7" s="1"/>
  <c r="AO42" i="7"/>
  <c r="AQ42" i="7" s="1"/>
  <c r="AS42" i="7" s="1"/>
  <c r="AU42" i="7" s="1"/>
  <c r="AM42" i="7"/>
  <c r="AS41" i="7"/>
  <c r="AU41" i="7" s="1"/>
  <c r="AO41" i="7"/>
  <c r="AQ41" i="7" s="1"/>
  <c r="AM41" i="7"/>
  <c r="AM40" i="7"/>
  <c r="AO40" i="7" s="1"/>
  <c r="AQ40" i="7" s="1"/>
  <c r="AS40" i="7" s="1"/>
  <c r="AU40" i="7" s="1"/>
  <c r="AM39" i="7"/>
  <c r="AO39" i="7" s="1"/>
  <c r="AQ39" i="7" s="1"/>
  <c r="AS39" i="7" s="1"/>
  <c r="AU39" i="7" s="1"/>
  <c r="AO38" i="7"/>
  <c r="AQ38" i="7" s="1"/>
  <c r="AS38" i="7" s="1"/>
  <c r="AU38" i="7" s="1"/>
  <c r="AM38" i="7"/>
  <c r="AA44" i="7"/>
  <c r="AC44" i="7" s="1"/>
  <c r="AE44" i="7" s="1"/>
  <c r="AG44" i="7" s="1"/>
  <c r="AI44" i="7" s="1"/>
  <c r="AA43" i="7"/>
  <c r="AC43" i="7" s="1"/>
  <c r="AE43" i="7" s="1"/>
  <c r="AG43" i="7" s="1"/>
  <c r="AI43" i="7" s="1"/>
  <c r="AC42" i="7"/>
  <c r="AE42" i="7" s="1"/>
  <c r="AG42" i="7" s="1"/>
  <c r="AI42" i="7" s="1"/>
  <c r="AA42" i="7"/>
  <c r="AC41" i="7"/>
  <c r="AE41" i="7" s="1"/>
  <c r="AG41" i="7" s="1"/>
  <c r="AI41" i="7" s="1"/>
  <c r="AA41" i="7"/>
  <c r="AA40" i="7"/>
  <c r="AC40" i="7" s="1"/>
  <c r="AE40" i="7" s="1"/>
  <c r="AG40" i="7" s="1"/>
  <c r="AI40" i="7" s="1"/>
  <c r="AA39" i="7"/>
  <c r="AC39" i="7" s="1"/>
  <c r="AE39" i="7" s="1"/>
  <c r="AG39" i="7" s="1"/>
  <c r="AI39" i="7" s="1"/>
  <c r="AC38" i="7"/>
  <c r="AE38" i="7" s="1"/>
  <c r="AG38" i="7" s="1"/>
  <c r="AI38" i="7" s="1"/>
  <c r="AA38" i="7"/>
  <c r="Q44" i="7"/>
  <c r="S44" i="7" s="1"/>
  <c r="U44" i="7" s="1"/>
  <c r="W44" i="7" s="1"/>
  <c r="O44" i="7"/>
  <c r="O43" i="7"/>
  <c r="Q43" i="7" s="1"/>
  <c r="S43" i="7" s="1"/>
  <c r="U43" i="7" s="1"/>
  <c r="W43" i="7" s="1"/>
  <c r="O42" i="7"/>
  <c r="Q42" i="7" s="1"/>
  <c r="S42" i="7" s="1"/>
  <c r="U42" i="7" s="1"/>
  <c r="W42" i="7" s="1"/>
  <c r="O41" i="7"/>
  <c r="Q41" i="7" s="1"/>
  <c r="S41" i="7" s="1"/>
  <c r="U41" i="7" s="1"/>
  <c r="W41" i="7" s="1"/>
  <c r="Q40" i="7"/>
  <c r="S40" i="7" s="1"/>
  <c r="U40" i="7" s="1"/>
  <c r="W40" i="7" s="1"/>
  <c r="O40" i="7"/>
  <c r="O39" i="7"/>
  <c r="Q39" i="7" s="1"/>
  <c r="S39" i="7" s="1"/>
  <c r="U39" i="7" s="1"/>
  <c r="W39" i="7" s="1"/>
  <c r="O38" i="7"/>
  <c r="Q38" i="7" s="1"/>
  <c r="S38" i="7" s="1"/>
  <c r="U38" i="7" s="1"/>
  <c r="W38" i="7" s="1"/>
  <c r="C44" i="7"/>
  <c r="E44" i="7" s="1"/>
  <c r="G44" i="7" s="1"/>
  <c r="I44" i="7" s="1"/>
  <c r="K44" i="7" s="1"/>
  <c r="E43" i="7"/>
  <c r="G43" i="7" s="1"/>
  <c r="I43" i="7" s="1"/>
  <c r="K43" i="7" s="1"/>
  <c r="C43" i="7"/>
  <c r="C42" i="7"/>
  <c r="E42" i="7" s="1"/>
  <c r="G42" i="7" s="1"/>
  <c r="I42" i="7" s="1"/>
  <c r="K42" i="7" s="1"/>
  <c r="C41" i="7"/>
  <c r="E41" i="7" s="1"/>
  <c r="G41" i="7" s="1"/>
  <c r="I41" i="7" s="1"/>
  <c r="K41" i="7" s="1"/>
  <c r="C40" i="7"/>
  <c r="E40" i="7" s="1"/>
  <c r="G40" i="7" s="1"/>
  <c r="I40" i="7" s="1"/>
  <c r="K40" i="7" s="1"/>
  <c r="E39" i="7"/>
  <c r="G39" i="7" s="1"/>
  <c r="I39" i="7" s="1"/>
  <c r="K39" i="7" s="1"/>
  <c r="C39" i="7"/>
  <c r="C38" i="7"/>
  <c r="E38" i="7" s="1"/>
  <c r="G38" i="7" s="1"/>
  <c r="I38" i="7" s="1"/>
  <c r="K38" i="7" s="1"/>
  <c r="CI122" i="7"/>
  <c r="CI123" i="7" s="1"/>
  <c r="CI124" i="7" s="1"/>
  <c r="CU115" i="7"/>
  <c r="CR116" i="7"/>
  <c r="CU114" i="7"/>
  <c r="CS114" i="7"/>
  <c r="CP115" i="7"/>
  <c r="CQ113" i="7"/>
  <c r="CO113" i="7"/>
  <c r="CL113" i="7"/>
  <c r="CL114" i="7" s="1"/>
  <c r="CO112" i="7"/>
  <c r="CM112" i="7"/>
  <c r="CJ112" i="7"/>
  <c r="CJ113" i="7" s="1"/>
  <c r="CK113" i="7" s="1"/>
  <c r="CO111" i="7"/>
  <c r="CM111" i="7"/>
  <c r="CK111" i="7"/>
  <c r="CM110" i="7"/>
  <c r="CK110" i="7"/>
  <c r="CI69" i="7"/>
  <c r="CI70" i="7" s="1"/>
  <c r="CU62" i="7"/>
  <c r="CS62" i="7"/>
  <c r="CR62" i="7"/>
  <c r="CR63" i="7" s="1"/>
  <c r="CU61" i="7"/>
  <c r="CS61" i="7"/>
  <c r="CQ61" i="7"/>
  <c r="CP62" i="7"/>
  <c r="CQ60" i="7"/>
  <c r="CO60" i="7"/>
  <c r="CJ60" i="7"/>
  <c r="CK60" i="7" s="1"/>
  <c r="CO59" i="7"/>
  <c r="CL60" i="7"/>
  <c r="CL61" i="7" s="1"/>
  <c r="CJ59" i="7"/>
  <c r="CK59" i="7" s="1"/>
  <c r="CO58" i="7"/>
  <c r="CM58" i="7"/>
  <c r="CK58" i="7"/>
  <c r="CM57" i="7"/>
  <c r="CK57" i="7"/>
  <c r="CI16" i="7"/>
  <c r="CI17" i="7" s="1"/>
  <c r="CI18" i="7" s="1"/>
  <c r="CU10" i="7"/>
  <c r="CU9" i="7"/>
  <c r="CR9" i="7"/>
  <c r="CR10" i="7" s="1"/>
  <c r="CR11" i="7" s="1"/>
  <c r="CU8" i="7"/>
  <c r="CS8" i="7"/>
  <c r="CP9" i="7"/>
  <c r="CQ7" i="7"/>
  <c r="CN8" i="7"/>
  <c r="CQ6" i="7"/>
  <c r="CO6" i="7"/>
  <c r="CM6" i="7"/>
  <c r="CJ6" i="7"/>
  <c r="CK6" i="7" s="1"/>
  <c r="CO5" i="7"/>
  <c r="CM5" i="7"/>
  <c r="CK5" i="7"/>
  <c r="CM4" i="7"/>
  <c r="CK4" i="7"/>
  <c r="CG115" i="7"/>
  <c r="CG125" i="7"/>
  <c r="CG114" i="7"/>
  <c r="CF115" i="7"/>
  <c r="CF116" i="7" s="1"/>
  <c r="CG116" i="7" s="1"/>
  <c r="CE116" i="7"/>
  <c r="CE114" i="7"/>
  <c r="CD116" i="7"/>
  <c r="CD117" i="7" s="1"/>
  <c r="CD115" i="7"/>
  <c r="CE115" i="7" s="1"/>
  <c r="CB114" i="7"/>
  <c r="BW137" i="7"/>
  <c r="BY137" i="7" s="1"/>
  <c r="CA137" i="7" s="1"/>
  <c r="CC137" i="7" s="1"/>
  <c r="CE137" i="7" s="1"/>
  <c r="AY141" i="7"/>
  <c r="BA141" i="7" s="1"/>
  <c r="BC141" i="7" s="1"/>
  <c r="BE141" i="7" s="1"/>
  <c r="BG141" i="7" s="1"/>
  <c r="AY140" i="7"/>
  <c r="BA140" i="7" s="1"/>
  <c r="BC140" i="7" s="1"/>
  <c r="BE140" i="7" s="1"/>
  <c r="BG140" i="7" s="1"/>
  <c r="AY139" i="7"/>
  <c r="BA139" i="7" s="1"/>
  <c r="BC139" i="7" s="1"/>
  <c r="BE139" i="7" s="1"/>
  <c r="BG139" i="7" s="1"/>
  <c r="AY138" i="7"/>
  <c r="BA138" i="7" s="1"/>
  <c r="BC138" i="7" s="1"/>
  <c r="BE138" i="7" s="1"/>
  <c r="BG138" i="7" s="1"/>
  <c r="BA137" i="7"/>
  <c r="BC137" i="7" s="1"/>
  <c r="BE137" i="7" s="1"/>
  <c r="BG137" i="7" s="1"/>
  <c r="AY137" i="7"/>
  <c r="AY136" i="7"/>
  <c r="BA136" i="7" s="1"/>
  <c r="BC136" i="7" s="1"/>
  <c r="BE136" i="7" s="1"/>
  <c r="BG136" i="7" s="1"/>
  <c r="AY135" i="7"/>
  <c r="BA135" i="7" s="1"/>
  <c r="BC135" i="7" s="1"/>
  <c r="BE135" i="7" s="1"/>
  <c r="BG135" i="7" s="1"/>
  <c r="BY141" i="7"/>
  <c r="CA141" i="7" s="1"/>
  <c r="CC141" i="7" s="1"/>
  <c r="CE141" i="7" s="1"/>
  <c r="BW141" i="7"/>
  <c r="BW140" i="7"/>
  <c r="BY140" i="7" s="1"/>
  <c r="CA140" i="7" s="1"/>
  <c r="CC140" i="7" s="1"/>
  <c r="CE140" i="7" s="1"/>
  <c r="BW139" i="7"/>
  <c r="BY139" i="7" s="1"/>
  <c r="CA139" i="7" s="1"/>
  <c r="CC139" i="7" s="1"/>
  <c r="CE139" i="7" s="1"/>
  <c r="BW138" i="7"/>
  <c r="BY138" i="7" s="1"/>
  <c r="CA138" i="7" s="1"/>
  <c r="CC138" i="7" s="1"/>
  <c r="CE138" i="7" s="1"/>
  <c r="BK141" i="7"/>
  <c r="BM141" i="7" s="1"/>
  <c r="BO141" i="7" s="1"/>
  <c r="BQ141" i="7" s="1"/>
  <c r="BS141" i="7" s="1"/>
  <c r="BK140" i="7"/>
  <c r="BM140" i="7" s="1"/>
  <c r="BO140" i="7" s="1"/>
  <c r="BQ140" i="7" s="1"/>
  <c r="BS140" i="7" s="1"/>
  <c r="BK139" i="7"/>
  <c r="BM139" i="7" s="1"/>
  <c r="BO139" i="7" s="1"/>
  <c r="BQ139" i="7" s="1"/>
  <c r="BS139" i="7" s="1"/>
  <c r="BK138" i="7"/>
  <c r="BM138" i="7" s="1"/>
  <c r="BO138" i="7" s="1"/>
  <c r="BQ138" i="7" s="1"/>
  <c r="BS138" i="7" s="1"/>
  <c r="BK137" i="7"/>
  <c r="BM137" i="7" s="1"/>
  <c r="BO137" i="7" s="1"/>
  <c r="BQ137" i="7" s="1"/>
  <c r="BS137" i="7" s="1"/>
  <c r="BK136" i="7"/>
  <c r="BM136" i="7" s="1"/>
  <c r="BO136" i="7" s="1"/>
  <c r="BQ136" i="7" s="1"/>
  <c r="BS136" i="7" s="1"/>
  <c r="BK135" i="7"/>
  <c r="BM135" i="7" s="1"/>
  <c r="BO135" i="7" s="1"/>
  <c r="BQ135" i="7" s="1"/>
  <c r="BS135" i="7" s="1"/>
  <c r="BE130" i="7"/>
  <c r="AM141" i="7"/>
  <c r="AO141" i="7" s="1"/>
  <c r="AQ141" i="7" s="1"/>
  <c r="AS141" i="7" s="1"/>
  <c r="AU141" i="7" s="1"/>
  <c r="AM140" i="7"/>
  <c r="AO140" i="7" s="1"/>
  <c r="AQ140" i="7" s="1"/>
  <c r="AS140" i="7" s="1"/>
  <c r="AU140" i="7" s="1"/>
  <c r="AM139" i="7"/>
  <c r="AO139" i="7" s="1"/>
  <c r="AQ139" i="7" s="1"/>
  <c r="AS139" i="7" s="1"/>
  <c r="AU139" i="7" s="1"/>
  <c r="AM138" i="7"/>
  <c r="AO138" i="7" s="1"/>
  <c r="AQ138" i="7" s="1"/>
  <c r="AS138" i="7" s="1"/>
  <c r="AU138" i="7" s="1"/>
  <c r="AM137" i="7"/>
  <c r="AO137" i="7" s="1"/>
  <c r="AQ137" i="7" s="1"/>
  <c r="AS137" i="7" s="1"/>
  <c r="AU137" i="7" s="1"/>
  <c r="AM136" i="7"/>
  <c r="AO136" i="7" s="1"/>
  <c r="AQ136" i="7" s="1"/>
  <c r="AS136" i="7" s="1"/>
  <c r="AU136" i="7" s="1"/>
  <c r="AM135" i="7"/>
  <c r="AO135" i="7" s="1"/>
  <c r="AQ135" i="7" s="1"/>
  <c r="AS135" i="7" s="1"/>
  <c r="AU135" i="7" s="1"/>
  <c r="AC141" i="7"/>
  <c r="AE141" i="7" s="1"/>
  <c r="AG141" i="7" s="1"/>
  <c r="AI141" i="7" s="1"/>
  <c r="AA141" i="7"/>
  <c r="AA140" i="7"/>
  <c r="AC140" i="7" s="1"/>
  <c r="AE140" i="7" s="1"/>
  <c r="AG140" i="7" s="1"/>
  <c r="AI140" i="7" s="1"/>
  <c r="AC139" i="7"/>
  <c r="AE139" i="7" s="1"/>
  <c r="AG139" i="7" s="1"/>
  <c r="AI139" i="7" s="1"/>
  <c r="AA139" i="7"/>
  <c r="AA138" i="7"/>
  <c r="AC138" i="7" s="1"/>
  <c r="AE138" i="7" s="1"/>
  <c r="AG138" i="7" s="1"/>
  <c r="AI138" i="7" s="1"/>
  <c r="AC137" i="7"/>
  <c r="AE137" i="7" s="1"/>
  <c r="AG137" i="7" s="1"/>
  <c r="AI137" i="7" s="1"/>
  <c r="AA137" i="7"/>
  <c r="AA136" i="7"/>
  <c r="AC136" i="7" s="1"/>
  <c r="AE136" i="7" s="1"/>
  <c r="AG136" i="7" s="1"/>
  <c r="AI136" i="7" s="1"/>
  <c r="AC135" i="7"/>
  <c r="AE135" i="7" s="1"/>
  <c r="AG135" i="7" s="1"/>
  <c r="AI135" i="7" s="1"/>
  <c r="AA135" i="7"/>
  <c r="O141" i="7"/>
  <c r="Q141" i="7" s="1"/>
  <c r="S141" i="7" s="1"/>
  <c r="U141" i="7" s="1"/>
  <c r="W141" i="7" s="1"/>
  <c r="O140" i="7"/>
  <c r="Q140" i="7" s="1"/>
  <c r="S140" i="7" s="1"/>
  <c r="U140" i="7" s="1"/>
  <c r="W140" i="7" s="1"/>
  <c r="Q139" i="7"/>
  <c r="S139" i="7" s="1"/>
  <c r="U139" i="7" s="1"/>
  <c r="W139" i="7" s="1"/>
  <c r="O139" i="7"/>
  <c r="O138" i="7"/>
  <c r="Q138" i="7" s="1"/>
  <c r="S138" i="7" s="1"/>
  <c r="U138" i="7" s="1"/>
  <c r="W138" i="7" s="1"/>
  <c r="O137" i="7"/>
  <c r="Q137" i="7" s="1"/>
  <c r="S137" i="7" s="1"/>
  <c r="U137" i="7" s="1"/>
  <c r="W137" i="7" s="1"/>
  <c r="O136" i="7"/>
  <c r="Q136" i="7" s="1"/>
  <c r="S136" i="7" s="1"/>
  <c r="U136" i="7" s="1"/>
  <c r="W136" i="7" s="1"/>
  <c r="Q135" i="7"/>
  <c r="S135" i="7" s="1"/>
  <c r="U135" i="7" s="1"/>
  <c r="W135" i="7" s="1"/>
  <c r="O135" i="7"/>
  <c r="E141" i="7"/>
  <c r="G141" i="7" s="1"/>
  <c r="I141" i="7" s="1"/>
  <c r="K141" i="7" s="1"/>
  <c r="C141" i="7"/>
  <c r="C140" i="7"/>
  <c r="E140" i="7" s="1"/>
  <c r="G140" i="7" s="1"/>
  <c r="I140" i="7" s="1"/>
  <c r="K140" i="7" s="1"/>
  <c r="C139" i="7"/>
  <c r="E139" i="7" s="1"/>
  <c r="G139" i="7" s="1"/>
  <c r="I139" i="7" s="1"/>
  <c r="K139" i="7" s="1"/>
  <c r="C138" i="7"/>
  <c r="E138" i="7" s="1"/>
  <c r="G138" i="7" s="1"/>
  <c r="I138" i="7" s="1"/>
  <c r="K138" i="7" s="1"/>
  <c r="E137" i="7"/>
  <c r="G137" i="7" s="1"/>
  <c r="I137" i="7" s="1"/>
  <c r="K137" i="7" s="1"/>
  <c r="C137" i="7"/>
  <c r="C136" i="7"/>
  <c r="E136" i="7" s="1"/>
  <c r="G136" i="7" s="1"/>
  <c r="I136" i="7" s="1"/>
  <c r="K136" i="7" s="1"/>
  <c r="C135" i="7"/>
  <c r="E135" i="7" s="1"/>
  <c r="G135" i="7" s="1"/>
  <c r="I135" i="7" s="1"/>
  <c r="K135" i="7" s="1"/>
  <c r="CG88" i="7"/>
  <c r="CG87" i="7"/>
  <c r="CG86" i="7"/>
  <c r="CG85" i="7"/>
  <c r="CG84" i="7"/>
  <c r="CG83" i="7"/>
  <c r="CG82" i="7"/>
  <c r="CG81" i="7"/>
  <c r="CG80" i="7"/>
  <c r="CG79" i="7"/>
  <c r="CG78" i="7"/>
  <c r="CG77" i="7"/>
  <c r="CG76" i="7"/>
  <c r="CA79" i="7"/>
  <c r="BY79" i="7"/>
  <c r="CG25" i="7"/>
  <c r="CE25" i="7"/>
  <c r="CE26" i="7"/>
  <c r="CE27" i="7"/>
  <c r="BW80" i="7"/>
  <c r="BY88" i="7"/>
  <c r="CA88" i="7" s="1"/>
  <c r="CC88" i="7" s="1"/>
  <c r="CE88" i="7" s="1"/>
  <c r="BW88" i="7"/>
  <c r="BW87" i="7"/>
  <c r="BY87" i="7" s="1"/>
  <c r="CA87" i="7" s="1"/>
  <c r="CC87" i="7" s="1"/>
  <c r="CE87" i="7" s="1"/>
  <c r="BW86" i="7"/>
  <c r="BY86" i="7" s="1"/>
  <c r="CA86" i="7" s="1"/>
  <c r="CC86" i="7" s="1"/>
  <c r="CE86" i="7" s="1"/>
  <c r="BW85" i="7"/>
  <c r="BY85" i="7" s="1"/>
  <c r="CA85" i="7" s="1"/>
  <c r="CC85" i="7" s="1"/>
  <c r="CE85" i="7" s="1"/>
  <c r="BW84" i="7"/>
  <c r="BY84" i="7" s="1"/>
  <c r="CA84" i="7" s="1"/>
  <c r="CC84" i="7" s="1"/>
  <c r="CE84" i="7" s="1"/>
  <c r="BW83" i="7"/>
  <c r="BY83" i="7" s="1"/>
  <c r="CA83" i="7" s="1"/>
  <c r="CC83" i="7" s="1"/>
  <c r="CE83" i="7" s="1"/>
  <c r="BW82" i="7"/>
  <c r="BY82" i="7" s="1"/>
  <c r="CA82" i="7" s="1"/>
  <c r="CC82" i="7" s="1"/>
  <c r="CE82" i="7" s="1"/>
  <c r="BK88" i="7"/>
  <c r="BM88" i="7" s="1"/>
  <c r="BO88" i="7" s="1"/>
  <c r="BQ88" i="7" s="1"/>
  <c r="BS88" i="7" s="1"/>
  <c r="BM87" i="7"/>
  <c r="BO87" i="7" s="1"/>
  <c r="BQ87" i="7" s="1"/>
  <c r="BS87" i="7" s="1"/>
  <c r="BK87" i="7"/>
  <c r="BK86" i="7"/>
  <c r="BM86" i="7" s="1"/>
  <c r="BO86" i="7" s="1"/>
  <c r="BQ86" i="7" s="1"/>
  <c r="BS86" i="7" s="1"/>
  <c r="BK85" i="7"/>
  <c r="BM85" i="7" s="1"/>
  <c r="BO85" i="7" s="1"/>
  <c r="BQ85" i="7" s="1"/>
  <c r="BS85" i="7" s="1"/>
  <c r="BK84" i="7"/>
  <c r="BM84" i="7" s="1"/>
  <c r="BO84" i="7" s="1"/>
  <c r="BQ84" i="7" s="1"/>
  <c r="BS84" i="7" s="1"/>
  <c r="BK83" i="7"/>
  <c r="BM83" i="7" s="1"/>
  <c r="BO83" i="7" s="1"/>
  <c r="BQ83" i="7" s="1"/>
  <c r="BS83" i="7" s="1"/>
  <c r="BK82" i="7"/>
  <c r="BM82" i="7" s="1"/>
  <c r="BO82" i="7" s="1"/>
  <c r="BQ82" i="7" s="1"/>
  <c r="BS82" i="7" s="1"/>
  <c r="AY88" i="7"/>
  <c r="BA88" i="7" s="1"/>
  <c r="BC88" i="7" s="1"/>
  <c r="BE88" i="7" s="1"/>
  <c r="BG88" i="7" s="1"/>
  <c r="AY87" i="7"/>
  <c r="BA87" i="7" s="1"/>
  <c r="BC87" i="7" s="1"/>
  <c r="BE87" i="7" s="1"/>
  <c r="BG87" i="7" s="1"/>
  <c r="BA86" i="7"/>
  <c r="BC86" i="7" s="1"/>
  <c r="BE86" i="7" s="1"/>
  <c r="BG86" i="7" s="1"/>
  <c r="AY86" i="7"/>
  <c r="AY85" i="7"/>
  <c r="BA85" i="7" s="1"/>
  <c r="BC85" i="7" s="1"/>
  <c r="BE85" i="7" s="1"/>
  <c r="BG85" i="7" s="1"/>
  <c r="AY84" i="7"/>
  <c r="BA84" i="7" s="1"/>
  <c r="BC84" i="7" s="1"/>
  <c r="BE84" i="7" s="1"/>
  <c r="BG84" i="7" s="1"/>
  <c r="AY83" i="7"/>
  <c r="BA83" i="7" s="1"/>
  <c r="BC83" i="7" s="1"/>
  <c r="BE83" i="7" s="1"/>
  <c r="BG83" i="7" s="1"/>
  <c r="AY82" i="7"/>
  <c r="BA82" i="7" s="1"/>
  <c r="BC82" i="7" s="1"/>
  <c r="BE82" i="7" s="1"/>
  <c r="BG82" i="7" s="1"/>
  <c r="AM88" i="7"/>
  <c r="AO88" i="7" s="1"/>
  <c r="AQ88" i="7" s="1"/>
  <c r="AS88" i="7" s="1"/>
  <c r="AU88" i="7" s="1"/>
  <c r="AM87" i="7"/>
  <c r="AO87" i="7" s="1"/>
  <c r="AQ87" i="7" s="1"/>
  <c r="AS87" i="7" s="1"/>
  <c r="AU87" i="7" s="1"/>
  <c r="AM86" i="7"/>
  <c r="AO86" i="7" s="1"/>
  <c r="AQ86" i="7" s="1"/>
  <c r="AS86" i="7" s="1"/>
  <c r="AU86" i="7" s="1"/>
  <c r="AM85" i="7"/>
  <c r="AO85" i="7" s="1"/>
  <c r="AQ85" i="7" s="1"/>
  <c r="AS85" i="7" s="1"/>
  <c r="AU85" i="7" s="1"/>
  <c r="AM84" i="7"/>
  <c r="AO84" i="7" s="1"/>
  <c r="AQ84" i="7" s="1"/>
  <c r="AS84" i="7" s="1"/>
  <c r="AU84" i="7" s="1"/>
  <c r="AM83" i="7"/>
  <c r="AO83" i="7" s="1"/>
  <c r="AQ83" i="7" s="1"/>
  <c r="AS83" i="7" s="1"/>
  <c r="AU83" i="7" s="1"/>
  <c r="AM82" i="7"/>
  <c r="AO82" i="7" s="1"/>
  <c r="AQ82" i="7" s="1"/>
  <c r="AS82" i="7" s="1"/>
  <c r="AU82" i="7" s="1"/>
  <c r="AA88" i="7"/>
  <c r="AC88" i="7" s="1"/>
  <c r="AE88" i="7" s="1"/>
  <c r="AG88" i="7" s="1"/>
  <c r="AI88" i="7" s="1"/>
  <c r="AA87" i="7"/>
  <c r="AC87" i="7" s="1"/>
  <c r="AE87" i="7" s="1"/>
  <c r="AG87" i="7" s="1"/>
  <c r="AI87" i="7" s="1"/>
  <c r="AA86" i="7"/>
  <c r="AC86" i="7" s="1"/>
  <c r="AE86" i="7" s="1"/>
  <c r="AG86" i="7" s="1"/>
  <c r="AI86" i="7" s="1"/>
  <c r="AA85" i="7"/>
  <c r="AC85" i="7" s="1"/>
  <c r="AE85" i="7" s="1"/>
  <c r="AG85" i="7" s="1"/>
  <c r="AI85" i="7" s="1"/>
  <c r="AA84" i="7"/>
  <c r="AC84" i="7" s="1"/>
  <c r="AE84" i="7" s="1"/>
  <c r="AG84" i="7" s="1"/>
  <c r="AI84" i="7" s="1"/>
  <c r="AA83" i="7"/>
  <c r="AC83" i="7" s="1"/>
  <c r="AE83" i="7" s="1"/>
  <c r="AG83" i="7" s="1"/>
  <c r="AI83" i="7" s="1"/>
  <c r="AA82" i="7"/>
  <c r="AC82" i="7" s="1"/>
  <c r="AE82" i="7" s="1"/>
  <c r="AG82" i="7" s="1"/>
  <c r="AI82" i="7" s="1"/>
  <c r="O88" i="7"/>
  <c r="Q88" i="7" s="1"/>
  <c r="S88" i="7" s="1"/>
  <c r="U88" i="7" s="1"/>
  <c r="W88" i="7" s="1"/>
  <c r="O87" i="7"/>
  <c r="Q87" i="7" s="1"/>
  <c r="S87" i="7" s="1"/>
  <c r="U87" i="7" s="1"/>
  <c r="W87" i="7" s="1"/>
  <c r="Q86" i="7"/>
  <c r="S86" i="7" s="1"/>
  <c r="U86" i="7" s="1"/>
  <c r="W86" i="7" s="1"/>
  <c r="O86" i="7"/>
  <c r="O85" i="7"/>
  <c r="Q85" i="7" s="1"/>
  <c r="S85" i="7" s="1"/>
  <c r="U85" i="7" s="1"/>
  <c r="W85" i="7" s="1"/>
  <c r="O84" i="7"/>
  <c r="Q84" i="7" s="1"/>
  <c r="S84" i="7" s="1"/>
  <c r="U84" i="7" s="1"/>
  <c r="W84" i="7" s="1"/>
  <c r="O83" i="7"/>
  <c r="Q83" i="7" s="1"/>
  <c r="S83" i="7" s="1"/>
  <c r="U83" i="7" s="1"/>
  <c r="W83" i="7" s="1"/>
  <c r="O82" i="7"/>
  <c r="Q82" i="7" s="1"/>
  <c r="S82" i="7" s="1"/>
  <c r="U82" i="7" s="1"/>
  <c r="W82" i="7" s="1"/>
  <c r="C88" i="7"/>
  <c r="E88" i="7" s="1"/>
  <c r="G88" i="7" s="1"/>
  <c r="I88" i="7" s="1"/>
  <c r="K88" i="7" s="1"/>
  <c r="C87" i="7"/>
  <c r="E87" i="7" s="1"/>
  <c r="G87" i="7" s="1"/>
  <c r="I87" i="7" s="1"/>
  <c r="K87" i="7" s="1"/>
  <c r="C86" i="7"/>
  <c r="E86" i="7" s="1"/>
  <c r="G86" i="7" s="1"/>
  <c r="I86" i="7" s="1"/>
  <c r="K86" i="7" s="1"/>
  <c r="E85" i="7"/>
  <c r="G85" i="7" s="1"/>
  <c r="I85" i="7" s="1"/>
  <c r="K85" i="7" s="1"/>
  <c r="C85" i="7"/>
  <c r="C84" i="7"/>
  <c r="E84" i="7" s="1"/>
  <c r="G84" i="7" s="1"/>
  <c r="I84" i="7" s="1"/>
  <c r="K84" i="7" s="1"/>
  <c r="C83" i="7"/>
  <c r="E83" i="7" s="1"/>
  <c r="G83" i="7" s="1"/>
  <c r="I83" i="7" s="1"/>
  <c r="K83" i="7" s="1"/>
  <c r="C82" i="7"/>
  <c r="E82" i="7" s="1"/>
  <c r="G82" i="7" s="1"/>
  <c r="I82" i="7" s="1"/>
  <c r="K82" i="7" s="1"/>
  <c r="CG61" i="7"/>
  <c r="CE76" i="7"/>
  <c r="CE61" i="7"/>
  <c r="CF62" i="7"/>
  <c r="CG62" i="7" s="1"/>
  <c r="CD62" i="7"/>
  <c r="CE62" i="7" s="1"/>
  <c r="BM34" i="7"/>
  <c r="BO34" i="7" s="1"/>
  <c r="BQ34" i="7" s="1"/>
  <c r="BS34" i="7" s="1"/>
  <c r="BK34" i="7"/>
  <c r="BK33" i="7"/>
  <c r="BM33" i="7" s="1"/>
  <c r="BO33" i="7" s="1"/>
  <c r="BQ33" i="7" s="1"/>
  <c r="BS33" i="7" s="1"/>
  <c r="BK32" i="7"/>
  <c r="BM32" i="7" s="1"/>
  <c r="BO32" i="7" s="1"/>
  <c r="BQ32" i="7" s="1"/>
  <c r="BS32" i="7" s="1"/>
  <c r="BK31" i="7"/>
  <c r="BM31" i="7" s="1"/>
  <c r="BO31" i="7" s="1"/>
  <c r="BQ31" i="7" s="1"/>
  <c r="BS31" i="7" s="1"/>
  <c r="BK30" i="7"/>
  <c r="BM30" i="7" s="1"/>
  <c r="BO30" i="7" s="1"/>
  <c r="BQ30" i="7" s="1"/>
  <c r="BS30" i="7" s="1"/>
  <c r="BK29" i="7"/>
  <c r="BM29" i="7" s="1"/>
  <c r="BO29" i="7" s="1"/>
  <c r="BQ29" i="7" s="1"/>
  <c r="BS29" i="7" s="1"/>
  <c r="BK28" i="7"/>
  <c r="BM28" i="7" s="1"/>
  <c r="BO28" i="7" s="1"/>
  <c r="BQ28" i="7" s="1"/>
  <c r="BS28" i="7" s="1"/>
  <c r="AY34" i="7"/>
  <c r="BA34" i="7" s="1"/>
  <c r="BC34" i="7" s="1"/>
  <c r="BE34" i="7" s="1"/>
  <c r="BG34" i="7" s="1"/>
  <c r="AY33" i="7"/>
  <c r="BA33" i="7" s="1"/>
  <c r="BC33" i="7" s="1"/>
  <c r="BE33" i="7" s="1"/>
  <c r="BG33" i="7" s="1"/>
  <c r="AY32" i="7"/>
  <c r="BA32" i="7" s="1"/>
  <c r="BC32" i="7" s="1"/>
  <c r="BE32" i="7" s="1"/>
  <c r="BG32" i="7" s="1"/>
  <c r="AY31" i="7"/>
  <c r="BA31" i="7" s="1"/>
  <c r="BC31" i="7" s="1"/>
  <c r="BE31" i="7" s="1"/>
  <c r="BG31" i="7" s="1"/>
  <c r="AY30" i="7"/>
  <c r="BA30" i="7" s="1"/>
  <c r="BC30" i="7" s="1"/>
  <c r="BE30" i="7" s="1"/>
  <c r="BG30" i="7" s="1"/>
  <c r="AY29" i="7"/>
  <c r="BA29" i="7" s="1"/>
  <c r="BC29" i="7" s="1"/>
  <c r="BE29" i="7" s="1"/>
  <c r="BG29" i="7" s="1"/>
  <c r="BA28" i="7"/>
  <c r="BC28" i="7" s="1"/>
  <c r="BE28" i="7" s="1"/>
  <c r="BG28" i="7" s="1"/>
  <c r="AY28" i="7"/>
  <c r="AO34" i="7"/>
  <c r="AQ34" i="7" s="1"/>
  <c r="AS34" i="7" s="1"/>
  <c r="AU34" i="7" s="1"/>
  <c r="AM34" i="7"/>
  <c r="AM33" i="7"/>
  <c r="AO33" i="7" s="1"/>
  <c r="AQ33" i="7" s="1"/>
  <c r="AS33" i="7" s="1"/>
  <c r="AU33" i="7" s="1"/>
  <c r="AM32" i="7"/>
  <c r="AO32" i="7" s="1"/>
  <c r="AQ32" i="7" s="1"/>
  <c r="AS32" i="7" s="1"/>
  <c r="AU32" i="7" s="1"/>
  <c r="AM31" i="7"/>
  <c r="AO31" i="7" s="1"/>
  <c r="AQ31" i="7" s="1"/>
  <c r="AS31" i="7" s="1"/>
  <c r="AU31" i="7" s="1"/>
  <c r="AM30" i="7"/>
  <c r="AO30" i="7" s="1"/>
  <c r="AQ30" i="7" s="1"/>
  <c r="AS30" i="7" s="1"/>
  <c r="AU30" i="7" s="1"/>
  <c r="AM29" i="7"/>
  <c r="AO29" i="7" s="1"/>
  <c r="AQ29" i="7" s="1"/>
  <c r="AS29" i="7" s="1"/>
  <c r="AU29" i="7" s="1"/>
  <c r="AM28" i="7"/>
  <c r="AO28" i="7" s="1"/>
  <c r="AQ28" i="7" s="1"/>
  <c r="AS28" i="7" s="1"/>
  <c r="AU28" i="7" s="1"/>
  <c r="AA34" i="7"/>
  <c r="AC34" i="7" s="1"/>
  <c r="AE34" i="7" s="1"/>
  <c r="AG34" i="7" s="1"/>
  <c r="AI34" i="7" s="1"/>
  <c r="AA33" i="7"/>
  <c r="AC33" i="7" s="1"/>
  <c r="AE33" i="7" s="1"/>
  <c r="AG33" i="7" s="1"/>
  <c r="AI33" i="7" s="1"/>
  <c r="AC32" i="7"/>
  <c r="AE32" i="7" s="1"/>
  <c r="AG32" i="7" s="1"/>
  <c r="AI32" i="7" s="1"/>
  <c r="AA32" i="7"/>
  <c r="AA31" i="7"/>
  <c r="AC31" i="7" s="1"/>
  <c r="AE31" i="7" s="1"/>
  <c r="AG31" i="7" s="1"/>
  <c r="AI31" i="7" s="1"/>
  <c r="AA30" i="7"/>
  <c r="AC30" i="7" s="1"/>
  <c r="AE30" i="7" s="1"/>
  <c r="AG30" i="7" s="1"/>
  <c r="AI30" i="7" s="1"/>
  <c r="AA29" i="7"/>
  <c r="AC29" i="7" s="1"/>
  <c r="AE29" i="7" s="1"/>
  <c r="AG29" i="7" s="1"/>
  <c r="AI29" i="7" s="1"/>
  <c r="AA28" i="7"/>
  <c r="AC28" i="7" s="1"/>
  <c r="AE28" i="7" s="1"/>
  <c r="AG28" i="7" s="1"/>
  <c r="AI28" i="7" s="1"/>
  <c r="O34" i="7"/>
  <c r="Q34" i="7" s="1"/>
  <c r="S34" i="7" s="1"/>
  <c r="U34" i="7" s="1"/>
  <c r="W34" i="7" s="1"/>
  <c r="O33" i="7"/>
  <c r="Q33" i="7" s="1"/>
  <c r="S33" i="7" s="1"/>
  <c r="U33" i="7" s="1"/>
  <c r="W33" i="7" s="1"/>
  <c r="Q32" i="7"/>
  <c r="S32" i="7" s="1"/>
  <c r="U32" i="7" s="1"/>
  <c r="W32" i="7" s="1"/>
  <c r="O32" i="7"/>
  <c r="O31" i="7"/>
  <c r="Q31" i="7" s="1"/>
  <c r="S31" i="7" s="1"/>
  <c r="U31" i="7" s="1"/>
  <c r="W31" i="7" s="1"/>
  <c r="O30" i="7"/>
  <c r="Q30" i="7" s="1"/>
  <c r="S30" i="7" s="1"/>
  <c r="U30" i="7" s="1"/>
  <c r="W30" i="7" s="1"/>
  <c r="O29" i="7"/>
  <c r="Q29" i="7" s="1"/>
  <c r="S29" i="7" s="1"/>
  <c r="U29" i="7" s="1"/>
  <c r="W29" i="7" s="1"/>
  <c r="O28" i="7"/>
  <c r="Q28" i="7" s="1"/>
  <c r="S28" i="7" s="1"/>
  <c r="U28" i="7" s="1"/>
  <c r="W28" i="7" s="1"/>
  <c r="C34" i="7"/>
  <c r="E34" i="7" s="1"/>
  <c r="G34" i="7" s="1"/>
  <c r="I34" i="7" s="1"/>
  <c r="K34" i="7" s="1"/>
  <c r="C33" i="7"/>
  <c r="E33" i="7" s="1"/>
  <c r="G33" i="7" s="1"/>
  <c r="I33" i="7" s="1"/>
  <c r="K33" i="7" s="1"/>
  <c r="C32" i="7"/>
  <c r="E32" i="7" s="1"/>
  <c r="G32" i="7" s="1"/>
  <c r="I32" i="7" s="1"/>
  <c r="K32" i="7" s="1"/>
  <c r="E31" i="7"/>
  <c r="G31" i="7" s="1"/>
  <c r="I31" i="7" s="1"/>
  <c r="K31" i="7" s="1"/>
  <c r="C31" i="7"/>
  <c r="C30" i="7"/>
  <c r="E30" i="7" s="1"/>
  <c r="G30" i="7" s="1"/>
  <c r="I30" i="7" s="1"/>
  <c r="K30" i="7" s="1"/>
  <c r="C29" i="7"/>
  <c r="E29" i="7" s="1"/>
  <c r="G29" i="7" s="1"/>
  <c r="I29" i="7" s="1"/>
  <c r="K29" i="7" s="1"/>
  <c r="C28" i="7"/>
  <c r="E28" i="7" s="1"/>
  <c r="G28" i="7" s="1"/>
  <c r="I28" i="7" s="1"/>
  <c r="K28" i="7" s="1"/>
  <c r="BY35" i="7"/>
  <c r="CA35" i="7" s="1"/>
  <c r="CC35" i="7" s="1"/>
  <c r="CE35" i="7" s="1"/>
  <c r="CG35" i="7" s="1"/>
  <c r="CG28" i="7"/>
  <c r="CG27" i="7"/>
  <c r="CG26" i="7"/>
  <c r="CG24" i="7"/>
  <c r="CG8" i="7"/>
  <c r="CC28" i="7"/>
  <c r="BW29" i="7"/>
  <c r="BY29" i="7" s="1"/>
  <c r="CA29" i="7" s="1"/>
  <c r="CC29" i="7" s="1"/>
  <c r="CE29" i="7" s="1"/>
  <c r="CG29" i="7" s="1"/>
  <c r="BW35" i="7"/>
  <c r="BW34" i="7"/>
  <c r="BY34" i="7" s="1"/>
  <c r="CA34" i="7" s="1"/>
  <c r="CC34" i="7" s="1"/>
  <c r="CE34" i="7" s="1"/>
  <c r="CG34" i="7" s="1"/>
  <c r="CF10" i="7"/>
  <c r="CG9" i="7"/>
  <c r="CD9" i="7"/>
  <c r="CE9" i="7" s="1"/>
  <c r="CE8" i="7"/>
  <c r="BU122" i="7"/>
  <c r="BU123" i="7" s="1"/>
  <c r="BU124" i="7" s="1"/>
  <c r="CC114" i="7"/>
  <c r="CB115" i="7"/>
  <c r="CC113" i="7"/>
  <c r="CA113" i="7"/>
  <c r="BZ113" i="7"/>
  <c r="BZ114" i="7" s="1"/>
  <c r="BX113" i="7"/>
  <c r="BY113" i="7" s="1"/>
  <c r="BV113" i="7"/>
  <c r="BV114" i="7" s="1"/>
  <c r="CA112" i="7"/>
  <c r="BY112" i="7"/>
  <c r="BX112" i="7"/>
  <c r="BW112" i="7"/>
  <c r="BV112" i="7"/>
  <c r="CA111" i="7"/>
  <c r="BY111" i="7"/>
  <c r="BW111" i="7"/>
  <c r="BY110" i="7"/>
  <c r="BW110" i="7"/>
  <c r="BU69" i="7"/>
  <c r="BU70" i="7" s="1"/>
  <c r="CB61" i="7"/>
  <c r="CC61" i="7" s="1"/>
  <c r="CC60" i="7"/>
  <c r="BZ60" i="7"/>
  <c r="BZ61" i="7" s="1"/>
  <c r="CA59" i="7"/>
  <c r="BX59" i="7"/>
  <c r="BV59" i="7"/>
  <c r="CA58" i="7"/>
  <c r="BY58" i="7"/>
  <c r="BW58" i="7"/>
  <c r="BY57" i="7"/>
  <c r="BW57" i="7"/>
  <c r="BU17" i="7"/>
  <c r="BU18" i="7" s="1"/>
  <c r="CG18" i="7" s="1"/>
  <c r="BU16" i="7"/>
  <c r="CB8" i="7"/>
  <c r="CB9" i="7" s="1"/>
  <c r="CC7" i="7"/>
  <c r="BZ7" i="7"/>
  <c r="CC6" i="7"/>
  <c r="CA6" i="7"/>
  <c r="BX6" i="7"/>
  <c r="BV6" i="7"/>
  <c r="BV7" i="7" s="1"/>
  <c r="CA5" i="7"/>
  <c r="BY5" i="7"/>
  <c r="BW5" i="7"/>
  <c r="BY4" i="7"/>
  <c r="BW4" i="7"/>
  <c r="BK127" i="7"/>
  <c r="BK126" i="7"/>
  <c r="BO125" i="7"/>
  <c r="BI122" i="7"/>
  <c r="BI123" i="7" s="1"/>
  <c r="BI124" i="7" s="1"/>
  <c r="BQ114" i="7"/>
  <c r="BP114" i="7"/>
  <c r="BP115" i="7" s="1"/>
  <c r="BN114" i="7"/>
  <c r="BO114" i="7" s="1"/>
  <c r="BQ113" i="7"/>
  <c r="BO113" i="7"/>
  <c r="BN113" i="7"/>
  <c r="BO112" i="7"/>
  <c r="BL112" i="7"/>
  <c r="BJ112" i="7"/>
  <c r="BJ113" i="7" s="1"/>
  <c r="BO111" i="7"/>
  <c r="BM111" i="7"/>
  <c r="BK111" i="7"/>
  <c r="BM110" i="7"/>
  <c r="BK110" i="7"/>
  <c r="BK74" i="7"/>
  <c r="BK73" i="7"/>
  <c r="BK72" i="7"/>
  <c r="BI69" i="7"/>
  <c r="BQ69" i="7" s="1"/>
  <c r="BQ68" i="7"/>
  <c r="BQ67" i="7"/>
  <c r="BP61" i="7"/>
  <c r="BP62" i="7" s="1"/>
  <c r="BQ60" i="7"/>
  <c r="BN60" i="7"/>
  <c r="BL60" i="7"/>
  <c r="BL61" i="7" s="1"/>
  <c r="BO59" i="7"/>
  <c r="BM59" i="7"/>
  <c r="BL59" i="7"/>
  <c r="BJ59" i="7"/>
  <c r="BJ60" i="7" s="1"/>
  <c r="BO58" i="7"/>
  <c r="BM58" i="7"/>
  <c r="BK58" i="7"/>
  <c r="BM57" i="7"/>
  <c r="BK57" i="7"/>
  <c r="BK21" i="7"/>
  <c r="BK20" i="7"/>
  <c r="BK19" i="7"/>
  <c r="BI16" i="7"/>
  <c r="BQ16" i="7" s="1"/>
  <c r="BP8" i="7"/>
  <c r="BQ8" i="7" s="1"/>
  <c r="BQ7" i="7"/>
  <c r="BO7" i="7"/>
  <c r="BN7" i="7"/>
  <c r="BN8" i="7" s="1"/>
  <c r="BQ6" i="7"/>
  <c r="BO6" i="7"/>
  <c r="BM6" i="7"/>
  <c r="BL6" i="7"/>
  <c r="BL7" i="7" s="1"/>
  <c r="BK6" i="7"/>
  <c r="BJ6" i="7"/>
  <c r="BJ7" i="7" s="1"/>
  <c r="BJ8" i="7" s="1"/>
  <c r="BO5" i="7"/>
  <c r="BM5" i="7"/>
  <c r="BK5" i="7"/>
  <c r="BM4" i="7"/>
  <c r="BK4" i="7"/>
  <c r="BE129" i="7"/>
  <c r="BG115" i="7"/>
  <c r="BG114" i="7"/>
  <c r="BF115" i="7"/>
  <c r="BF116" i="7" s="1"/>
  <c r="BG116" i="7" s="1"/>
  <c r="BG62" i="7"/>
  <c r="BG67" i="7"/>
  <c r="BG61" i="7"/>
  <c r="BF63" i="7"/>
  <c r="BG63" i="7" s="1"/>
  <c r="BF62" i="7"/>
  <c r="BE73" i="7"/>
  <c r="BA74" i="7"/>
  <c r="BG9" i="7"/>
  <c r="BG15" i="7"/>
  <c r="BF10" i="7"/>
  <c r="BF11" i="7" s="1"/>
  <c r="BF12" i="7" s="1"/>
  <c r="BF13" i="7" s="1"/>
  <c r="BF14" i="7" s="1"/>
  <c r="BG14" i="7" s="1"/>
  <c r="BF9" i="7"/>
  <c r="BG8" i="7"/>
  <c r="BG7" i="7"/>
  <c r="BE22" i="7"/>
  <c r="AW122" i="7"/>
  <c r="BD114" i="7"/>
  <c r="BD115" i="7" s="1"/>
  <c r="BE113" i="7"/>
  <c r="BB113" i="7"/>
  <c r="BB114" i="7" s="1"/>
  <c r="BC114" i="7" s="1"/>
  <c r="BC112" i="7"/>
  <c r="AZ112" i="7"/>
  <c r="AZ113" i="7" s="1"/>
  <c r="AX112" i="7"/>
  <c r="AX113" i="7" s="1"/>
  <c r="BC111" i="7"/>
  <c r="BA111" i="7"/>
  <c r="AY111" i="7"/>
  <c r="BA110" i="7"/>
  <c r="AY110" i="7"/>
  <c r="AW70" i="7"/>
  <c r="AW69" i="7"/>
  <c r="BD61" i="7"/>
  <c r="BD62" i="7" s="1"/>
  <c r="BE60" i="7"/>
  <c r="BB60" i="7"/>
  <c r="BB61" i="7" s="1"/>
  <c r="BC59" i="7"/>
  <c r="AZ59" i="7"/>
  <c r="BA59" i="7" s="1"/>
  <c r="AX59" i="7"/>
  <c r="AX60" i="7" s="1"/>
  <c r="AX61" i="7" s="1"/>
  <c r="BC58" i="7"/>
  <c r="BA58" i="7"/>
  <c r="AY58" i="7"/>
  <c r="BA57" i="7"/>
  <c r="AY57" i="7"/>
  <c r="AW16" i="7"/>
  <c r="AW17" i="7" s="1"/>
  <c r="AW18" i="7" s="1"/>
  <c r="BD8" i="7"/>
  <c r="BE8" i="7" s="1"/>
  <c r="BB8" i="7"/>
  <c r="BB9" i="7" s="1"/>
  <c r="BE7" i="7"/>
  <c r="BC7" i="7"/>
  <c r="BB7" i="7"/>
  <c r="BE6" i="7"/>
  <c r="BC6" i="7"/>
  <c r="AZ6" i="7"/>
  <c r="AZ7" i="7" s="1"/>
  <c r="AY6" i="7"/>
  <c r="AX6" i="7"/>
  <c r="AX7" i="7" s="1"/>
  <c r="BC5" i="7"/>
  <c r="BA5" i="7"/>
  <c r="AY5" i="7"/>
  <c r="BA4" i="7"/>
  <c r="AY4" i="7"/>
  <c r="AS125" i="7"/>
  <c r="AQ20" i="7"/>
  <c r="AM127" i="7"/>
  <c r="AK123" i="7"/>
  <c r="AK124" i="7" s="1"/>
  <c r="AK122" i="7"/>
  <c r="AR114" i="7"/>
  <c r="AR115" i="7" s="1"/>
  <c r="AS113" i="7"/>
  <c r="AP113" i="7"/>
  <c r="AQ113" i="7" s="1"/>
  <c r="AQ112" i="7"/>
  <c r="AN112" i="7"/>
  <c r="AN113" i="7" s="1"/>
  <c r="AN114" i="7" s="1"/>
  <c r="AL112" i="7"/>
  <c r="AL113" i="7" s="1"/>
  <c r="AM113" i="7" s="1"/>
  <c r="AQ111" i="7"/>
  <c r="AO111" i="7"/>
  <c r="AM111" i="7"/>
  <c r="AO110" i="7"/>
  <c r="AM110" i="7"/>
  <c r="AM74" i="7"/>
  <c r="AM73" i="7"/>
  <c r="AM72" i="7"/>
  <c r="AK69" i="7"/>
  <c r="AK70" i="7" s="1"/>
  <c r="AS70" i="7" s="1"/>
  <c r="AR61" i="7"/>
  <c r="AR62" i="7" s="1"/>
  <c r="AS60" i="7"/>
  <c r="AP60" i="7"/>
  <c r="AQ60" i="7" s="1"/>
  <c r="AQ59" i="7"/>
  <c r="AN59" i="7"/>
  <c r="AN60" i="7" s="1"/>
  <c r="AN61" i="7" s="1"/>
  <c r="AL59" i="7"/>
  <c r="AL60" i="7" s="1"/>
  <c r="AM60" i="7" s="1"/>
  <c r="AQ58" i="7"/>
  <c r="AO58" i="7"/>
  <c r="AM58" i="7"/>
  <c r="AO57" i="7"/>
  <c r="AM57" i="7"/>
  <c r="AM21" i="7"/>
  <c r="AK16" i="7"/>
  <c r="AK17" i="7" s="1"/>
  <c r="AR8" i="7"/>
  <c r="AR9" i="7" s="1"/>
  <c r="AS7" i="7"/>
  <c r="AP7" i="7"/>
  <c r="AP8" i="7" s="1"/>
  <c r="AS6" i="7"/>
  <c r="AQ6" i="7"/>
  <c r="AN6" i="7"/>
  <c r="AO6" i="7" s="1"/>
  <c r="AL6" i="7"/>
  <c r="AM6" i="7" s="1"/>
  <c r="AQ5" i="7"/>
  <c r="AO5" i="7"/>
  <c r="AM5" i="7"/>
  <c r="AO4" i="7"/>
  <c r="AM4" i="7"/>
  <c r="AE125" i="7"/>
  <c r="AA127" i="7"/>
  <c r="AA126" i="7"/>
  <c r="Y122" i="7"/>
  <c r="Y123" i="7" s="1"/>
  <c r="Y124" i="7" s="1"/>
  <c r="AF114" i="7"/>
  <c r="AF115" i="7" s="1"/>
  <c r="AG113" i="7"/>
  <c r="AD113" i="7"/>
  <c r="AD114" i="7" s="1"/>
  <c r="AD115" i="7" s="1"/>
  <c r="AE112" i="7"/>
  <c r="AB112" i="7"/>
  <c r="AB113" i="7" s="1"/>
  <c r="Z112" i="7"/>
  <c r="Z113" i="7" s="1"/>
  <c r="AE111" i="7"/>
  <c r="AC111" i="7"/>
  <c r="AA111" i="7"/>
  <c r="AC110" i="7"/>
  <c r="AA110" i="7"/>
  <c r="AA74" i="7"/>
  <c r="AA73" i="7"/>
  <c r="AA72" i="7"/>
  <c r="Y69" i="7"/>
  <c r="Y70" i="7" s="1"/>
  <c r="AG68" i="7"/>
  <c r="AG67" i="7"/>
  <c r="AF61" i="7"/>
  <c r="AF62" i="7" s="1"/>
  <c r="AG60" i="7"/>
  <c r="AD60" i="7"/>
  <c r="AE60" i="7" s="1"/>
  <c r="AE59" i="7"/>
  <c r="AB59" i="7"/>
  <c r="AB60" i="7" s="1"/>
  <c r="Z59" i="7"/>
  <c r="Z60" i="7" s="1"/>
  <c r="AE58" i="7"/>
  <c r="AC58" i="7"/>
  <c r="AA58" i="7"/>
  <c r="AC57" i="7"/>
  <c r="AA57" i="7"/>
  <c r="AA21" i="7"/>
  <c r="AA20" i="7"/>
  <c r="AA19" i="7"/>
  <c r="Y16" i="7"/>
  <c r="Y17" i="7" s="1"/>
  <c r="AF8" i="7"/>
  <c r="AF9" i="7" s="1"/>
  <c r="AD8" i="7"/>
  <c r="AD9" i="7" s="1"/>
  <c r="AG7" i="7"/>
  <c r="AD7" i="7"/>
  <c r="AE7" i="7" s="1"/>
  <c r="AG6" i="7"/>
  <c r="AE6" i="7"/>
  <c r="AB6" i="7"/>
  <c r="AB7" i="7" s="1"/>
  <c r="AA6" i="7"/>
  <c r="Z6" i="7"/>
  <c r="Z7" i="7" s="1"/>
  <c r="AE5" i="7"/>
  <c r="AC5" i="7"/>
  <c r="AA5" i="7"/>
  <c r="AC4" i="7"/>
  <c r="AA4" i="7"/>
  <c r="U113" i="7"/>
  <c r="T114" i="7"/>
  <c r="U114" i="7" s="1"/>
  <c r="S125" i="7"/>
  <c r="U61" i="7"/>
  <c r="U67" i="7"/>
  <c r="U68" i="7"/>
  <c r="U69" i="7"/>
  <c r="U60" i="7"/>
  <c r="T61" i="7"/>
  <c r="T62" i="7" s="1"/>
  <c r="N59" i="7"/>
  <c r="N60" i="7" s="1"/>
  <c r="N61" i="7" s="1"/>
  <c r="N62" i="7" s="1"/>
  <c r="N63" i="7" s="1"/>
  <c r="N64" i="7" s="1"/>
  <c r="N65" i="7" s="1"/>
  <c r="N66" i="7" s="1"/>
  <c r="N67" i="7" s="1"/>
  <c r="U7" i="7"/>
  <c r="T8" i="7"/>
  <c r="T9" i="7" s="1"/>
  <c r="U6" i="7"/>
  <c r="O127" i="7"/>
  <c r="O126" i="7"/>
  <c r="M122" i="7"/>
  <c r="M123" i="7" s="1"/>
  <c r="R113" i="7"/>
  <c r="R114" i="7" s="1"/>
  <c r="S112" i="7"/>
  <c r="P112" i="7"/>
  <c r="P113" i="7" s="1"/>
  <c r="N112" i="7"/>
  <c r="N113" i="7" s="1"/>
  <c r="S111" i="7"/>
  <c r="Q111" i="7"/>
  <c r="O111" i="7"/>
  <c r="Q110" i="7"/>
  <c r="O110" i="7"/>
  <c r="O74" i="7"/>
  <c r="O73" i="7"/>
  <c r="O72" i="7"/>
  <c r="M69" i="7"/>
  <c r="S60" i="7"/>
  <c r="R60" i="7"/>
  <c r="R61" i="7" s="1"/>
  <c r="S59" i="7"/>
  <c r="P59" i="7"/>
  <c r="P60" i="7" s="1"/>
  <c r="S58" i="7"/>
  <c r="Q58" i="7"/>
  <c r="O58" i="7"/>
  <c r="Q57" i="7"/>
  <c r="O57" i="7"/>
  <c r="M16" i="7"/>
  <c r="U16" i="7" s="1"/>
  <c r="R7" i="7"/>
  <c r="S7" i="7" s="1"/>
  <c r="S6" i="7"/>
  <c r="P6" i="7"/>
  <c r="P7" i="7" s="1"/>
  <c r="Q7" i="7" s="1"/>
  <c r="N6" i="7"/>
  <c r="N7" i="7" s="1"/>
  <c r="O7" i="7" s="1"/>
  <c r="S5" i="7"/>
  <c r="Q5" i="7"/>
  <c r="O5" i="7"/>
  <c r="Q4" i="7"/>
  <c r="O4" i="7"/>
  <c r="G112" i="7"/>
  <c r="G113" i="7"/>
  <c r="G114" i="7"/>
  <c r="G111" i="7"/>
  <c r="E111" i="7"/>
  <c r="C111" i="7"/>
  <c r="C110" i="7"/>
  <c r="C127" i="7"/>
  <c r="C126" i="7"/>
  <c r="C125" i="7"/>
  <c r="A122" i="7"/>
  <c r="G122" i="7" s="1"/>
  <c r="G121" i="7"/>
  <c r="G120" i="7"/>
  <c r="F113" i="7"/>
  <c r="F114" i="7" s="1"/>
  <c r="D112" i="7"/>
  <c r="D113" i="7" s="1"/>
  <c r="E113" i="7" s="1"/>
  <c r="B112" i="7"/>
  <c r="B113" i="7" s="1"/>
  <c r="C113" i="7" s="1"/>
  <c r="E110" i="7"/>
  <c r="C67" i="7"/>
  <c r="G59" i="7"/>
  <c r="G65" i="7"/>
  <c r="G66" i="7"/>
  <c r="G58" i="7"/>
  <c r="E58" i="7"/>
  <c r="E66" i="7"/>
  <c r="E67" i="7"/>
  <c r="E57" i="7"/>
  <c r="C58" i="7"/>
  <c r="C59" i="7"/>
  <c r="C57" i="7"/>
  <c r="E4" i="7"/>
  <c r="C4" i="7"/>
  <c r="C74" i="7"/>
  <c r="C73" i="7"/>
  <c r="C72" i="7"/>
  <c r="A69" i="7"/>
  <c r="G69" i="7" s="1"/>
  <c r="G68" i="7"/>
  <c r="E68" i="7"/>
  <c r="G67" i="7"/>
  <c r="F60" i="7"/>
  <c r="G60" i="7" s="1"/>
  <c r="D59" i="7"/>
  <c r="E59" i="7" s="1"/>
  <c r="B59" i="7"/>
  <c r="B60" i="7" s="1"/>
  <c r="C60" i="7" s="1"/>
  <c r="C20" i="7"/>
  <c r="C21" i="7"/>
  <c r="G13" i="7"/>
  <c r="F7" i="7"/>
  <c r="E15" i="7"/>
  <c r="E16" i="7"/>
  <c r="E18" i="7"/>
  <c r="D6" i="7"/>
  <c r="E6" i="7" s="1"/>
  <c r="C6" i="7"/>
  <c r="B7" i="7"/>
  <c r="C7" i="7" s="1"/>
  <c r="B6" i="7"/>
  <c r="A16" i="7"/>
  <c r="A17" i="7" s="1"/>
  <c r="A18" i="7" s="1"/>
  <c r="C18" i="7" s="1"/>
  <c r="G5" i="7"/>
  <c r="E5" i="7"/>
  <c r="C5" i="7"/>
  <c r="T63" i="7" l="1"/>
  <c r="U62" i="7"/>
  <c r="C16" i="7"/>
  <c r="E112" i="7"/>
  <c r="Q6" i="7"/>
  <c r="AO59" i="7"/>
  <c r="AW123" i="7"/>
  <c r="AW124" i="7" s="1"/>
  <c r="BG122" i="7"/>
  <c r="BM112" i="7"/>
  <c r="BL113" i="7"/>
  <c r="CF11" i="7"/>
  <c r="CF12" i="7" s="1"/>
  <c r="CF13" i="7" s="1"/>
  <c r="CG10" i="7"/>
  <c r="G18" i="7"/>
  <c r="BC113" i="7"/>
  <c r="BK7" i="7"/>
  <c r="BW59" i="7"/>
  <c r="BV60" i="7"/>
  <c r="BV61" i="7" s="1"/>
  <c r="CG70" i="7"/>
  <c r="D7" i="7"/>
  <c r="D60" i="7"/>
  <c r="E60" i="7" s="1"/>
  <c r="C112" i="7"/>
  <c r="T115" i="7"/>
  <c r="AM112" i="7"/>
  <c r="AS114" i="7"/>
  <c r="AY59" i="7"/>
  <c r="BO60" i="7"/>
  <c r="BN61" i="7"/>
  <c r="BO61" i="7" s="1"/>
  <c r="CD118" i="7"/>
  <c r="CE117" i="7"/>
  <c r="BW6" i="7"/>
  <c r="BW113" i="7"/>
  <c r="CD10" i="7"/>
  <c r="CD11" i="7" s="1"/>
  <c r="CE11" i="7" s="1"/>
  <c r="CD63" i="7"/>
  <c r="CE63" i="7" s="1"/>
  <c r="CW24" i="7"/>
  <c r="BM60" i="7"/>
  <c r="BQ61" i="7"/>
  <c r="CF63" i="7"/>
  <c r="CG63" i="7" s="1"/>
  <c r="CW16" i="7"/>
  <c r="CW69" i="7"/>
  <c r="CV122" i="7"/>
  <c r="CS115" i="7"/>
  <c r="CQ114" i="7"/>
  <c r="CK112" i="7"/>
  <c r="CV70" i="7"/>
  <c r="CV71" i="7" s="1"/>
  <c r="CV72" i="7" s="1"/>
  <c r="CV73" i="7" s="1"/>
  <c r="CV74" i="7" s="1"/>
  <c r="CV75" i="7" s="1"/>
  <c r="CV76" i="7" s="1"/>
  <c r="CV77" i="7" s="1"/>
  <c r="CV78" i="7" s="1"/>
  <c r="CV79" i="7" s="1"/>
  <c r="CV80" i="7" s="1"/>
  <c r="CW84" i="7" s="1"/>
  <c r="CW28" i="7"/>
  <c r="CW20" i="7"/>
  <c r="CW83" i="7"/>
  <c r="CM59" i="7"/>
  <c r="CW22" i="7"/>
  <c r="CW26" i="7"/>
  <c r="CW18" i="7"/>
  <c r="CW27" i="7"/>
  <c r="CW23" i="7"/>
  <c r="CW19" i="7"/>
  <c r="CW15" i="7"/>
  <c r="CW29" i="7"/>
  <c r="CW25" i="7"/>
  <c r="CW21" i="7"/>
  <c r="CW17" i="7"/>
  <c r="CF117" i="7"/>
  <c r="CF118" i="7" s="1"/>
  <c r="CF119" i="7" s="1"/>
  <c r="CF120" i="7" s="1"/>
  <c r="CF121" i="7" s="1"/>
  <c r="CF122" i="7" s="1"/>
  <c r="CF123" i="7" s="1"/>
  <c r="CF124" i="7" s="1"/>
  <c r="CG126" i="7" s="1"/>
  <c r="CS9" i="7"/>
  <c r="CQ8" i="7"/>
  <c r="CO8" i="7"/>
  <c r="CN9" i="7"/>
  <c r="CP63" i="7"/>
  <c r="CQ62" i="7"/>
  <c r="CR64" i="7"/>
  <c r="CS63" i="7"/>
  <c r="CU116" i="7"/>
  <c r="CM114" i="7"/>
  <c r="CL115" i="7"/>
  <c r="CQ9" i="7"/>
  <c r="CP10" i="7"/>
  <c r="CR12" i="7"/>
  <c r="CS11" i="7"/>
  <c r="CT64" i="7"/>
  <c r="CU63" i="7"/>
  <c r="CP116" i="7"/>
  <c r="CQ115" i="7"/>
  <c r="CR117" i="7"/>
  <c r="CS116" i="7"/>
  <c r="CM61" i="7"/>
  <c r="CL62" i="7"/>
  <c r="CL7" i="7"/>
  <c r="CT11" i="7"/>
  <c r="CO7" i="7"/>
  <c r="CS10" i="7"/>
  <c r="CM60" i="7"/>
  <c r="CJ61" i="7"/>
  <c r="CN61" i="7"/>
  <c r="CM113" i="7"/>
  <c r="CJ114" i="7"/>
  <c r="CN114" i="7"/>
  <c r="CJ7" i="7"/>
  <c r="CI71" i="7"/>
  <c r="CA60" i="7"/>
  <c r="CD64" i="7"/>
  <c r="CD65" i="7" s="1"/>
  <c r="CD66" i="7" s="1"/>
  <c r="CD67" i="7" s="1"/>
  <c r="CD68" i="7" s="1"/>
  <c r="CD69" i="7" s="1"/>
  <c r="CD70" i="7" s="1"/>
  <c r="CD71" i="7" s="1"/>
  <c r="CD72" i="7" s="1"/>
  <c r="CD73" i="7" s="1"/>
  <c r="CD74" i="7" s="1"/>
  <c r="CD75" i="7" s="1"/>
  <c r="CE78" i="7" s="1"/>
  <c r="CF64" i="7"/>
  <c r="CG73" i="7"/>
  <c r="CG74" i="7"/>
  <c r="CG72" i="7"/>
  <c r="CE77" i="7"/>
  <c r="CD12" i="7"/>
  <c r="BW60" i="7"/>
  <c r="CC8" i="7"/>
  <c r="CG12" i="7"/>
  <c r="CG20" i="7"/>
  <c r="CG22" i="7"/>
  <c r="CG19" i="7"/>
  <c r="CG21" i="7"/>
  <c r="BW31" i="7"/>
  <c r="BY31" i="7" s="1"/>
  <c r="CA31" i="7" s="1"/>
  <c r="CC31" i="7" s="1"/>
  <c r="CE31" i="7" s="1"/>
  <c r="CG31" i="7" s="1"/>
  <c r="BW30" i="7"/>
  <c r="BY30" i="7" s="1"/>
  <c r="CA30" i="7" s="1"/>
  <c r="CC30" i="7" s="1"/>
  <c r="CE30" i="7" s="1"/>
  <c r="CG30" i="7" s="1"/>
  <c r="BW32" i="7"/>
  <c r="BY32" i="7" s="1"/>
  <c r="CA32" i="7" s="1"/>
  <c r="CC32" i="7" s="1"/>
  <c r="CE32" i="7" s="1"/>
  <c r="CG32" i="7" s="1"/>
  <c r="BV62" i="7"/>
  <c r="BW61" i="7"/>
  <c r="BV115" i="7"/>
  <c r="BW114" i="7"/>
  <c r="CB62" i="7"/>
  <c r="BY6" i="7"/>
  <c r="BX7" i="7"/>
  <c r="CA7" i="7"/>
  <c r="BZ8" i="7"/>
  <c r="CB10" i="7"/>
  <c r="CC9" i="7"/>
  <c r="BZ115" i="7"/>
  <c r="CA114" i="7"/>
  <c r="BW7" i="7"/>
  <c r="BV8" i="7"/>
  <c r="BX60" i="7"/>
  <c r="BY59" i="7"/>
  <c r="BZ62" i="7"/>
  <c r="CA61" i="7"/>
  <c r="CB116" i="7"/>
  <c r="CC115" i="7"/>
  <c r="BU71" i="7"/>
  <c r="CG71" i="7" s="1"/>
  <c r="BX114" i="7"/>
  <c r="BK60" i="7"/>
  <c r="BJ61" i="7"/>
  <c r="BP63" i="7"/>
  <c r="BQ62" i="7"/>
  <c r="BL62" i="7"/>
  <c r="BM61" i="7"/>
  <c r="BN9" i="7"/>
  <c r="BO8" i="7"/>
  <c r="BK113" i="7"/>
  <c r="BJ114" i="7"/>
  <c r="BM7" i="7"/>
  <c r="BL8" i="7"/>
  <c r="BJ9" i="7"/>
  <c r="BK8" i="7"/>
  <c r="BP116" i="7"/>
  <c r="BQ115" i="7"/>
  <c r="BP9" i="7"/>
  <c r="BN62" i="7"/>
  <c r="BN115" i="7"/>
  <c r="BI17" i="7"/>
  <c r="BI70" i="7"/>
  <c r="BK59" i="7"/>
  <c r="BK112" i="7"/>
  <c r="BF117" i="7"/>
  <c r="BF118" i="7" s="1"/>
  <c r="BG124" i="7"/>
  <c r="BG11" i="7"/>
  <c r="BF64" i="7"/>
  <c r="BG12" i="7"/>
  <c r="BG13" i="7"/>
  <c r="BG10" i="7"/>
  <c r="BG68" i="7"/>
  <c r="BG69" i="7"/>
  <c r="BE61" i="7"/>
  <c r="AZ60" i="7"/>
  <c r="BA60" i="7" s="1"/>
  <c r="BG18" i="7"/>
  <c r="BG16" i="7"/>
  <c r="BG17" i="7"/>
  <c r="BA6" i="7"/>
  <c r="BD116" i="7"/>
  <c r="BE115" i="7"/>
  <c r="BA7" i="7"/>
  <c r="AZ8" i="7"/>
  <c r="BB62" i="7"/>
  <c r="BC61" i="7"/>
  <c r="BB10" i="7"/>
  <c r="BC9" i="7"/>
  <c r="AZ114" i="7"/>
  <c r="BA113" i="7"/>
  <c r="AX8" i="7"/>
  <c r="AY7" i="7"/>
  <c r="AX62" i="7"/>
  <c r="AY61" i="7"/>
  <c r="BD63" i="7"/>
  <c r="BE62" i="7"/>
  <c r="AY113" i="7"/>
  <c r="AX114" i="7"/>
  <c r="BD9" i="7"/>
  <c r="BB115" i="7"/>
  <c r="BC8" i="7"/>
  <c r="AY60" i="7"/>
  <c r="BC60" i="7"/>
  <c r="BA112" i="7"/>
  <c r="BE114" i="7"/>
  <c r="AW71" i="7"/>
  <c r="AY112" i="7"/>
  <c r="AO112" i="7"/>
  <c r="AS61" i="7"/>
  <c r="AM59" i="7"/>
  <c r="AS8" i="7"/>
  <c r="AR116" i="7"/>
  <c r="AS115" i="7"/>
  <c r="AP9" i="7"/>
  <c r="AQ8" i="7"/>
  <c r="AK18" i="7"/>
  <c r="AS18" i="7" s="1"/>
  <c r="AN62" i="7"/>
  <c r="AO61" i="7"/>
  <c r="AR10" i="7"/>
  <c r="AS9" i="7"/>
  <c r="AR63" i="7"/>
  <c r="AS62" i="7"/>
  <c r="AK71" i="7"/>
  <c r="AQ71" i="7" s="1"/>
  <c r="AN115" i="7"/>
  <c r="AO114" i="7"/>
  <c r="AN7" i="7"/>
  <c r="AQ7" i="7"/>
  <c r="AO60" i="7"/>
  <c r="AL61" i="7"/>
  <c r="AP61" i="7"/>
  <c r="AO113" i="7"/>
  <c r="AL114" i="7"/>
  <c r="AP114" i="7"/>
  <c r="AL7" i="7"/>
  <c r="AE113" i="7"/>
  <c r="AD61" i="7"/>
  <c r="AD62" i="7" s="1"/>
  <c r="AE62" i="7" s="1"/>
  <c r="AC6" i="7"/>
  <c r="Y18" i="7"/>
  <c r="AE18" i="7" s="1"/>
  <c r="AG17" i="7"/>
  <c r="AF63" i="7"/>
  <c r="AG62" i="7"/>
  <c r="AA113" i="7"/>
  <c r="Z114" i="7"/>
  <c r="AC7" i="7"/>
  <c r="AB8" i="7"/>
  <c r="AF10" i="7"/>
  <c r="AG9" i="7"/>
  <c r="AD63" i="7"/>
  <c r="AE70" i="7"/>
  <c r="Y71" i="7"/>
  <c r="AF116" i="7"/>
  <c r="AG115" i="7"/>
  <c r="AD10" i="7"/>
  <c r="AE9" i="7"/>
  <c r="AB61" i="7"/>
  <c r="AC60" i="7"/>
  <c r="AD116" i="7"/>
  <c r="AE115" i="7"/>
  <c r="Z8" i="7"/>
  <c r="AA7" i="7"/>
  <c r="AA60" i="7"/>
  <c r="Z61" i="7"/>
  <c r="AB114" i="7"/>
  <c r="AC113" i="7"/>
  <c r="AG8" i="7"/>
  <c r="AG16" i="7"/>
  <c r="AA59" i="7"/>
  <c r="AG69" i="7"/>
  <c r="AA112" i="7"/>
  <c r="AE114" i="7"/>
  <c r="AE8" i="7"/>
  <c r="AC59" i="7"/>
  <c r="AG61" i="7"/>
  <c r="AC112" i="7"/>
  <c r="AG114" i="7"/>
  <c r="S113" i="7"/>
  <c r="O67" i="7"/>
  <c r="N68" i="7"/>
  <c r="T10" i="7"/>
  <c r="U9" i="7"/>
  <c r="U8" i="7"/>
  <c r="O19" i="7"/>
  <c r="O6" i="7"/>
  <c r="Q60" i="7"/>
  <c r="P61" i="7"/>
  <c r="P114" i="7"/>
  <c r="Q113" i="7"/>
  <c r="O60" i="7"/>
  <c r="O113" i="7"/>
  <c r="N114" i="7"/>
  <c r="S61" i="7"/>
  <c r="R62" i="7"/>
  <c r="R115" i="7"/>
  <c r="S114" i="7"/>
  <c r="P8" i="7"/>
  <c r="M70" i="7"/>
  <c r="S70" i="7" s="1"/>
  <c r="O59" i="7"/>
  <c r="Q112" i="7"/>
  <c r="M17" i="7"/>
  <c r="M124" i="7"/>
  <c r="N8" i="7"/>
  <c r="R8" i="7"/>
  <c r="Q59" i="7"/>
  <c r="O112" i="7"/>
  <c r="D114" i="7"/>
  <c r="E114" i="7" s="1"/>
  <c r="B114" i="7"/>
  <c r="C114" i="7" s="1"/>
  <c r="F115" i="7"/>
  <c r="G115" i="7" s="1"/>
  <c r="E122" i="7"/>
  <c r="A123" i="7"/>
  <c r="B8" i="7"/>
  <c r="B9" i="7" s="1"/>
  <c r="B10" i="7" s="1"/>
  <c r="B11" i="7" s="1"/>
  <c r="C11" i="7" s="1"/>
  <c r="E69" i="7"/>
  <c r="C69" i="7"/>
  <c r="B61" i="7"/>
  <c r="C61" i="7" s="1"/>
  <c r="F61" i="7"/>
  <c r="G61" i="7" s="1"/>
  <c r="A70" i="7"/>
  <c r="F8" i="7"/>
  <c r="G7" i="7"/>
  <c r="G6" i="7"/>
  <c r="G16" i="7"/>
  <c r="G14" i="7"/>
  <c r="G15" i="7"/>
  <c r="E17" i="7"/>
  <c r="AM66" i="6"/>
  <c r="AM65" i="6"/>
  <c r="AK66" i="6"/>
  <c r="AK64" i="6"/>
  <c r="AI65" i="6"/>
  <c r="AI66" i="6"/>
  <c r="AI64" i="6"/>
  <c r="AE69" i="6"/>
  <c r="AE68" i="6"/>
  <c r="AC69" i="6"/>
  <c r="AC68" i="6"/>
  <c r="AA69" i="6"/>
  <c r="AA68" i="6"/>
  <c r="W69" i="6"/>
  <c r="W68" i="6"/>
  <c r="U69" i="6"/>
  <c r="U68" i="6"/>
  <c r="S69" i="6"/>
  <c r="S68" i="6"/>
  <c r="AG70" i="6"/>
  <c r="AG71" i="6" s="1"/>
  <c r="AG72" i="6" s="1"/>
  <c r="AG73" i="6" s="1"/>
  <c r="AG74" i="6" s="1"/>
  <c r="AG75" i="6" s="1"/>
  <c r="Y70" i="6"/>
  <c r="Y71" i="6" s="1"/>
  <c r="Y72" i="6" s="1"/>
  <c r="Y73" i="6" s="1"/>
  <c r="Q70" i="6"/>
  <c r="Q71" i="6" s="1"/>
  <c r="Q72" i="6" s="1"/>
  <c r="Q73" i="6" s="1"/>
  <c r="AD70" i="6"/>
  <c r="AE70" i="6" s="1"/>
  <c r="Z70" i="6"/>
  <c r="AA70" i="6" s="1"/>
  <c r="T70" i="6"/>
  <c r="AL67" i="6"/>
  <c r="AL68" i="6" s="1"/>
  <c r="AM68" i="6" s="1"/>
  <c r="AH67" i="6"/>
  <c r="AH68" i="6" s="1"/>
  <c r="AI68" i="6" s="1"/>
  <c r="S67" i="6"/>
  <c r="AJ65" i="6"/>
  <c r="AJ66" i="6" s="1"/>
  <c r="AM64" i="6"/>
  <c r="AM35" i="6"/>
  <c r="AK34" i="6"/>
  <c r="AI35" i="6"/>
  <c r="AI36" i="6"/>
  <c r="AI34" i="6"/>
  <c r="AE44" i="6"/>
  <c r="AE38" i="6"/>
  <c r="AC38" i="6"/>
  <c r="AA44" i="6"/>
  <c r="AA38" i="6"/>
  <c r="W38" i="6"/>
  <c r="U38" i="6"/>
  <c r="S38" i="6"/>
  <c r="AG40" i="6"/>
  <c r="AG41" i="6" s="1"/>
  <c r="AG42" i="6" s="1"/>
  <c r="AG43" i="6" s="1"/>
  <c r="AG44" i="6" s="1"/>
  <c r="AG45" i="6" s="1"/>
  <c r="AG46" i="6" s="1"/>
  <c r="Y40" i="6"/>
  <c r="Y41" i="6" s="1"/>
  <c r="Y42" i="6" s="1"/>
  <c r="Y43" i="6" s="1"/>
  <c r="Y44" i="6" s="1"/>
  <c r="Y45" i="6" s="1"/>
  <c r="Y46" i="6" s="1"/>
  <c r="Y47" i="6" s="1"/>
  <c r="Q40" i="6"/>
  <c r="Q41" i="6" s="1"/>
  <c r="Q42" i="6" s="1"/>
  <c r="Q43" i="6" s="1"/>
  <c r="AD39" i="6"/>
  <c r="AD40" i="6" s="1"/>
  <c r="AE40" i="6" s="1"/>
  <c r="AB39" i="6"/>
  <c r="AB40" i="6" s="1"/>
  <c r="AC40" i="6" s="1"/>
  <c r="Z39" i="6"/>
  <c r="Z40" i="6" s="1"/>
  <c r="AA40" i="6" s="1"/>
  <c r="V39" i="6"/>
  <c r="V40" i="6" s="1"/>
  <c r="V41" i="6" s="1"/>
  <c r="T39" i="6"/>
  <c r="U39" i="6" s="1"/>
  <c r="R39" i="6"/>
  <c r="S39" i="6" s="1"/>
  <c r="AH37" i="6"/>
  <c r="AH38" i="6" s="1"/>
  <c r="AI38" i="6" s="1"/>
  <c r="S37" i="6"/>
  <c r="AL36" i="6"/>
  <c r="AM36" i="6" s="1"/>
  <c r="AJ35" i="6"/>
  <c r="AJ36" i="6" s="1"/>
  <c r="AK36" i="6" s="1"/>
  <c r="AM34" i="6"/>
  <c r="AM4" i="6"/>
  <c r="AM5" i="6"/>
  <c r="AM9" i="6"/>
  <c r="AL6" i="6"/>
  <c r="AL7" i="6" s="1"/>
  <c r="AL8" i="6" s="1"/>
  <c r="AL9" i="6" s="1"/>
  <c r="AL10" i="6" s="1"/>
  <c r="AL11" i="6" s="1"/>
  <c r="AL12" i="6" s="1"/>
  <c r="AL13" i="6" s="1"/>
  <c r="AL14" i="6" s="1"/>
  <c r="AL15" i="6" s="1"/>
  <c r="AL16" i="6" s="1"/>
  <c r="AL17" i="6" s="1"/>
  <c r="AL18" i="6" s="1"/>
  <c r="AJ5" i="6"/>
  <c r="AJ6" i="6" s="1"/>
  <c r="AJ7" i="6" s="1"/>
  <c r="AJ8" i="6" s="1"/>
  <c r="AJ9" i="6" s="1"/>
  <c r="AJ10" i="6" s="1"/>
  <c r="AJ11" i="6" s="1"/>
  <c r="AJ12" i="6" s="1"/>
  <c r="AJ13" i="6" s="1"/>
  <c r="AJ14" i="6" s="1"/>
  <c r="AJ15" i="6" s="1"/>
  <c r="AJ16" i="6" s="1"/>
  <c r="AJ17" i="6" s="1"/>
  <c r="AJ18" i="6" s="1"/>
  <c r="AK4" i="6"/>
  <c r="AI4" i="6"/>
  <c r="AI5" i="6"/>
  <c r="AI6" i="6"/>
  <c r="AH7" i="6"/>
  <c r="AI7" i="6" s="1"/>
  <c r="AD9" i="6"/>
  <c r="AD10" i="6" s="1"/>
  <c r="AD11" i="6" s="1"/>
  <c r="AD12" i="6" s="1"/>
  <c r="AD13" i="6" s="1"/>
  <c r="AD14" i="6" s="1"/>
  <c r="AD15" i="6" s="1"/>
  <c r="AD16" i="6" s="1"/>
  <c r="AB9" i="6"/>
  <c r="AB10" i="6" s="1"/>
  <c r="Z9" i="6"/>
  <c r="Z10" i="6" s="1"/>
  <c r="Z11" i="6" s="1"/>
  <c r="Z12" i="6" s="1"/>
  <c r="Z13" i="6" s="1"/>
  <c r="Z14" i="6" s="1"/>
  <c r="Z15" i="6" s="1"/>
  <c r="Z16" i="6" s="1"/>
  <c r="V9" i="6"/>
  <c r="W9" i="6" s="1"/>
  <c r="W8" i="6"/>
  <c r="U8" i="6"/>
  <c r="T9" i="6"/>
  <c r="T10" i="6" s="1"/>
  <c r="T11" i="6" s="1"/>
  <c r="T12" i="6" s="1"/>
  <c r="T13" i="6" s="1"/>
  <c r="T14" i="6" s="1"/>
  <c r="R9" i="6"/>
  <c r="R10" i="6" s="1"/>
  <c r="R11" i="6" s="1"/>
  <c r="R12" i="6" s="1"/>
  <c r="R13" i="6" s="1"/>
  <c r="R14" i="6" s="1"/>
  <c r="S8" i="6"/>
  <c r="S7" i="6"/>
  <c r="AG10" i="6"/>
  <c r="Y10" i="6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Q10" i="6"/>
  <c r="AC9" i="6"/>
  <c r="AE8" i="6"/>
  <c r="AC8" i="6"/>
  <c r="AA8" i="6"/>
  <c r="O69" i="6"/>
  <c r="O68" i="6"/>
  <c r="M69" i="6"/>
  <c r="M68" i="6"/>
  <c r="K69" i="6"/>
  <c r="K68" i="6"/>
  <c r="E69" i="6"/>
  <c r="C69" i="6"/>
  <c r="F73" i="6"/>
  <c r="F74" i="6" s="1"/>
  <c r="D72" i="6"/>
  <c r="D73" i="6" s="1"/>
  <c r="B72" i="6"/>
  <c r="B73" i="6" s="1"/>
  <c r="N70" i="6"/>
  <c r="N71" i="6" s="1"/>
  <c r="L70" i="6"/>
  <c r="J70" i="6"/>
  <c r="J71" i="6" s="1"/>
  <c r="I70" i="6"/>
  <c r="I71" i="6" s="1"/>
  <c r="A70" i="6"/>
  <c r="C70" i="6" s="1"/>
  <c r="K37" i="6"/>
  <c r="O39" i="6"/>
  <c r="O38" i="6"/>
  <c r="M39" i="6"/>
  <c r="M38" i="6"/>
  <c r="K39" i="6"/>
  <c r="K38" i="6"/>
  <c r="G38" i="6"/>
  <c r="G39" i="6"/>
  <c r="E38" i="6"/>
  <c r="C38" i="6"/>
  <c r="E39" i="6"/>
  <c r="C39" i="6"/>
  <c r="F43" i="6"/>
  <c r="D42" i="6"/>
  <c r="D43" i="6" s="1"/>
  <c r="B42" i="6"/>
  <c r="B43" i="6" s="1"/>
  <c r="N40" i="6"/>
  <c r="N41" i="6" s="1"/>
  <c r="L40" i="6"/>
  <c r="L41" i="6" s="1"/>
  <c r="J40" i="6"/>
  <c r="I40" i="6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A40" i="6"/>
  <c r="C40" i="6" s="1"/>
  <c r="O8" i="6"/>
  <c r="M8" i="6"/>
  <c r="K8" i="6"/>
  <c r="N10" i="6"/>
  <c r="O9" i="6"/>
  <c r="L10" i="6"/>
  <c r="L11" i="6" s="1"/>
  <c r="L12" i="6" s="1"/>
  <c r="L13" i="6" s="1"/>
  <c r="L14" i="6" s="1"/>
  <c r="L15" i="6" s="1"/>
  <c r="L16" i="6" s="1"/>
  <c r="L17" i="6" s="1"/>
  <c r="L18" i="6" s="1"/>
  <c r="L19" i="6" s="1"/>
  <c r="J10" i="6"/>
  <c r="J11" i="6" s="1"/>
  <c r="J12" i="6" s="1"/>
  <c r="J13" i="6" s="1"/>
  <c r="J14" i="6" s="1"/>
  <c r="J15" i="6" s="1"/>
  <c r="J16" i="6" s="1"/>
  <c r="J17" i="6" s="1"/>
  <c r="J18" i="6" s="1"/>
  <c r="J19" i="6" s="1"/>
  <c r="I10" i="6"/>
  <c r="M9" i="6"/>
  <c r="K9" i="6"/>
  <c r="F13" i="6"/>
  <c r="F14" i="6" s="1"/>
  <c r="F15" i="6" s="1"/>
  <c r="F16" i="6" s="1"/>
  <c r="F17" i="6" s="1"/>
  <c r="F18" i="6" s="1"/>
  <c r="F19" i="6" s="1"/>
  <c r="F20" i="6" s="1"/>
  <c r="F21" i="6" s="1"/>
  <c r="F22" i="6" s="1"/>
  <c r="E9" i="6"/>
  <c r="D12" i="6"/>
  <c r="D13" i="6" s="1"/>
  <c r="D14" i="6" s="1"/>
  <c r="D15" i="6" s="1"/>
  <c r="D16" i="6" s="1"/>
  <c r="D17" i="6" s="1"/>
  <c r="D18" i="6" s="1"/>
  <c r="D19" i="6" s="1"/>
  <c r="D20" i="6" s="1"/>
  <c r="D21" i="6" s="1"/>
  <c r="A10" i="6"/>
  <c r="C10" i="6" s="1"/>
  <c r="C9" i="6"/>
  <c r="B12" i="6"/>
  <c r="B13" i="6" s="1"/>
  <c r="G93" i="5"/>
  <c r="E93" i="5"/>
  <c r="E92" i="5"/>
  <c r="C93" i="5"/>
  <c r="C92" i="5"/>
  <c r="H97" i="5"/>
  <c r="F95" i="5"/>
  <c r="F96" i="5" s="1"/>
  <c r="D94" i="5"/>
  <c r="B94" i="5"/>
  <c r="A93" i="5"/>
  <c r="I48" i="5"/>
  <c r="I49" i="5"/>
  <c r="G48" i="5"/>
  <c r="G49" i="5"/>
  <c r="E49" i="5"/>
  <c r="E48" i="5"/>
  <c r="C48" i="5"/>
  <c r="H54" i="5"/>
  <c r="H55" i="5" s="1"/>
  <c r="H53" i="5"/>
  <c r="F51" i="5"/>
  <c r="F52" i="5" s="1"/>
  <c r="D49" i="5"/>
  <c r="D50" i="5" s="1"/>
  <c r="B49" i="5"/>
  <c r="C49" i="5" s="1"/>
  <c r="A49" i="5"/>
  <c r="L143" i="4"/>
  <c r="L144" i="4" s="1"/>
  <c r="L145" i="4" s="1"/>
  <c r="L146" i="4" s="1"/>
  <c r="L147" i="4" s="1"/>
  <c r="L148" i="4" s="1"/>
  <c r="L149" i="4" s="1"/>
  <c r="L150" i="4" s="1"/>
  <c r="L151" i="4" s="1"/>
  <c r="L152" i="4" s="1"/>
  <c r="L153" i="4" s="1"/>
  <c r="L154" i="4" s="1"/>
  <c r="L155" i="4" s="1"/>
  <c r="L156" i="4" s="1"/>
  <c r="L157" i="4" s="1"/>
  <c r="L158" i="4" s="1"/>
  <c r="L159" i="4" s="1"/>
  <c r="L160" i="4" s="1"/>
  <c r="L161" i="4" s="1"/>
  <c r="L162" i="4" s="1"/>
  <c r="L163" i="4" s="1"/>
  <c r="L164" i="4" s="1"/>
  <c r="L165" i="4" s="1"/>
  <c r="L166" i="4" s="1"/>
  <c r="L167" i="4" s="1"/>
  <c r="L168" i="4" s="1"/>
  <c r="L169" i="4" s="1"/>
  <c r="J142" i="4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H168" i="4"/>
  <c r="H169" i="4" s="1"/>
  <c r="H141" i="4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F140" i="4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L97" i="4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J96" i="4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53" i="4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H95" i="4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52" i="4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F95" i="4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L54" i="4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F52" i="4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51" i="4"/>
  <c r="H9" i="5"/>
  <c r="F7" i="5"/>
  <c r="F8" i="5" s="1"/>
  <c r="F9" i="5" s="1"/>
  <c r="F10" i="5" s="1"/>
  <c r="F11" i="5" s="1"/>
  <c r="F12" i="5" s="1"/>
  <c r="F13" i="5" s="1"/>
  <c r="F14" i="5" s="1"/>
  <c r="F15" i="5" s="1"/>
  <c r="F16" i="5" s="1"/>
  <c r="H10" i="5"/>
  <c r="H11" i="5" s="1"/>
  <c r="H12" i="5" s="1"/>
  <c r="H13" i="5" s="1"/>
  <c r="H14" i="5" s="1"/>
  <c r="H15" i="5" s="1"/>
  <c r="H16" i="5" s="1"/>
  <c r="H17" i="5" s="1"/>
  <c r="AE61" i="7" l="1"/>
  <c r="B50" i="5"/>
  <c r="H98" i="5"/>
  <c r="AC39" i="6"/>
  <c r="AI67" i="6"/>
  <c r="C8" i="7"/>
  <c r="AZ61" i="7"/>
  <c r="BA61" i="7" s="1"/>
  <c r="CE10" i="7"/>
  <c r="CD119" i="7"/>
  <c r="CE118" i="7"/>
  <c r="U115" i="7"/>
  <c r="T116" i="7"/>
  <c r="R40" i="6"/>
  <c r="R41" i="6" s="1"/>
  <c r="U70" i="6"/>
  <c r="D61" i="7"/>
  <c r="E61" i="7" s="1"/>
  <c r="CG11" i="7"/>
  <c r="BL114" i="7"/>
  <c r="BM113" i="7"/>
  <c r="W39" i="6"/>
  <c r="AK65" i="6"/>
  <c r="O68" i="7"/>
  <c r="N69" i="7"/>
  <c r="BG123" i="7"/>
  <c r="E7" i="7"/>
  <c r="D8" i="7"/>
  <c r="BG117" i="7"/>
  <c r="T64" i="7"/>
  <c r="U63" i="7"/>
  <c r="CV123" i="7"/>
  <c r="CW122" i="7"/>
  <c r="CW71" i="7"/>
  <c r="CW77" i="7"/>
  <c r="CW72" i="7"/>
  <c r="CW70" i="7"/>
  <c r="CW74" i="7"/>
  <c r="CW78" i="7"/>
  <c r="CW76" i="7"/>
  <c r="CW75" i="7"/>
  <c r="CW79" i="7"/>
  <c r="CW73" i="7"/>
  <c r="CW80" i="7"/>
  <c r="CG119" i="7"/>
  <c r="CG118" i="7"/>
  <c r="CG121" i="7"/>
  <c r="CG117" i="7"/>
  <c r="CG123" i="7"/>
  <c r="CG120" i="7"/>
  <c r="CG122" i="7"/>
  <c r="CG124" i="7"/>
  <c r="CJ8" i="7"/>
  <c r="CK7" i="7"/>
  <c r="CN62" i="7"/>
  <c r="CO61" i="7"/>
  <c r="CP117" i="7"/>
  <c r="CQ116" i="7"/>
  <c r="CR13" i="7"/>
  <c r="CS12" i="7"/>
  <c r="CR65" i="7"/>
  <c r="CS64" i="7"/>
  <c r="CL63" i="7"/>
  <c r="CM62" i="7"/>
  <c r="CL116" i="7"/>
  <c r="CM115" i="7"/>
  <c r="CN10" i="7"/>
  <c r="CO9" i="7"/>
  <c r="CJ115" i="7"/>
  <c r="CK114" i="7"/>
  <c r="CM7" i="7"/>
  <c r="CL8" i="7"/>
  <c r="CR118" i="7"/>
  <c r="CS117" i="7"/>
  <c r="CT65" i="7"/>
  <c r="CU64" i="7"/>
  <c r="CT118" i="7"/>
  <c r="CU117" i="7"/>
  <c r="CP64" i="7"/>
  <c r="CQ63" i="7"/>
  <c r="CN115" i="7"/>
  <c r="CO114" i="7"/>
  <c r="CJ62" i="7"/>
  <c r="CK61" i="7"/>
  <c r="CU11" i="7"/>
  <c r="CT12" i="7"/>
  <c r="CQ10" i="7"/>
  <c r="CP11" i="7"/>
  <c r="CE75" i="7"/>
  <c r="CE69" i="7"/>
  <c r="CE64" i="7"/>
  <c r="CE65" i="7"/>
  <c r="CE71" i="7"/>
  <c r="CE74" i="7"/>
  <c r="CE72" i="7"/>
  <c r="CE70" i="7"/>
  <c r="CE68" i="7"/>
  <c r="CE73" i="7"/>
  <c r="CE67" i="7"/>
  <c r="CE66" i="7"/>
  <c r="CF65" i="7"/>
  <c r="CG64" i="7"/>
  <c r="CD13" i="7"/>
  <c r="CE12" i="7"/>
  <c r="CF14" i="7"/>
  <c r="CG13" i="7"/>
  <c r="BZ9" i="7"/>
  <c r="CA8" i="7"/>
  <c r="CC62" i="7"/>
  <c r="CB63" i="7"/>
  <c r="BV63" i="7"/>
  <c r="BW62" i="7"/>
  <c r="BZ63" i="7"/>
  <c r="CA62" i="7"/>
  <c r="CB11" i="7"/>
  <c r="CC10" i="7"/>
  <c r="BX115" i="7"/>
  <c r="BY114" i="7"/>
  <c r="BV9" i="7"/>
  <c r="BW8" i="7"/>
  <c r="BX8" i="7"/>
  <c r="BY7" i="7"/>
  <c r="BV116" i="7"/>
  <c r="BW115" i="7"/>
  <c r="CB117" i="7"/>
  <c r="CC116" i="7"/>
  <c r="BY60" i="7"/>
  <c r="BX61" i="7"/>
  <c r="BZ116" i="7"/>
  <c r="CA115" i="7"/>
  <c r="BO115" i="7"/>
  <c r="BN116" i="7"/>
  <c r="BP117" i="7"/>
  <c r="BQ116" i="7"/>
  <c r="BL63" i="7"/>
  <c r="BM62" i="7"/>
  <c r="BQ17" i="7"/>
  <c r="BI18" i="7"/>
  <c r="BO18" i="7" s="1"/>
  <c r="BM8" i="7"/>
  <c r="BL9" i="7"/>
  <c r="BK114" i="7"/>
  <c r="BJ115" i="7"/>
  <c r="BK61" i="7"/>
  <c r="BJ62" i="7"/>
  <c r="BO70" i="7"/>
  <c r="BI71" i="7"/>
  <c r="BQ9" i="7"/>
  <c r="BP10" i="7"/>
  <c r="BJ10" i="7"/>
  <c r="BK9" i="7"/>
  <c r="BN10" i="7"/>
  <c r="BO9" i="7"/>
  <c r="BP64" i="7"/>
  <c r="BQ63" i="7"/>
  <c r="BO62" i="7"/>
  <c r="BN63" i="7"/>
  <c r="BF119" i="7"/>
  <c r="BG118" i="7"/>
  <c r="BF65" i="7"/>
  <c r="BG64" i="7"/>
  <c r="BG20" i="7"/>
  <c r="BG19" i="7"/>
  <c r="AX63" i="7"/>
  <c r="AY62" i="7"/>
  <c r="AZ115" i="7"/>
  <c r="BA114" i="7"/>
  <c r="BB63" i="7"/>
  <c r="BC62" i="7"/>
  <c r="BD117" i="7"/>
  <c r="BE116" i="7"/>
  <c r="AY114" i="7"/>
  <c r="AX115" i="7"/>
  <c r="BE9" i="7"/>
  <c r="BD10" i="7"/>
  <c r="BD64" i="7"/>
  <c r="BE63" i="7"/>
  <c r="AX9" i="7"/>
  <c r="AY8" i="7"/>
  <c r="BB11" i="7"/>
  <c r="BC10" i="7"/>
  <c r="AZ62" i="7"/>
  <c r="BC115" i="7"/>
  <c r="BB116" i="7"/>
  <c r="BA8" i="7"/>
  <c r="AZ9" i="7"/>
  <c r="AL8" i="7"/>
  <c r="AM7" i="7"/>
  <c r="AP62" i="7"/>
  <c r="AQ61" i="7"/>
  <c r="AO7" i="7"/>
  <c r="AN8" i="7"/>
  <c r="AR11" i="7"/>
  <c r="AS10" i="7"/>
  <c r="AR117" i="7"/>
  <c r="AS116" i="7"/>
  <c r="AL115" i="7"/>
  <c r="AM114" i="7"/>
  <c r="AN116" i="7"/>
  <c r="AO115" i="7"/>
  <c r="AR64" i="7"/>
  <c r="AS63" i="7"/>
  <c r="AN63" i="7"/>
  <c r="AO62" i="7"/>
  <c r="AP10" i="7"/>
  <c r="AQ9" i="7"/>
  <c r="AP115" i="7"/>
  <c r="AQ114" i="7"/>
  <c r="AL62" i="7"/>
  <c r="AM61" i="7"/>
  <c r="AD117" i="7"/>
  <c r="AE116" i="7"/>
  <c r="AD11" i="7"/>
  <c r="AE10" i="7"/>
  <c r="AF11" i="7"/>
  <c r="AG10" i="7"/>
  <c r="Z62" i="7"/>
  <c r="AA61" i="7"/>
  <c r="AC71" i="7"/>
  <c r="AE71" i="7"/>
  <c r="AA71" i="7"/>
  <c r="Z115" i="7"/>
  <c r="AA114" i="7"/>
  <c r="AB115" i="7"/>
  <c r="AC114" i="7"/>
  <c r="Z9" i="7"/>
  <c r="AA8" i="7"/>
  <c r="AB62" i="7"/>
  <c r="AC61" i="7"/>
  <c r="AF117" i="7"/>
  <c r="AG116" i="7"/>
  <c r="AD64" i="7"/>
  <c r="AE63" i="7"/>
  <c r="AF64" i="7"/>
  <c r="AG63" i="7"/>
  <c r="AB9" i="7"/>
  <c r="AC8" i="7"/>
  <c r="T11" i="7"/>
  <c r="U10" i="7"/>
  <c r="O21" i="7"/>
  <c r="O20" i="7"/>
  <c r="S8" i="7"/>
  <c r="R9" i="7"/>
  <c r="Q8" i="7"/>
  <c r="P9" i="7"/>
  <c r="O61" i="7"/>
  <c r="M18" i="7"/>
  <c r="R63" i="7"/>
  <c r="S62" i="7"/>
  <c r="P62" i="7"/>
  <c r="Q61" i="7"/>
  <c r="M71" i="7"/>
  <c r="S115" i="7"/>
  <c r="R116" i="7"/>
  <c r="Q114" i="7"/>
  <c r="P115" i="7"/>
  <c r="O8" i="7"/>
  <c r="N9" i="7"/>
  <c r="N115" i="7"/>
  <c r="O114" i="7"/>
  <c r="F116" i="7"/>
  <c r="G116" i="7" s="1"/>
  <c r="D115" i="7"/>
  <c r="E115" i="7" s="1"/>
  <c r="G123" i="7"/>
  <c r="A124" i="7"/>
  <c r="C123" i="7"/>
  <c r="E123" i="7"/>
  <c r="B115" i="7"/>
  <c r="C115" i="7" s="1"/>
  <c r="C9" i="7"/>
  <c r="C10" i="7"/>
  <c r="C19" i="7"/>
  <c r="B12" i="7"/>
  <c r="F62" i="7"/>
  <c r="G62" i="7" s="1"/>
  <c r="D62" i="7"/>
  <c r="E62" i="7" s="1"/>
  <c r="G70" i="7"/>
  <c r="A71" i="7"/>
  <c r="C70" i="7"/>
  <c r="E70" i="7"/>
  <c r="B62" i="7"/>
  <c r="C62" i="7" s="1"/>
  <c r="F9" i="7"/>
  <c r="G8" i="7"/>
  <c r="AM67" i="6"/>
  <c r="Q74" i="6"/>
  <c r="AJ67" i="6"/>
  <c r="AK67" i="6" s="1"/>
  <c r="AL69" i="6"/>
  <c r="AM69" i="6" s="1"/>
  <c r="T71" i="6"/>
  <c r="U71" i="6" s="1"/>
  <c r="AD71" i="6"/>
  <c r="AE71" i="6" s="1"/>
  <c r="Z71" i="6"/>
  <c r="AA71" i="6" s="1"/>
  <c r="AH69" i="6"/>
  <c r="AI69" i="6" s="1"/>
  <c r="AG77" i="6"/>
  <c r="AB70" i="6"/>
  <c r="AC70" i="6" s="1"/>
  <c r="R70" i="6"/>
  <c r="S70" i="6" s="1"/>
  <c r="V70" i="6"/>
  <c r="W70" i="6" s="1"/>
  <c r="Q44" i="6"/>
  <c r="Q45" i="6" s="1"/>
  <c r="U45" i="6" s="1"/>
  <c r="S43" i="6"/>
  <c r="W43" i="6"/>
  <c r="U43" i="6"/>
  <c r="AG47" i="6"/>
  <c r="AG48" i="6" s="1"/>
  <c r="AG49" i="6" s="1"/>
  <c r="AM46" i="6"/>
  <c r="AI46" i="6"/>
  <c r="AE9" i="6"/>
  <c r="AA39" i="6"/>
  <c r="W41" i="6"/>
  <c r="AM7" i="6"/>
  <c r="T40" i="6"/>
  <c r="T41" i="6" s="1"/>
  <c r="U41" i="6" s="1"/>
  <c r="AC44" i="6"/>
  <c r="AE39" i="6"/>
  <c r="AK35" i="6"/>
  <c r="S41" i="6"/>
  <c r="AI37" i="6"/>
  <c r="U40" i="6"/>
  <c r="S40" i="6"/>
  <c r="W40" i="6"/>
  <c r="AA47" i="6"/>
  <c r="AC47" i="6"/>
  <c r="Y48" i="6"/>
  <c r="AE47" i="6"/>
  <c r="AJ37" i="6"/>
  <c r="AK37" i="6" s="1"/>
  <c r="V42" i="6"/>
  <c r="W42" i="6" s="1"/>
  <c r="R42" i="6"/>
  <c r="S42" i="6" s="1"/>
  <c r="AH39" i="6"/>
  <c r="AI39" i="6" s="1"/>
  <c r="AB41" i="6"/>
  <c r="AC41" i="6" s="1"/>
  <c r="Z41" i="6"/>
  <c r="AA41" i="6" s="1"/>
  <c r="AD41" i="6"/>
  <c r="AE41" i="6" s="1"/>
  <c r="T42" i="6"/>
  <c r="U42" i="6" s="1"/>
  <c r="S45" i="6"/>
  <c r="AL37" i="6"/>
  <c r="AM37" i="6" s="1"/>
  <c r="AM8" i="6"/>
  <c r="AM6" i="6"/>
  <c r="K40" i="6"/>
  <c r="AH8" i="6"/>
  <c r="AH9" i="6" s="1"/>
  <c r="AH10" i="6" s="1"/>
  <c r="A11" i="6"/>
  <c r="G11" i="6" s="1"/>
  <c r="O10" i="6"/>
  <c r="U9" i="6"/>
  <c r="M41" i="6"/>
  <c r="AK5" i="6"/>
  <c r="AK6" i="6"/>
  <c r="J41" i="6"/>
  <c r="J42" i="6" s="1"/>
  <c r="K42" i="6" s="1"/>
  <c r="A71" i="6"/>
  <c r="C71" i="6" s="1"/>
  <c r="N42" i="6"/>
  <c r="O42" i="6" s="1"/>
  <c r="O41" i="6"/>
  <c r="AB11" i="6"/>
  <c r="AB12" i="6" s="1"/>
  <c r="AB13" i="6" s="1"/>
  <c r="AB14" i="6" s="1"/>
  <c r="AB15" i="6" s="1"/>
  <c r="AB16" i="6" s="1"/>
  <c r="AC10" i="6"/>
  <c r="E10" i="6"/>
  <c r="N11" i="6"/>
  <c r="N12" i="6" s="1"/>
  <c r="N13" i="6" s="1"/>
  <c r="N14" i="6" s="1"/>
  <c r="N15" i="6" s="1"/>
  <c r="N16" i="6" s="1"/>
  <c r="N17" i="6" s="1"/>
  <c r="N18" i="6" s="1"/>
  <c r="N19" i="6" s="1"/>
  <c r="G40" i="6"/>
  <c r="K48" i="6"/>
  <c r="M40" i="6"/>
  <c r="G70" i="6"/>
  <c r="E40" i="6"/>
  <c r="M48" i="6"/>
  <c r="O48" i="6"/>
  <c r="O40" i="6"/>
  <c r="E70" i="6"/>
  <c r="U10" i="6"/>
  <c r="Q11" i="6"/>
  <c r="S11" i="6" s="1"/>
  <c r="E71" i="6"/>
  <c r="S9" i="6"/>
  <c r="V10" i="6"/>
  <c r="AA9" i="6"/>
  <c r="U11" i="6"/>
  <c r="S10" i="6"/>
  <c r="AM10" i="6"/>
  <c r="AG11" i="6"/>
  <c r="Y21" i="6"/>
  <c r="AE20" i="6"/>
  <c r="AA11" i="6"/>
  <c r="AE11" i="6"/>
  <c r="AA10" i="6"/>
  <c r="AE10" i="6"/>
  <c r="Q12" i="6"/>
  <c r="U12" i="6" s="1"/>
  <c r="I72" i="6"/>
  <c r="O71" i="6"/>
  <c r="K71" i="6"/>
  <c r="K70" i="6"/>
  <c r="M70" i="6"/>
  <c r="O70" i="6"/>
  <c r="J72" i="6"/>
  <c r="F75" i="6"/>
  <c r="N72" i="6"/>
  <c r="D74" i="6"/>
  <c r="B74" i="6"/>
  <c r="L71" i="6"/>
  <c r="M71" i="6" s="1"/>
  <c r="I51" i="6"/>
  <c r="O50" i="6"/>
  <c r="D44" i="6"/>
  <c r="L42" i="6"/>
  <c r="M42" i="6" s="1"/>
  <c r="A41" i="6"/>
  <c r="B44" i="6"/>
  <c r="F44" i="6"/>
  <c r="M10" i="6"/>
  <c r="K10" i="6"/>
  <c r="I11" i="6"/>
  <c r="G10" i="6"/>
  <c r="B14" i="6"/>
  <c r="F97" i="5"/>
  <c r="D95" i="5"/>
  <c r="B95" i="5"/>
  <c r="A94" i="5"/>
  <c r="F53" i="5"/>
  <c r="H56" i="5"/>
  <c r="D51" i="5"/>
  <c r="A50" i="5"/>
  <c r="F76" i="4"/>
  <c r="F77" i="4" s="1"/>
  <c r="D5" i="5"/>
  <c r="D6" i="5" s="1"/>
  <c r="D7" i="5" s="1"/>
  <c r="D8" i="5" s="1"/>
  <c r="D9" i="5" s="1"/>
  <c r="D10" i="5" s="1"/>
  <c r="D11" i="5" s="1"/>
  <c r="D12" i="5" s="1"/>
  <c r="B6" i="5"/>
  <c r="B7" i="5" s="1"/>
  <c r="B8" i="5" s="1"/>
  <c r="B9" i="5" s="1"/>
  <c r="B10" i="5" s="1"/>
  <c r="B11" i="5" s="1"/>
  <c r="B12" i="5" s="1"/>
  <c r="B5" i="5"/>
  <c r="A5" i="5"/>
  <c r="A6" i="5" s="1"/>
  <c r="E4" i="5"/>
  <c r="C4" i="5"/>
  <c r="G137" i="4"/>
  <c r="A137" i="4"/>
  <c r="A138" i="4" s="1"/>
  <c r="E93" i="4"/>
  <c r="E92" i="4"/>
  <c r="C92" i="4"/>
  <c r="A93" i="4"/>
  <c r="G93" i="4" s="1"/>
  <c r="G49" i="4"/>
  <c r="E49" i="4"/>
  <c r="E5" i="4"/>
  <c r="E4" i="4"/>
  <c r="C6" i="4"/>
  <c r="C5" i="4"/>
  <c r="C4" i="4"/>
  <c r="C49" i="4"/>
  <c r="A49" i="4"/>
  <c r="L9" i="4"/>
  <c r="L10" i="4" s="1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J8" i="4"/>
  <c r="A6" i="4"/>
  <c r="A7" i="4" s="1"/>
  <c r="A5" i="4"/>
  <c r="C17" i="3"/>
  <c r="M146" i="3"/>
  <c r="M145" i="3"/>
  <c r="K144" i="3"/>
  <c r="I144" i="3"/>
  <c r="G144" i="3"/>
  <c r="E143" i="3"/>
  <c r="C166" i="3"/>
  <c r="C165" i="3"/>
  <c r="C164" i="3"/>
  <c r="C163" i="3"/>
  <c r="C162" i="3"/>
  <c r="C161" i="3"/>
  <c r="L146" i="3"/>
  <c r="J145" i="3"/>
  <c r="J146" i="3" s="1"/>
  <c r="K146" i="3" s="1"/>
  <c r="H145" i="3"/>
  <c r="I145" i="3" s="1"/>
  <c r="D144" i="3"/>
  <c r="E144" i="3" s="1"/>
  <c r="G142" i="3"/>
  <c r="E51" i="3"/>
  <c r="O100" i="3"/>
  <c r="O101" i="3"/>
  <c r="N102" i="3"/>
  <c r="O102" i="3" s="1"/>
  <c r="N101" i="3"/>
  <c r="L100" i="3"/>
  <c r="L101" i="3" s="1"/>
  <c r="L102" i="3" s="1"/>
  <c r="L103" i="3" s="1"/>
  <c r="L99" i="3"/>
  <c r="M99" i="3" s="1"/>
  <c r="M98" i="3"/>
  <c r="J98" i="3"/>
  <c r="K98" i="3" s="1"/>
  <c r="K97" i="3"/>
  <c r="I95" i="3"/>
  <c r="I96" i="3"/>
  <c r="I97" i="3"/>
  <c r="G95" i="3"/>
  <c r="G96" i="3"/>
  <c r="E94" i="3"/>
  <c r="E95" i="3"/>
  <c r="C94" i="3"/>
  <c r="C95" i="3"/>
  <c r="I98" i="3"/>
  <c r="G97" i="3"/>
  <c r="E96" i="3"/>
  <c r="C97" i="3"/>
  <c r="C98" i="3"/>
  <c r="C99" i="3"/>
  <c r="C100" i="3"/>
  <c r="C101" i="3"/>
  <c r="C102" i="3"/>
  <c r="C103" i="3"/>
  <c r="C104" i="3"/>
  <c r="C96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H99" i="3"/>
  <c r="H100" i="3" s="1"/>
  <c r="I100" i="3" s="1"/>
  <c r="F98" i="3"/>
  <c r="F99" i="3" s="1"/>
  <c r="G99" i="3" s="1"/>
  <c r="D97" i="3"/>
  <c r="D98" i="3" s="1"/>
  <c r="E98" i="3" s="1"/>
  <c r="L56" i="3"/>
  <c r="M56" i="3" s="1"/>
  <c r="L11" i="3"/>
  <c r="L12" i="3" s="1"/>
  <c r="L13" i="3" s="1"/>
  <c r="L14" i="3" s="1"/>
  <c r="L15" i="3" s="1"/>
  <c r="L16" i="3" s="1"/>
  <c r="L17" i="3" s="1"/>
  <c r="L18" i="3" s="1"/>
  <c r="L19" i="3" s="1"/>
  <c r="J11" i="3"/>
  <c r="J12" i="3" s="1"/>
  <c r="J13" i="3" s="1"/>
  <c r="J10" i="3"/>
  <c r="H9" i="3"/>
  <c r="H10" i="3" s="1"/>
  <c r="H11" i="3" s="1"/>
  <c r="H12" i="3" s="1"/>
  <c r="H13" i="3" s="1"/>
  <c r="H14" i="3" s="1"/>
  <c r="H15" i="3" s="1"/>
  <c r="H16" i="3" s="1"/>
  <c r="F8" i="3"/>
  <c r="F9" i="3" s="1"/>
  <c r="F10" i="3" s="1"/>
  <c r="F11" i="3" s="1"/>
  <c r="F12" i="3" s="1"/>
  <c r="F13" i="3" s="1"/>
  <c r="M55" i="3"/>
  <c r="K54" i="3"/>
  <c r="I53" i="3"/>
  <c r="G52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51" i="3"/>
  <c r="C76" i="3"/>
  <c r="C75" i="3"/>
  <c r="C74" i="3"/>
  <c r="C73" i="3"/>
  <c r="C72" i="3"/>
  <c r="C71" i="3"/>
  <c r="C70" i="3"/>
  <c r="C69" i="3"/>
  <c r="C68" i="3"/>
  <c r="C67" i="3"/>
  <c r="C66" i="3"/>
  <c r="C65" i="3"/>
  <c r="J55" i="3"/>
  <c r="K55" i="3" s="1"/>
  <c r="H54" i="3"/>
  <c r="I54" i="3" s="1"/>
  <c r="F53" i="3"/>
  <c r="G53" i="3" s="1"/>
  <c r="D53" i="3"/>
  <c r="E53" i="3" s="1"/>
  <c r="G94" i="5" l="1"/>
  <c r="I94" i="5"/>
  <c r="C94" i="5"/>
  <c r="E94" i="5"/>
  <c r="M100" i="3"/>
  <c r="J99" i="3"/>
  <c r="N103" i="3"/>
  <c r="N104" i="3" s="1"/>
  <c r="O104" i="3" s="1"/>
  <c r="K145" i="3"/>
  <c r="CD120" i="7"/>
  <c r="CE119" i="7"/>
  <c r="H99" i="5"/>
  <c r="AH11" i="6"/>
  <c r="AH12" i="6" s="1"/>
  <c r="AH13" i="6" s="1"/>
  <c r="AH14" i="6" s="1"/>
  <c r="AH15" i="6" s="1"/>
  <c r="AH16" i="6" s="1"/>
  <c r="AH17" i="6" s="1"/>
  <c r="AI10" i="6"/>
  <c r="AI48" i="6"/>
  <c r="E6" i="4"/>
  <c r="N70" i="7"/>
  <c r="O70" i="7" s="1"/>
  <c r="O69" i="7"/>
  <c r="BL115" i="7"/>
  <c r="BM114" i="7"/>
  <c r="A8" i="4"/>
  <c r="E7" i="4"/>
  <c r="C7" i="4"/>
  <c r="W45" i="6"/>
  <c r="Q46" i="6"/>
  <c r="U46" i="6" s="1"/>
  <c r="C93" i="4"/>
  <c r="I50" i="5"/>
  <c r="G50" i="5"/>
  <c r="C11" i="6"/>
  <c r="B51" i="5"/>
  <c r="C50" i="5"/>
  <c r="T65" i="7"/>
  <c r="U64" i="7"/>
  <c r="D9" i="7"/>
  <c r="E8" i="7"/>
  <c r="T117" i="7"/>
  <c r="U116" i="7"/>
  <c r="E50" i="5"/>
  <c r="CV124" i="7"/>
  <c r="CW123" i="7"/>
  <c r="CN116" i="7"/>
  <c r="CO115" i="7"/>
  <c r="CT119" i="7"/>
  <c r="CU118" i="7"/>
  <c r="CR119" i="7"/>
  <c r="CS118" i="7"/>
  <c r="CJ116" i="7"/>
  <c r="CK115" i="7"/>
  <c r="CL117" i="7"/>
  <c r="CM116" i="7"/>
  <c r="CR66" i="7"/>
  <c r="CS65" i="7"/>
  <c r="CP118" i="7"/>
  <c r="CQ117" i="7"/>
  <c r="CK8" i="7"/>
  <c r="CJ9" i="7"/>
  <c r="CU12" i="7"/>
  <c r="CT13" i="7"/>
  <c r="CJ63" i="7"/>
  <c r="CK62" i="7"/>
  <c r="CP65" i="7"/>
  <c r="CQ64" i="7"/>
  <c r="CT66" i="7"/>
  <c r="CU65" i="7"/>
  <c r="CN11" i="7"/>
  <c r="CO10" i="7"/>
  <c r="CL64" i="7"/>
  <c r="CM63" i="7"/>
  <c r="CR14" i="7"/>
  <c r="CS13" i="7"/>
  <c r="CN63" i="7"/>
  <c r="CO62" i="7"/>
  <c r="CQ11" i="7"/>
  <c r="CP12" i="7"/>
  <c r="CL9" i="7"/>
  <c r="CM8" i="7"/>
  <c r="CF66" i="7"/>
  <c r="CG65" i="7"/>
  <c r="CD14" i="7"/>
  <c r="CE13" i="7"/>
  <c r="CF15" i="7"/>
  <c r="CG14" i="7"/>
  <c r="BV117" i="7"/>
  <c r="BW116" i="7"/>
  <c r="BV10" i="7"/>
  <c r="BW9" i="7"/>
  <c r="CB12" i="7"/>
  <c r="CC11" i="7"/>
  <c r="BV64" i="7"/>
  <c r="BW63" i="7"/>
  <c r="BZ10" i="7"/>
  <c r="CA9" i="7"/>
  <c r="BY61" i="7"/>
  <c r="BX62" i="7"/>
  <c r="BZ117" i="7"/>
  <c r="CA116" i="7"/>
  <c r="CB118" i="7"/>
  <c r="CC117" i="7"/>
  <c r="BX9" i="7"/>
  <c r="BY8" i="7"/>
  <c r="BX116" i="7"/>
  <c r="BY115" i="7"/>
  <c r="BZ64" i="7"/>
  <c r="CA63" i="7"/>
  <c r="CC63" i="7"/>
  <c r="CB64" i="7"/>
  <c r="BP65" i="7"/>
  <c r="BQ64" i="7"/>
  <c r="BL64" i="7"/>
  <c r="BM63" i="7"/>
  <c r="BQ10" i="7"/>
  <c r="BP11" i="7"/>
  <c r="BK62" i="7"/>
  <c r="BJ63" i="7"/>
  <c r="BM9" i="7"/>
  <c r="BL10" i="7"/>
  <c r="BO116" i="7"/>
  <c r="BN117" i="7"/>
  <c r="BN11" i="7"/>
  <c r="BO10" i="7"/>
  <c r="BJ11" i="7"/>
  <c r="BK10" i="7"/>
  <c r="BP118" i="7"/>
  <c r="BQ117" i="7"/>
  <c r="BO63" i="7"/>
  <c r="BN64" i="7"/>
  <c r="BK71" i="7"/>
  <c r="BM71" i="7"/>
  <c r="BO71" i="7"/>
  <c r="BK115" i="7"/>
  <c r="BJ116" i="7"/>
  <c r="BF120" i="7"/>
  <c r="BG119" i="7"/>
  <c r="BF66" i="7"/>
  <c r="BG65" i="7"/>
  <c r="BB12" i="7"/>
  <c r="BC11" i="7"/>
  <c r="BD65" i="7"/>
  <c r="BE64" i="7"/>
  <c r="BB64" i="7"/>
  <c r="BC63" i="7"/>
  <c r="AX64" i="7"/>
  <c r="AY63" i="7"/>
  <c r="BC116" i="7"/>
  <c r="BB117" i="7"/>
  <c r="AY115" i="7"/>
  <c r="AX116" i="7"/>
  <c r="AZ63" i="7"/>
  <c r="BA62" i="7"/>
  <c r="AX10" i="7"/>
  <c r="AY9" i="7"/>
  <c r="BD118" i="7"/>
  <c r="BE117" i="7"/>
  <c r="AZ116" i="7"/>
  <c r="BA115" i="7"/>
  <c r="BA9" i="7"/>
  <c r="AZ10" i="7"/>
  <c r="BE10" i="7"/>
  <c r="BD11" i="7"/>
  <c r="AR118" i="7"/>
  <c r="AS117" i="7"/>
  <c r="AL9" i="7"/>
  <c r="AM8" i="7"/>
  <c r="AL63" i="7"/>
  <c r="AM62" i="7"/>
  <c r="AP11" i="7"/>
  <c r="AQ10" i="7"/>
  <c r="AR65" i="7"/>
  <c r="AS64" i="7"/>
  <c r="AL116" i="7"/>
  <c r="AM115" i="7"/>
  <c r="AN9" i="7"/>
  <c r="AO8" i="7"/>
  <c r="AR12" i="7"/>
  <c r="AS11" i="7"/>
  <c r="AP63" i="7"/>
  <c r="AQ62" i="7"/>
  <c r="AP116" i="7"/>
  <c r="AQ115" i="7"/>
  <c r="AN64" i="7"/>
  <c r="AO63" i="7"/>
  <c r="AN117" i="7"/>
  <c r="AO116" i="7"/>
  <c r="AF12" i="7"/>
  <c r="AG11" i="7"/>
  <c r="AD118" i="7"/>
  <c r="AE117" i="7"/>
  <c r="AB10" i="7"/>
  <c r="AC9" i="7"/>
  <c r="AD65" i="7"/>
  <c r="AE64" i="7"/>
  <c r="AB63" i="7"/>
  <c r="AC62" i="7"/>
  <c r="AB116" i="7"/>
  <c r="AC115" i="7"/>
  <c r="Z63" i="7"/>
  <c r="AA62" i="7"/>
  <c r="AD12" i="7"/>
  <c r="AE11" i="7"/>
  <c r="AF65" i="7"/>
  <c r="AG64" i="7"/>
  <c r="AF118" i="7"/>
  <c r="AG117" i="7"/>
  <c r="Z10" i="7"/>
  <c r="AA9" i="7"/>
  <c r="Z116" i="7"/>
  <c r="AA115" i="7"/>
  <c r="T12" i="7"/>
  <c r="U11" i="7"/>
  <c r="P116" i="7"/>
  <c r="Q115" i="7"/>
  <c r="O71" i="7"/>
  <c r="Q71" i="7"/>
  <c r="S71" i="7"/>
  <c r="Q62" i="7"/>
  <c r="P63" i="7"/>
  <c r="O62" i="7"/>
  <c r="S9" i="7"/>
  <c r="R10" i="7"/>
  <c r="O9" i="7"/>
  <c r="N10" i="7"/>
  <c r="R117" i="7"/>
  <c r="S116" i="7"/>
  <c r="S63" i="7"/>
  <c r="R64" i="7"/>
  <c r="O115" i="7"/>
  <c r="N116" i="7"/>
  <c r="S18" i="7"/>
  <c r="Q9" i="7"/>
  <c r="P10" i="7"/>
  <c r="B116" i="7"/>
  <c r="C116" i="7" s="1"/>
  <c r="G124" i="7"/>
  <c r="C124" i="7"/>
  <c r="E124" i="7"/>
  <c r="F117" i="7"/>
  <c r="D116" i="7"/>
  <c r="E116" i="7" s="1"/>
  <c r="B13" i="7"/>
  <c r="C12" i="7"/>
  <c r="B63" i="7"/>
  <c r="C63" i="7" s="1"/>
  <c r="G71" i="7"/>
  <c r="C71" i="7"/>
  <c r="E71" i="7"/>
  <c r="F63" i="7"/>
  <c r="G63" i="7" s="1"/>
  <c r="D63" i="7"/>
  <c r="E63" i="7" s="1"/>
  <c r="F10" i="7"/>
  <c r="G9" i="7"/>
  <c r="AB71" i="6"/>
  <c r="AC71" i="6" s="1"/>
  <c r="AG78" i="6"/>
  <c r="Z72" i="6"/>
  <c r="AA72" i="6" s="1"/>
  <c r="T72" i="6"/>
  <c r="Y76" i="6"/>
  <c r="AJ68" i="6"/>
  <c r="AK68" i="6" s="1"/>
  <c r="R71" i="6"/>
  <c r="S71" i="6" s="1"/>
  <c r="AD72" i="6"/>
  <c r="AE72" i="6" s="1"/>
  <c r="V71" i="6"/>
  <c r="W71" i="6" s="1"/>
  <c r="AH70" i="6"/>
  <c r="AI70" i="6" s="1"/>
  <c r="AL70" i="6"/>
  <c r="AM70" i="6" s="1"/>
  <c r="J43" i="6"/>
  <c r="K43" i="6" s="1"/>
  <c r="K41" i="6"/>
  <c r="Z42" i="6"/>
  <c r="AA42" i="6" s="1"/>
  <c r="AH40" i="6"/>
  <c r="AI40" i="6" s="1"/>
  <c r="AI49" i="6"/>
  <c r="AG50" i="6"/>
  <c r="AK49" i="6"/>
  <c r="AM49" i="6"/>
  <c r="AJ38" i="6"/>
  <c r="AK38" i="6" s="1"/>
  <c r="AD42" i="6"/>
  <c r="AE42" i="6" s="1"/>
  <c r="AB42" i="6"/>
  <c r="AC42" i="6" s="1"/>
  <c r="Y49" i="6"/>
  <c r="AC48" i="6"/>
  <c r="AE48" i="6"/>
  <c r="AA48" i="6"/>
  <c r="AL38" i="6"/>
  <c r="AM38" i="6" s="1"/>
  <c r="W46" i="6"/>
  <c r="S46" i="6"/>
  <c r="Q47" i="6"/>
  <c r="A72" i="6"/>
  <c r="C72" i="6" s="1"/>
  <c r="AI9" i="6"/>
  <c r="AI8" i="6"/>
  <c r="A12" i="6"/>
  <c r="E11" i="6"/>
  <c r="G71" i="6"/>
  <c r="AK7" i="6"/>
  <c r="N43" i="6"/>
  <c r="O43" i="6" s="1"/>
  <c r="C41" i="6"/>
  <c r="G41" i="6"/>
  <c r="E41" i="6"/>
  <c r="S12" i="6"/>
  <c r="E72" i="6"/>
  <c r="V11" i="6"/>
  <c r="W10" i="6"/>
  <c r="AI11" i="6"/>
  <c r="AG12" i="6"/>
  <c r="AM11" i="6"/>
  <c r="Q13" i="6"/>
  <c r="S13" i="6" s="1"/>
  <c r="AE12" i="6"/>
  <c r="Y22" i="6"/>
  <c r="Y23" i="6" s="1"/>
  <c r="AE21" i="6"/>
  <c r="AA12" i="6"/>
  <c r="AC11" i="6"/>
  <c r="I73" i="6"/>
  <c r="O72" i="6"/>
  <c r="K72" i="6"/>
  <c r="A73" i="6"/>
  <c r="G72" i="6"/>
  <c r="D75" i="6"/>
  <c r="F76" i="6"/>
  <c r="J73" i="6"/>
  <c r="N73" i="6"/>
  <c r="L72" i="6"/>
  <c r="M72" i="6" s="1"/>
  <c r="B75" i="6"/>
  <c r="B45" i="6"/>
  <c r="D45" i="6"/>
  <c r="F45" i="6"/>
  <c r="A42" i="6"/>
  <c r="L43" i="6"/>
  <c r="J44" i="6"/>
  <c r="K44" i="6" s="1"/>
  <c r="O51" i="6"/>
  <c r="I52" i="6"/>
  <c r="M11" i="6"/>
  <c r="O11" i="6"/>
  <c r="I12" i="6"/>
  <c r="K11" i="6"/>
  <c r="B15" i="6"/>
  <c r="A95" i="5"/>
  <c r="B96" i="5"/>
  <c r="F98" i="5"/>
  <c r="D96" i="5"/>
  <c r="A51" i="5"/>
  <c r="E51" i="5" s="1"/>
  <c r="F54" i="5"/>
  <c r="H57" i="5"/>
  <c r="D52" i="5"/>
  <c r="G5" i="5"/>
  <c r="C5" i="5"/>
  <c r="I6" i="5"/>
  <c r="C6" i="5"/>
  <c r="A7" i="5"/>
  <c r="E6" i="5"/>
  <c r="G6" i="5"/>
  <c r="E5" i="5"/>
  <c r="I7" i="5"/>
  <c r="I138" i="4"/>
  <c r="A139" i="4"/>
  <c r="E138" i="4"/>
  <c r="G138" i="4"/>
  <c r="E137" i="4"/>
  <c r="A94" i="4"/>
  <c r="A50" i="4"/>
  <c r="L11" i="4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I7" i="4"/>
  <c r="I6" i="4"/>
  <c r="G5" i="4"/>
  <c r="K7" i="4"/>
  <c r="J9" i="4"/>
  <c r="L147" i="3"/>
  <c r="F145" i="3"/>
  <c r="G145" i="3" s="1"/>
  <c r="H146" i="3"/>
  <c r="I146" i="3" s="1"/>
  <c r="D145" i="3"/>
  <c r="E145" i="3" s="1"/>
  <c r="J147" i="3"/>
  <c r="K147" i="3" s="1"/>
  <c r="M101" i="3"/>
  <c r="I99" i="3"/>
  <c r="E97" i="3"/>
  <c r="M102" i="3"/>
  <c r="G98" i="3"/>
  <c r="D99" i="3"/>
  <c r="E99" i="3" s="1"/>
  <c r="F100" i="3"/>
  <c r="G100" i="3" s="1"/>
  <c r="H101" i="3"/>
  <c r="I101" i="3" s="1"/>
  <c r="E52" i="3"/>
  <c r="D54" i="3"/>
  <c r="E54" i="3" s="1"/>
  <c r="L57" i="3"/>
  <c r="M57" i="3" s="1"/>
  <c r="H55" i="3"/>
  <c r="I55" i="3" s="1"/>
  <c r="J56" i="3"/>
  <c r="K56" i="3" s="1"/>
  <c r="F54" i="3"/>
  <c r="G54" i="3" s="1"/>
  <c r="N13" i="3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O12" i="3"/>
  <c r="H17" i="3"/>
  <c r="H18" i="3" s="1"/>
  <c r="H19" i="3" s="1"/>
  <c r="H20" i="3" s="1"/>
  <c r="H21" i="3" s="1"/>
  <c r="H22" i="3" s="1"/>
  <c r="H23" i="3" s="1"/>
  <c r="H24" i="3" s="1"/>
  <c r="H25" i="3" s="1"/>
  <c r="L20" i="3"/>
  <c r="L21" i="3" s="1"/>
  <c r="L22" i="3" s="1"/>
  <c r="L23" i="3" s="1"/>
  <c r="L24" i="3" s="1"/>
  <c r="L25" i="3" s="1"/>
  <c r="L26" i="3" s="1"/>
  <c r="L27" i="3" s="1"/>
  <c r="L28" i="3" s="1"/>
  <c r="K10" i="3"/>
  <c r="I9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M10" i="3"/>
  <c r="K9" i="3"/>
  <c r="I8" i="3"/>
  <c r="G8" i="3"/>
  <c r="D7" i="3"/>
  <c r="D8" i="3" s="1"/>
  <c r="A9" i="4" l="1"/>
  <c r="K9" i="4" s="1"/>
  <c r="E8" i="4"/>
  <c r="C8" i="4"/>
  <c r="O103" i="3"/>
  <c r="BL116" i="7"/>
  <c r="BM115" i="7"/>
  <c r="I8" i="4"/>
  <c r="T118" i="7"/>
  <c r="U117" i="7"/>
  <c r="B52" i="5"/>
  <c r="C51" i="5"/>
  <c r="CD121" i="7"/>
  <c r="CE120" i="7"/>
  <c r="E139" i="4"/>
  <c r="C139" i="4"/>
  <c r="I95" i="5"/>
  <c r="G95" i="5"/>
  <c r="C95" i="5"/>
  <c r="C94" i="4"/>
  <c r="E94" i="4"/>
  <c r="G94" i="4"/>
  <c r="I94" i="4"/>
  <c r="I51" i="5"/>
  <c r="G51" i="5"/>
  <c r="G117" i="7"/>
  <c r="F118" i="7"/>
  <c r="S64" i="7"/>
  <c r="R65" i="7"/>
  <c r="D10" i="7"/>
  <c r="E9" i="7"/>
  <c r="N105" i="3"/>
  <c r="M8" i="4"/>
  <c r="I50" i="4"/>
  <c r="G50" i="4"/>
  <c r="C50" i="4"/>
  <c r="E50" i="4"/>
  <c r="T66" i="7"/>
  <c r="U66" i="7" s="1"/>
  <c r="U65" i="7"/>
  <c r="E95" i="5"/>
  <c r="H100" i="5"/>
  <c r="K99" i="3"/>
  <c r="J100" i="3"/>
  <c r="J101" i="3" s="1"/>
  <c r="K101" i="3" s="1"/>
  <c r="K8" i="4"/>
  <c r="CV125" i="7"/>
  <c r="CW124" i="7"/>
  <c r="CK95" i="7"/>
  <c r="CJ10" i="7"/>
  <c r="CK9" i="7"/>
  <c r="CR15" i="7"/>
  <c r="CS14" i="7"/>
  <c r="CN12" i="7"/>
  <c r="CO11" i="7"/>
  <c r="CP66" i="7"/>
  <c r="CQ65" i="7"/>
  <c r="CP119" i="7"/>
  <c r="CQ118" i="7"/>
  <c r="CL118" i="7"/>
  <c r="CM117" i="7"/>
  <c r="CR120" i="7"/>
  <c r="CS119" i="7"/>
  <c r="CN117" i="7"/>
  <c r="CO116" i="7"/>
  <c r="CQ12" i="7"/>
  <c r="CP13" i="7"/>
  <c r="CU13" i="7"/>
  <c r="CT14" i="7"/>
  <c r="CM9" i="7"/>
  <c r="CL10" i="7"/>
  <c r="CN64" i="7"/>
  <c r="CO63" i="7"/>
  <c r="CL65" i="7"/>
  <c r="CM64" i="7"/>
  <c r="CT67" i="7"/>
  <c r="CU66" i="7"/>
  <c r="CJ64" i="7"/>
  <c r="CK63" i="7"/>
  <c r="CR67" i="7"/>
  <c r="CS66" i="7"/>
  <c r="CJ117" i="7"/>
  <c r="CK116" i="7"/>
  <c r="CT120" i="7"/>
  <c r="CU119" i="7"/>
  <c r="CF67" i="7"/>
  <c r="CG66" i="7"/>
  <c r="CD15" i="7"/>
  <c r="CE14" i="7"/>
  <c r="CF16" i="7"/>
  <c r="CG15" i="7"/>
  <c r="CC64" i="7"/>
  <c r="CB65" i="7"/>
  <c r="BY62" i="7"/>
  <c r="BX63" i="7"/>
  <c r="BZ65" i="7"/>
  <c r="CA64" i="7"/>
  <c r="BX10" i="7"/>
  <c r="BY9" i="7"/>
  <c r="BZ118" i="7"/>
  <c r="CA117" i="7"/>
  <c r="BZ11" i="7"/>
  <c r="CA10" i="7"/>
  <c r="CB13" i="7"/>
  <c r="CC12" i="7"/>
  <c r="BV118" i="7"/>
  <c r="BW117" i="7"/>
  <c r="BX117" i="7"/>
  <c r="BY116" i="7"/>
  <c r="CB119" i="7"/>
  <c r="CC118" i="7"/>
  <c r="BV65" i="7"/>
  <c r="BW64" i="7"/>
  <c r="BV11" i="7"/>
  <c r="BW10" i="7"/>
  <c r="BJ12" i="7"/>
  <c r="BK11" i="7"/>
  <c r="BL65" i="7"/>
  <c r="BM64" i="7"/>
  <c r="BP66" i="7"/>
  <c r="BQ66" i="7" s="1"/>
  <c r="BQ65" i="7"/>
  <c r="BK116" i="7"/>
  <c r="BJ117" i="7"/>
  <c r="BP119" i="7"/>
  <c r="BQ118" i="7"/>
  <c r="BM10" i="7"/>
  <c r="BL11" i="7"/>
  <c r="BQ11" i="7"/>
  <c r="BP12" i="7"/>
  <c r="BO64" i="7"/>
  <c r="BN65" i="7"/>
  <c r="BO117" i="7"/>
  <c r="BN118" i="7"/>
  <c r="BK63" i="7"/>
  <c r="BJ64" i="7"/>
  <c r="BN12" i="7"/>
  <c r="BO11" i="7"/>
  <c r="BF121" i="7"/>
  <c r="BG120" i="7"/>
  <c r="BG70" i="7"/>
  <c r="BG66" i="7"/>
  <c r="BE11" i="7"/>
  <c r="BD12" i="7"/>
  <c r="AY116" i="7"/>
  <c r="AX117" i="7"/>
  <c r="BD119" i="7"/>
  <c r="BE118" i="7"/>
  <c r="AZ64" i="7"/>
  <c r="BA63" i="7"/>
  <c r="BB65" i="7"/>
  <c r="BC64" i="7"/>
  <c r="BB13" i="7"/>
  <c r="BC12" i="7"/>
  <c r="BA10" i="7"/>
  <c r="AZ11" i="7"/>
  <c r="BC117" i="7"/>
  <c r="BB118" i="7"/>
  <c r="AZ117" i="7"/>
  <c r="BA116" i="7"/>
  <c r="AX11" i="7"/>
  <c r="AY10" i="7"/>
  <c r="AX65" i="7"/>
  <c r="AY64" i="7"/>
  <c r="BD66" i="7"/>
  <c r="BE65" i="7"/>
  <c r="AP117" i="7"/>
  <c r="AQ116" i="7"/>
  <c r="AL117" i="7"/>
  <c r="AM116" i="7"/>
  <c r="AL10" i="7"/>
  <c r="AM9" i="7"/>
  <c r="AN65" i="7"/>
  <c r="AO64" i="7"/>
  <c r="AP64" i="7"/>
  <c r="AQ63" i="7"/>
  <c r="AN10" i="7"/>
  <c r="AO9" i="7"/>
  <c r="AR66" i="7"/>
  <c r="AS65" i="7"/>
  <c r="AL64" i="7"/>
  <c r="AM63" i="7"/>
  <c r="AR119" i="7"/>
  <c r="AS118" i="7"/>
  <c r="AN118" i="7"/>
  <c r="AO117" i="7"/>
  <c r="AR13" i="7"/>
  <c r="AS12" i="7"/>
  <c r="AP12" i="7"/>
  <c r="AQ11" i="7"/>
  <c r="Z11" i="7"/>
  <c r="AA10" i="7"/>
  <c r="AF66" i="7"/>
  <c r="AG66" i="7" s="1"/>
  <c r="AG65" i="7"/>
  <c r="Z64" i="7"/>
  <c r="AA63" i="7"/>
  <c r="AB64" i="7"/>
  <c r="AC63" i="7"/>
  <c r="AB11" i="7"/>
  <c r="AC10" i="7"/>
  <c r="AF13" i="7"/>
  <c r="AG12" i="7"/>
  <c r="Z117" i="7"/>
  <c r="AA116" i="7"/>
  <c r="AF119" i="7"/>
  <c r="AG118" i="7"/>
  <c r="AD13" i="7"/>
  <c r="AE12" i="7"/>
  <c r="AB117" i="7"/>
  <c r="AC116" i="7"/>
  <c r="AD66" i="7"/>
  <c r="AE65" i="7"/>
  <c r="AD119" i="7"/>
  <c r="AE118" i="7"/>
  <c r="T13" i="7"/>
  <c r="U12" i="7"/>
  <c r="Q10" i="7"/>
  <c r="P11" i="7"/>
  <c r="O63" i="7"/>
  <c r="O10" i="7"/>
  <c r="N11" i="7"/>
  <c r="Q116" i="7"/>
  <c r="P117" i="7"/>
  <c r="S117" i="7"/>
  <c r="R118" i="7"/>
  <c r="N117" i="7"/>
  <c r="O116" i="7"/>
  <c r="S10" i="7"/>
  <c r="R11" i="7"/>
  <c r="P64" i="7"/>
  <c r="Q63" i="7"/>
  <c r="D117" i="7"/>
  <c r="E117" i="7" s="1"/>
  <c r="B117" i="7"/>
  <c r="C117" i="7" s="1"/>
  <c r="B14" i="7"/>
  <c r="C13" i="7"/>
  <c r="D64" i="7"/>
  <c r="E64" i="7" s="1"/>
  <c r="B64" i="7"/>
  <c r="C64" i="7" s="1"/>
  <c r="F64" i="7"/>
  <c r="G64" i="7" s="1"/>
  <c r="F11" i="7"/>
  <c r="G10" i="7"/>
  <c r="U72" i="6"/>
  <c r="T73" i="6"/>
  <c r="AD73" i="6"/>
  <c r="Z73" i="6"/>
  <c r="Z74" i="6" s="1"/>
  <c r="AJ69" i="6"/>
  <c r="AK69" i="6" s="1"/>
  <c r="AL71" i="6"/>
  <c r="AM71" i="6" s="1"/>
  <c r="V72" i="6"/>
  <c r="R72" i="6"/>
  <c r="AB72" i="6"/>
  <c r="AC72" i="6" s="1"/>
  <c r="AH71" i="6"/>
  <c r="AI71" i="6" s="1"/>
  <c r="Y77" i="6"/>
  <c r="AG79" i="6"/>
  <c r="Q76" i="6"/>
  <c r="W44" i="6"/>
  <c r="AJ39" i="6"/>
  <c r="AK39" i="6" s="1"/>
  <c r="Z43" i="6"/>
  <c r="AA43" i="6" s="1"/>
  <c r="S47" i="6"/>
  <c r="U47" i="6"/>
  <c r="Q48" i="6"/>
  <c r="W47" i="6"/>
  <c r="AL39" i="6"/>
  <c r="AM39" i="6" s="1"/>
  <c r="Y50" i="6"/>
  <c r="AA49" i="6"/>
  <c r="AC49" i="6"/>
  <c r="AE49" i="6"/>
  <c r="S44" i="6"/>
  <c r="AD43" i="6"/>
  <c r="AE43" i="6" s="1"/>
  <c r="AH41" i="6"/>
  <c r="AI41" i="6" s="1"/>
  <c r="U44" i="6"/>
  <c r="AB43" i="6"/>
  <c r="AC43" i="6" s="1"/>
  <c r="AG51" i="6"/>
  <c r="AK50" i="6"/>
  <c r="AM50" i="6"/>
  <c r="AI50" i="6"/>
  <c r="A13" i="6"/>
  <c r="G12" i="6"/>
  <c r="C12" i="6"/>
  <c r="E12" i="6"/>
  <c r="AK8" i="6"/>
  <c r="AE23" i="6"/>
  <c r="AC23" i="6"/>
  <c r="AA23" i="6"/>
  <c r="N44" i="6"/>
  <c r="O44" i="6" s="1"/>
  <c r="V12" i="6"/>
  <c r="W11" i="6"/>
  <c r="G42" i="6"/>
  <c r="E42" i="6"/>
  <c r="C42" i="6"/>
  <c r="C73" i="6"/>
  <c r="E73" i="6"/>
  <c r="M43" i="6"/>
  <c r="L44" i="6"/>
  <c r="AI12" i="6"/>
  <c r="AG13" i="6"/>
  <c r="AM12" i="6"/>
  <c r="AA22" i="6"/>
  <c r="AC22" i="6"/>
  <c r="AE22" i="6"/>
  <c r="AA13" i="6"/>
  <c r="AE13" i="6"/>
  <c r="AC12" i="6"/>
  <c r="Q14" i="6"/>
  <c r="U13" i="6"/>
  <c r="I74" i="6"/>
  <c r="O73" i="6"/>
  <c r="K73" i="6"/>
  <c r="J74" i="6"/>
  <c r="D76" i="6"/>
  <c r="L73" i="6"/>
  <c r="L74" i="6" s="1"/>
  <c r="L75" i="6" s="1"/>
  <c r="L76" i="6" s="1"/>
  <c r="L77" i="6" s="1"/>
  <c r="L78" i="6" s="1"/>
  <c r="L79" i="6" s="1"/>
  <c r="L80" i="6" s="1"/>
  <c r="L81" i="6" s="1"/>
  <c r="A74" i="6"/>
  <c r="G73" i="6"/>
  <c r="N74" i="6"/>
  <c r="F77" i="6"/>
  <c r="B76" i="6"/>
  <c r="D46" i="6"/>
  <c r="K52" i="6"/>
  <c r="M52" i="6"/>
  <c r="O52" i="6"/>
  <c r="I53" i="6"/>
  <c r="B46" i="6"/>
  <c r="J45" i="6"/>
  <c r="K45" i="6" s="1"/>
  <c r="A43" i="6"/>
  <c r="F46" i="6"/>
  <c r="I13" i="6"/>
  <c r="O12" i="6"/>
  <c r="K12" i="6"/>
  <c r="M12" i="6"/>
  <c r="B16" i="6"/>
  <c r="B97" i="5"/>
  <c r="K95" i="5"/>
  <c r="A96" i="5"/>
  <c r="D97" i="5"/>
  <c r="F99" i="5"/>
  <c r="K51" i="5"/>
  <c r="A52" i="5"/>
  <c r="D53" i="5"/>
  <c r="H58" i="5"/>
  <c r="F55" i="5"/>
  <c r="G7" i="5"/>
  <c r="E7" i="5"/>
  <c r="K7" i="5"/>
  <c r="C7" i="5"/>
  <c r="A8" i="5"/>
  <c r="K139" i="4"/>
  <c r="A140" i="4"/>
  <c r="G139" i="4"/>
  <c r="I139" i="4"/>
  <c r="A95" i="4"/>
  <c r="A51" i="4"/>
  <c r="J10" i="4"/>
  <c r="L148" i="3"/>
  <c r="M148" i="3" s="1"/>
  <c r="M147" i="3"/>
  <c r="D146" i="3"/>
  <c r="E146" i="3" s="1"/>
  <c r="H147" i="3"/>
  <c r="I147" i="3" s="1"/>
  <c r="F146" i="3"/>
  <c r="G146" i="3" s="1"/>
  <c r="J148" i="3"/>
  <c r="K148" i="3" s="1"/>
  <c r="M103" i="3"/>
  <c r="K100" i="3"/>
  <c r="J102" i="3"/>
  <c r="K102" i="3" s="1"/>
  <c r="L104" i="3"/>
  <c r="M104" i="3" s="1"/>
  <c r="D100" i="3"/>
  <c r="E100" i="3" s="1"/>
  <c r="F101" i="3"/>
  <c r="G101" i="3" s="1"/>
  <c r="H102" i="3"/>
  <c r="I102" i="3" s="1"/>
  <c r="F55" i="3"/>
  <c r="G55" i="3" s="1"/>
  <c r="H56" i="3"/>
  <c r="J57" i="3"/>
  <c r="K57" i="3" s="1"/>
  <c r="D55" i="3"/>
  <c r="E55" i="3" s="1"/>
  <c r="L58" i="3"/>
  <c r="M58" i="3" s="1"/>
  <c r="D9" i="3"/>
  <c r="E8" i="3"/>
  <c r="M11" i="3"/>
  <c r="J14" i="3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N26" i="3"/>
  <c r="N27" i="3" s="1"/>
  <c r="N28" i="3" s="1"/>
  <c r="O33" i="3"/>
  <c r="O13" i="3"/>
  <c r="O16" i="3"/>
  <c r="O14" i="3"/>
  <c r="O15" i="3"/>
  <c r="F14" i="3"/>
  <c r="F15" i="3" s="1"/>
  <c r="C16" i="3"/>
  <c r="C15" i="3"/>
  <c r="C14" i="3"/>
  <c r="C13" i="3"/>
  <c r="C12" i="3"/>
  <c r="C8" i="3"/>
  <c r="C9" i="3"/>
  <c r="C10" i="3"/>
  <c r="C11" i="3"/>
  <c r="G7" i="3"/>
  <c r="E7" i="3"/>
  <c r="C7" i="3"/>
  <c r="E6" i="3"/>
  <c r="C6" i="3"/>
  <c r="O60" i="2"/>
  <c r="O61" i="2"/>
  <c r="O62" i="2"/>
  <c r="O63" i="2"/>
  <c r="O64" i="2"/>
  <c r="O65" i="2"/>
  <c r="O59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30" i="2"/>
  <c r="N382" i="2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M389" i="2"/>
  <c r="M390" i="2"/>
  <c r="M391" i="2"/>
  <c r="K95" i="4" l="1"/>
  <c r="C95" i="4"/>
  <c r="I95" i="4"/>
  <c r="E95" i="4"/>
  <c r="E51" i="4"/>
  <c r="K51" i="4"/>
  <c r="C51" i="4"/>
  <c r="G51" i="4"/>
  <c r="I51" i="4"/>
  <c r="I96" i="5"/>
  <c r="G96" i="5"/>
  <c r="C96" i="5"/>
  <c r="D11" i="7"/>
  <c r="E10" i="7"/>
  <c r="CD122" i="7"/>
  <c r="CE121" i="7"/>
  <c r="C140" i="4"/>
  <c r="E140" i="4"/>
  <c r="G140" i="4"/>
  <c r="I52" i="5"/>
  <c r="G52" i="5"/>
  <c r="R66" i="7"/>
  <c r="S65" i="7"/>
  <c r="L149" i="3"/>
  <c r="M149" i="3" s="1"/>
  <c r="G95" i="4"/>
  <c r="C52" i="5"/>
  <c r="B53" i="5"/>
  <c r="Z75" i="6"/>
  <c r="AA74" i="6"/>
  <c r="E52" i="5"/>
  <c r="G118" i="7"/>
  <c r="F119" i="7"/>
  <c r="G119" i="7" s="1"/>
  <c r="BL117" i="7"/>
  <c r="BM116" i="7"/>
  <c r="A10" i="4"/>
  <c r="C9" i="4"/>
  <c r="E9" i="4"/>
  <c r="M9" i="4"/>
  <c r="I9" i="4"/>
  <c r="AE73" i="6"/>
  <c r="AD74" i="6"/>
  <c r="H101" i="5"/>
  <c r="N106" i="3"/>
  <c r="O105" i="3"/>
  <c r="T119" i="7"/>
  <c r="U118" i="7"/>
  <c r="E96" i="5"/>
  <c r="CV126" i="7"/>
  <c r="CW125" i="7"/>
  <c r="CK96" i="7"/>
  <c r="CM95" i="7"/>
  <c r="CO95" i="7" s="1"/>
  <c r="CQ95" i="7" s="1"/>
  <c r="CU14" i="7"/>
  <c r="CT15" i="7"/>
  <c r="CJ118" i="7"/>
  <c r="CK117" i="7"/>
  <c r="CJ65" i="7"/>
  <c r="CK64" i="7"/>
  <c r="CL66" i="7"/>
  <c r="CM65" i="7"/>
  <c r="CR121" i="7"/>
  <c r="CS120" i="7"/>
  <c r="CP120" i="7"/>
  <c r="CQ119" i="7"/>
  <c r="CN13" i="7"/>
  <c r="CO12" i="7"/>
  <c r="CJ11" i="7"/>
  <c r="CK10" i="7"/>
  <c r="CM10" i="7"/>
  <c r="CL11" i="7"/>
  <c r="CQ13" i="7"/>
  <c r="CP14" i="7"/>
  <c r="CT121" i="7"/>
  <c r="CU120" i="7"/>
  <c r="CR68" i="7"/>
  <c r="CS67" i="7"/>
  <c r="CT68" i="7"/>
  <c r="CU67" i="7"/>
  <c r="CN65" i="7"/>
  <c r="CO64" i="7"/>
  <c r="CN118" i="7"/>
  <c r="CO117" i="7"/>
  <c r="CL119" i="7"/>
  <c r="CM118" i="7"/>
  <c r="CP67" i="7"/>
  <c r="CQ66" i="7"/>
  <c r="CR16" i="7"/>
  <c r="CS15" i="7"/>
  <c r="CF68" i="7"/>
  <c r="CG67" i="7"/>
  <c r="CD16" i="7"/>
  <c r="CE15" i="7"/>
  <c r="CF17" i="7"/>
  <c r="CG16" i="7"/>
  <c r="BY63" i="7"/>
  <c r="BX64" i="7"/>
  <c r="BV66" i="7"/>
  <c r="BW65" i="7"/>
  <c r="BX118" i="7"/>
  <c r="BY117" i="7"/>
  <c r="CB14" i="7"/>
  <c r="CC13" i="7"/>
  <c r="BZ119" i="7"/>
  <c r="CA118" i="7"/>
  <c r="BZ66" i="7"/>
  <c r="CA65" i="7"/>
  <c r="CC65" i="7"/>
  <c r="CB66" i="7"/>
  <c r="BV12" i="7"/>
  <c r="BW11" i="7"/>
  <c r="CB120" i="7"/>
  <c r="CC119" i="7"/>
  <c r="BV119" i="7"/>
  <c r="BW118" i="7"/>
  <c r="BZ12" i="7"/>
  <c r="CA11" i="7"/>
  <c r="BX11" i="7"/>
  <c r="BY10" i="7"/>
  <c r="BO65" i="7"/>
  <c r="BN66" i="7"/>
  <c r="BN13" i="7"/>
  <c r="BO12" i="7"/>
  <c r="BP120" i="7"/>
  <c r="BQ119" i="7"/>
  <c r="BJ13" i="7"/>
  <c r="BK12" i="7"/>
  <c r="BK64" i="7"/>
  <c r="BJ65" i="7"/>
  <c r="BM11" i="7"/>
  <c r="BL12" i="7"/>
  <c r="BK117" i="7"/>
  <c r="BJ118" i="7"/>
  <c r="BO118" i="7"/>
  <c r="BN119" i="7"/>
  <c r="BQ12" i="7"/>
  <c r="BP13" i="7"/>
  <c r="BL66" i="7"/>
  <c r="BM65" i="7"/>
  <c r="BG125" i="7"/>
  <c r="BG121" i="7"/>
  <c r="AS66" i="7"/>
  <c r="AR67" i="7"/>
  <c r="BC118" i="7"/>
  <c r="BB119" i="7"/>
  <c r="AY117" i="7"/>
  <c r="AX118" i="7"/>
  <c r="AX66" i="7"/>
  <c r="AY65" i="7"/>
  <c r="AZ118" i="7"/>
  <c r="BA117" i="7"/>
  <c r="BB66" i="7"/>
  <c r="BC65" i="7"/>
  <c r="BD120" i="7"/>
  <c r="BE119" i="7"/>
  <c r="BA11" i="7"/>
  <c r="AZ12" i="7"/>
  <c r="BE12" i="7"/>
  <c r="BD13" i="7"/>
  <c r="BD67" i="7"/>
  <c r="BE66" i="7"/>
  <c r="AX12" i="7"/>
  <c r="AY11" i="7"/>
  <c r="BB14" i="7"/>
  <c r="BC13" i="7"/>
  <c r="AZ65" i="7"/>
  <c r="BA64" i="7"/>
  <c r="AP13" i="7"/>
  <c r="AQ12" i="7"/>
  <c r="AN11" i="7"/>
  <c r="AO10" i="7"/>
  <c r="AL118" i="7"/>
  <c r="AM117" i="7"/>
  <c r="AR14" i="7"/>
  <c r="AS13" i="7"/>
  <c r="AR120" i="7"/>
  <c r="AS119" i="7"/>
  <c r="AP65" i="7"/>
  <c r="AQ64" i="7"/>
  <c r="AL11" i="7"/>
  <c r="AM10" i="7"/>
  <c r="AP118" i="7"/>
  <c r="AQ117" i="7"/>
  <c r="AN119" i="7"/>
  <c r="AO118" i="7"/>
  <c r="AL65" i="7"/>
  <c r="AM64" i="7"/>
  <c r="AN66" i="7"/>
  <c r="AO65" i="7"/>
  <c r="AD67" i="7"/>
  <c r="AE66" i="7"/>
  <c r="AD14" i="7"/>
  <c r="AE13" i="7"/>
  <c r="Z118" i="7"/>
  <c r="AA117" i="7"/>
  <c r="AB12" i="7"/>
  <c r="AC11" i="7"/>
  <c r="Z65" i="7"/>
  <c r="AA64" i="7"/>
  <c r="Z12" i="7"/>
  <c r="AA11" i="7"/>
  <c r="AD120" i="7"/>
  <c r="AE119" i="7"/>
  <c r="AB118" i="7"/>
  <c r="AC117" i="7"/>
  <c r="AF120" i="7"/>
  <c r="AG119" i="7"/>
  <c r="AF14" i="7"/>
  <c r="AG13" i="7"/>
  <c r="AB65" i="7"/>
  <c r="AC64" i="7"/>
  <c r="T14" i="7"/>
  <c r="U13" i="7"/>
  <c r="P118" i="7"/>
  <c r="Q117" i="7"/>
  <c r="O64" i="7"/>
  <c r="S11" i="7"/>
  <c r="R12" i="7"/>
  <c r="R119" i="7"/>
  <c r="S118" i="7"/>
  <c r="O11" i="7"/>
  <c r="N12" i="7"/>
  <c r="Q11" i="7"/>
  <c r="P12" i="7"/>
  <c r="Q64" i="7"/>
  <c r="P65" i="7"/>
  <c r="O117" i="7"/>
  <c r="N118" i="7"/>
  <c r="D118" i="7"/>
  <c r="B118" i="7"/>
  <c r="C118" i="7" s="1"/>
  <c r="B15" i="7"/>
  <c r="C14" i="7"/>
  <c r="B65" i="7"/>
  <c r="C65" i="7" s="1"/>
  <c r="D65" i="7"/>
  <c r="E65" i="7" s="1"/>
  <c r="F12" i="7"/>
  <c r="G11" i="7"/>
  <c r="AA73" i="6"/>
  <c r="W72" i="6"/>
  <c r="V73" i="6"/>
  <c r="U73" i="6"/>
  <c r="T74" i="6"/>
  <c r="R73" i="6"/>
  <c r="S72" i="6"/>
  <c r="AH72" i="6"/>
  <c r="AI72" i="6" s="1"/>
  <c r="Q77" i="6"/>
  <c r="S76" i="6"/>
  <c r="U76" i="6"/>
  <c r="W76" i="6"/>
  <c r="AG80" i="6"/>
  <c r="Y78" i="6"/>
  <c r="AB73" i="6"/>
  <c r="AL72" i="6"/>
  <c r="AM72" i="6" s="1"/>
  <c r="AJ70" i="6"/>
  <c r="AK70" i="6" s="1"/>
  <c r="N45" i="6"/>
  <c r="O45" i="6" s="1"/>
  <c r="AH42" i="6"/>
  <c r="AI42" i="6" s="1"/>
  <c r="AE50" i="6"/>
  <c r="Y51" i="6"/>
  <c r="Q49" i="6"/>
  <c r="U48" i="6"/>
  <c r="W48" i="6"/>
  <c r="S48" i="6"/>
  <c r="AG52" i="6"/>
  <c r="AI51" i="6"/>
  <c r="AK51" i="6"/>
  <c r="AM51" i="6"/>
  <c r="AJ40" i="6"/>
  <c r="AK40" i="6" s="1"/>
  <c r="AL40" i="6"/>
  <c r="AM40" i="6" s="1"/>
  <c r="A14" i="6"/>
  <c r="C13" i="6"/>
  <c r="G13" i="6"/>
  <c r="E13" i="6"/>
  <c r="AK9" i="6"/>
  <c r="L45" i="6"/>
  <c r="L46" i="6" s="1"/>
  <c r="L47" i="6" s="1"/>
  <c r="M44" i="6"/>
  <c r="E74" i="6"/>
  <c r="C74" i="6"/>
  <c r="V13" i="6"/>
  <c r="W12" i="6"/>
  <c r="M73" i="6"/>
  <c r="G43" i="6"/>
  <c r="C43" i="6"/>
  <c r="E43" i="6"/>
  <c r="AG14" i="6"/>
  <c r="AI13" i="6"/>
  <c r="AM13" i="6"/>
  <c r="AC13" i="6"/>
  <c r="AA14" i="6"/>
  <c r="Q15" i="6"/>
  <c r="U14" i="6"/>
  <c r="S14" i="6"/>
  <c r="AE14" i="6"/>
  <c r="I75" i="6"/>
  <c r="O74" i="6"/>
  <c r="M74" i="6"/>
  <c r="K74" i="6"/>
  <c r="B77" i="6"/>
  <c r="N75" i="6"/>
  <c r="F78" i="6"/>
  <c r="J75" i="6"/>
  <c r="A75" i="6"/>
  <c r="G74" i="6"/>
  <c r="D77" i="6"/>
  <c r="F47" i="6"/>
  <c r="A44" i="6"/>
  <c r="B47" i="6"/>
  <c r="D47" i="6"/>
  <c r="J46" i="6"/>
  <c r="K46" i="6" s="1"/>
  <c r="K53" i="6"/>
  <c r="M53" i="6"/>
  <c r="O53" i="6"/>
  <c r="N46" i="6"/>
  <c r="O46" i="6" s="1"/>
  <c r="I14" i="6"/>
  <c r="O13" i="6"/>
  <c r="K13" i="6"/>
  <c r="M13" i="6"/>
  <c r="B17" i="6"/>
  <c r="F100" i="5"/>
  <c r="B98" i="5"/>
  <c r="D98" i="5"/>
  <c r="K96" i="5"/>
  <c r="M96" i="5"/>
  <c r="A97" i="5"/>
  <c r="E97" i="5" s="1"/>
  <c r="H59" i="5"/>
  <c r="F56" i="5"/>
  <c r="D54" i="5"/>
  <c r="K52" i="5"/>
  <c r="M52" i="5"/>
  <c r="A53" i="5"/>
  <c r="E53" i="5" s="1"/>
  <c r="G96" i="4"/>
  <c r="M8" i="5"/>
  <c r="C8" i="5"/>
  <c r="A9" i="5"/>
  <c r="E8" i="5"/>
  <c r="K8" i="5"/>
  <c r="I8" i="5"/>
  <c r="G8" i="5"/>
  <c r="K140" i="4"/>
  <c r="M140" i="4"/>
  <c r="A141" i="4"/>
  <c r="I140" i="4"/>
  <c r="A96" i="4"/>
  <c r="A52" i="4"/>
  <c r="K10" i="4"/>
  <c r="J11" i="4"/>
  <c r="L150" i="3"/>
  <c r="M150" i="3" s="1"/>
  <c r="H148" i="3"/>
  <c r="I148" i="3" s="1"/>
  <c r="J149" i="3"/>
  <c r="K149" i="3" s="1"/>
  <c r="F147" i="3"/>
  <c r="G147" i="3" s="1"/>
  <c r="D147" i="3"/>
  <c r="E147" i="3" s="1"/>
  <c r="J103" i="3"/>
  <c r="K103" i="3" s="1"/>
  <c r="I56" i="3"/>
  <c r="H57" i="3"/>
  <c r="F16" i="3"/>
  <c r="F17" i="3" s="1"/>
  <c r="F18" i="3" s="1"/>
  <c r="F19" i="3" s="1"/>
  <c r="F20" i="3" s="1"/>
  <c r="F21" i="3" s="1"/>
  <c r="F22" i="3" s="1"/>
  <c r="F23" i="3" s="1"/>
  <c r="F24" i="3" s="1"/>
  <c r="F25" i="3" s="1"/>
  <c r="H103" i="3"/>
  <c r="I103" i="3" s="1"/>
  <c r="F102" i="3"/>
  <c r="G102" i="3" s="1"/>
  <c r="J104" i="3"/>
  <c r="K104" i="3" s="1"/>
  <c r="L105" i="3"/>
  <c r="M105" i="3" s="1"/>
  <c r="D101" i="3"/>
  <c r="E101" i="3" s="1"/>
  <c r="L59" i="3"/>
  <c r="M59" i="3" s="1"/>
  <c r="F56" i="3"/>
  <c r="G56" i="3" s="1"/>
  <c r="D56" i="3"/>
  <c r="E56" i="3" s="1"/>
  <c r="J58" i="3"/>
  <c r="K58" i="3" s="1"/>
  <c r="D10" i="3"/>
  <c r="E9" i="3"/>
  <c r="O17" i="3"/>
  <c r="O18" i="3"/>
  <c r="K11" i="3"/>
  <c r="I10" i="3"/>
  <c r="G9" i="3"/>
  <c r="M12" i="3"/>
  <c r="M364" i="2"/>
  <c r="M363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K376" i="2"/>
  <c r="K377" i="2"/>
  <c r="K378" i="2"/>
  <c r="K379" i="2"/>
  <c r="K380" i="2"/>
  <c r="K381" i="2"/>
  <c r="K382" i="2"/>
  <c r="K383" i="2"/>
  <c r="K356" i="2"/>
  <c r="K365" i="2"/>
  <c r="K366" i="2"/>
  <c r="K367" i="2"/>
  <c r="K368" i="2"/>
  <c r="K369" i="2"/>
  <c r="K370" i="2"/>
  <c r="K371" i="2"/>
  <c r="K372" i="2"/>
  <c r="K373" i="2"/>
  <c r="K374" i="2"/>
  <c r="K375" i="2"/>
  <c r="I368" i="2"/>
  <c r="I369" i="2"/>
  <c r="I370" i="2"/>
  <c r="I371" i="2"/>
  <c r="I372" i="2"/>
  <c r="I373" i="2"/>
  <c r="I374" i="2"/>
  <c r="I375" i="2"/>
  <c r="I376" i="2"/>
  <c r="I355" i="2"/>
  <c r="I364" i="2"/>
  <c r="I365" i="2"/>
  <c r="I366" i="2"/>
  <c r="I367" i="2"/>
  <c r="G365" i="2"/>
  <c r="G366" i="2"/>
  <c r="G367" i="2"/>
  <c r="G368" i="2"/>
  <c r="G369" i="2"/>
  <c r="G370" i="2"/>
  <c r="G371" i="2"/>
  <c r="G372" i="2"/>
  <c r="G373" i="2"/>
  <c r="G374" i="2"/>
  <c r="G351" i="2"/>
  <c r="G357" i="2"/>
  <c r="G358" i="2"/>
  <c r="G359" i="2"/>
  <c r="G360" i="2"/>
  <c r="G361" i="2"/>
  <c r="G362" i="2"/>
  <c r="G363" i="2"/>
  <c r="G364" i="2"/>
  <c r="E369" i="2"/>
  <c r="E365" i="2"/>
  <c r="E366" i="2"/>
  <c r="E367" i="2"/>
  <c r="E368" i="2"/>
  <c r="B351" i="2"/>
  <c r="C351" i="2" s="1"/>
  <c r="E363" i="2"/>
  <c r="E364" i="2"/>
  <c r="E350" i="2"/>
  <c r="E354" i="2"/>
  <c r="E355" i="2"/>
  <c r="E356" i="2"/>
  <c r="E357" i="2"/>
  <c r="E358" i="2"/>
  <c r="E359" i="2"/>
  <c r="E360" i="2"/>
  <c r="E361" i="2"/>
  <c r="E362" i="2"/>
  <c r="C350" i="2"/>
  <c r="O381" i="2"/>
  <c r="N295" i="2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O311" i="2" s="1"/>
  <c r="K253" i="2"/>
  <c r="K254" i="2"/>
  <c r="K255" i="2"/>
  <c r="K256" i="2"/>
  <c r="K257" i="2"/>
  <c r="K258" i="2"/>
  <c r="K259" i="2"/>
  <c r="K260" i="2"/>
  <c r="M299" i="2"/>
  <c r="M300" i="2"/>
  <c r="M301" i="2"/>
  <c r="M295" i="2"/>
  <c r="M296" i="2"/>
  <c r="M297" i="2"/>
  <c r="M298" i="2"/>
  <c r="M290" i="2"/>
  <c r="M291" i="2"/>
  <c r="M292" i="2"/>
  <c r="M293" i="2"/>
  <c r="M294" i="2"/>
  <c r="C268" i="2"/>
  <c r="C269" i="2"/>
  <c r="C270" i="2"/>
  <c r="C271" i="2"/>
  <c r="C272" i="2"/>
  <c r="C273" i="2"/>
  <c r="C274" i="2"/>
  <c r="C275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K278" i="2"/>
  <c r="K279" i="2"/>
  <c r="K280" i="2"/>
  <c r="K281" i="2"/>
  <c r="K282" i="2"/>
  <c r="K283" i="2"/>
  <c r="K284" i="2"/>
  <c r="K285" i="2"/>
  <c r="K286" i="2"/>
  <c r="K287" i="2"/>
  <c r="K288" i="2"/>
  <c r="I277" i="2"/>
  <c r="I278" i="2"/>
  <c r="I279" i="2"/>
  <c r="I280" i="2"/>
  <c r="G245" i="2"/>
  <c r="G270" i="2"/>
  <c r="G271" i="2"/>
  <c r="G272" i="2"/>
  <c r="G273" i="2"/>
  <c r="G274" i="2"/>
  <c r="G275" i="2"/>
  <c r="G276" i="2"/>
  <c r="G277" i="2"/>
  <c r="G244" i="2"/>
  <c r="E243" i="2"/>
  <c r="E244" i="2"/>
  <c r="E245" i="2"/>
  <c r="E267" i="2"/>
  <c r="E268" i="2"/>
  <c r="E269" i="2"/>
  <c r="E270" i="2"/>
  <c r="E271" i="2"/>
  <c r="E272" i="2"/>
  <c r="E273" i="2"/>
  <c r="E274" i="2"/>
  <c r="E275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5" i="2"/>
  <c r="B265" i="2"/>
  <c r="B264" i="2"/>
  <c r="C264" i="2" s="1"/>
  <c r="H248" i="2"/>
  <c r="I248" i="2" s="1"/>
  <c r="F247" i="2"/>
  <c r="F248" i="2" s="1"/>
  <c r="G248" i="2" s="1"/>
  <c r="D247" i="2"/>
  <c r="D248" i="2" s="1"/>
  <c r="E248" i="2" s="1"/>
  <c r="F246" i="2"/>
  <c r="G246" i="2" s="1"/>
  <c r="D246" i="2"/>
  <c r="E246" i="2" s="1"/>
  <c r="O177" i="2"/>
  <c r="O178" i="2"/>
  <c r="O179" i="2"/>
  <c r="O180" i="2"/>
  <c r="O181" i="2"/>
  <c r="O182" i="2"/>
  <c r="M170" i="2"/>
  <c r="M171" i="2"/>
  <c r="M172" i="2"/>
  <c r="M173" i="2"/>
  <c r="M195" i="2"/>
  <c r="M196" i="2"/>
  <c r="M197" i="2"/>
  <c r="M198" i="2"/>
  <c r="M199" i="2"/>
  <c r="M200" i="2"/>
  <c r="M201" i="2"/>
  <c r="M202" i="2"/>
  <c r="M174" i="2"/>
  <c r="K164" i="2"/>
  <c r="K165" i="2"/>
  <c r="K166" i="2"/>
  <c r="K200" i="2"/>
  <c r="K201" i="2"/>
  <c r="K202" i="2"/>
  <c r="K167" i="2"/>
  <c r="I162" i="2"/>
  <c r="I163" i="2"/>
  <c r="I164" i="2"/>
  <c r="G160" i="2"/>
  <c r="G192" i="2"/>
  <c r="G193" i="2"/>
  <c r="G194" i="2"/>
  <c r="G161" i="2"/>
  <c r="E159" i="2"/>
  <c r="E160" i="2"/>
  <c r="G87" i="2"/>
  <c r="E85" i="2"/>
  <c r="E86" i="2"/>
  <c r="E87" i="2"/>
  <c r="C84" i="2"/>
  <c r="C85" i="2"/>
  <c r="C86" i="2"/>
  <c r="C87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58" i="2"/>
  <c r="C159" i="2"/>
  <c r="C160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N183" i="2"/>
  <c r="O183" i="2" s="1"/>
  <c r="L175" i="2"/>
  <c r="L176" i="2" s="1"/>
  <c r="M176" i="2" s="1"/>
  <c r="J168" i="2"/>
  <c r="J169" i="2" s="1"/>
  <c r="K169" i="2" s="1"/>
  <c r="H165" i="2"/>
  <c r="I165" i="2" s="1"/>
  <c r="F162" i="2"/>
  <c r="F163" i="2" s="1"/>
  <c r="G163" i="2" s="1"/>
  <c r="D161" i="2"/>
  <c r="D162" i="2" s="1"/>
  <c r="E162" i="2" s="1"/>
  <c r="I127" i="2"/>
  <c r="O103" i="2"/>
  <c r="M132" i="2"/>
  <c r="M133" i="2"/>
  <c r="M134" i="2"/>
  <c r="M135" i="2"/>
  <c r="M136" i="2"/>
  <c r="M137" i="2"/>
  <c r="M138" i="2"/>
  <c r="M122" i="2"/>
  <c r="M123" i="2"/>
  <c r="M124" i="2"/>
  <c r="M125" i="2"/>
  <c r="M126" i="2"/>
  <c r="M127" i="2"/>
  <c r="M128" i="2"/>
  <c r="M129" i="2"/>
  <c r="M130" i="2"/>
  <c r="M131" i="2"/>
  <c r="M116" i="2"/>
  <c r="M117" i="2"/>
  <c r="M118" i="2"/>
  <c r="M119" i="2"/>
  <c r="M120" i="2"/>
  <c r="M121" i="2"/>
  <c r="M95" i="2"/>
  <c r="K138" i="2"/>
  <c r="K132" i="2"/>
  <c r="K133" i="2"/>
  <c r="K134" i="2"/>
  <c r="K135" i="2"/>
  <c r="K136" i="2"/>
  <c r="K137" i="2"/>
  <c r="K121" i="2"/>
  <c r="K122" i="2"/>
  <c r="K123" i="2"/>
  <c r="K124" i="2"/>
  <c r="K125" i="2"/>
  <c r="K126" i="2"/>
  <c r="K127" i="2"/>
  <c r="K128" i="2"/>
  <c r="K129" i="2"/>
  <c r="K130" i="2"/>
  <c r="K131" i="2"/>
  <c r="K88" i="2"/>
  <c r="I120" i="2"/>
  <c r="I121" i="2"/>
  <c r="I122" i="2"/>
  <c r="I123" i="2"/>
  <c r="I124" i="2"/>
  <c r="I125" i="2"/>
  <c r="I126" i="2"/>
  <c r="I88" i="2"/>
  <c r="G117" i="2"/>
  <c r="G118" i="2"/>
  <c r="G119" i="2"/>
  <c r="G120" i="2"/>
  <c r="G121" i="2"/>
  <c r="G122" i="2"/>
  <c r="G123" i="2"/>
  <c r="G113" i="2"/>
  <c r="G114" i="2"/>
  <c r="G115" i="2"/>
  <c r="G116" i="2"/>
  <c r="G88" i="2"/>
  <c r="E112" i="2"/>
  <c r="E113" i="2"/>
  <c r="E114" i="2"/>
  <c r="E115" i="2"/>
  <c r="E116" i="2"/>
  <c r="E117" i="2"/>
  <c r="E118" i="2"/>
  <c r="E119" i="2"/>
  <c r="E120" i="2"/>
  <c r="E110" i="2"/>
  <c r="E111" i="2"/>
  <c r="E88" i="2"/>
  <c r="C102" i="2"/>
  <c r="C103" i="2"/>
  <c r="C104" i="2"/>
  <c r="C105" i="2"/>
  <c r="C106" i="2"/>
  <c r="C96" i="2"/>
  <c r="C97" i="2"/>
  <c r="C98" i="2"/>
  <c r="C99" i="2"/>
  <c r="C100" i="2"/>
  <c r="C101" i="2"/>
  <c r="C89" i="2"/>
  <c r="C90" i="2"/>
  <c r="C91" i="2"/>
  <c r="C92" i="2"/>
  <c r="C93" i="2"/>
  <c r="C94" i="2"/>
  <c r="C95" i="2"/>
  <c r="C88" i="2"/>
  <c r="B107" i="2"/>
  <c r="B108" i="2" s="1"/>
  <c r="N104" i="2"/>
  <c r="O104" i="2" s="1"/>
  <c r="L96" i="2"/>
  <c r="L97" i="2" s="1"/>
  <c r="M97" i="2" s="1"/>
  <c r="J89" i="2"/>
  <c r="J90" i="2" s="1"/>
  <c r="K90" i="2" s="1"/>
  <c r="O26" i="2"/>
  <c r="K11" i="2"/>
  <c r="L19" i="2"/>
  <c r="J12" i="2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N27" i="2"/>
  <c r="N28" i="2" s="1"/>
  <c r="N29" i="2" s="1"/>
  <c r="N30" i="2" s="1"/>
  <c r="N31" i="2" s="1"/>
  <c r="N32" i="2" s="1"/>
  <c r="E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4" i="2"/>
  <c r="Q65" i="7" l="1"/>
  <c r="P66" i="7"/>
  <c r="CD123" i="7"/>
  <c r="CE122" i="7"/>
  <c r="I52" i="4"/>
  <c r="M52" i="4"/>
  <c r="E52" i="4"/>
  <c r="C52" i="4"/>
  <c r="K52" i="4"/>
  <c r="G52" i="4"/>
  <c r="R120" i="7"/>
  <c r="S119" i="7"/>
  <c r="AE74" i="6"/>
  <c r="AD75" i="6"/>
  <c r="C97" i="5"/>
  <c r="G162" i="2"/>
  <c r="C96" i="4"/>
  <c r="I96" i="4"/>
  <c r="M96" i="4"/>
  <c r="E96" i="4"/>
  <c r="K96" i="4"/>
  <c r="S12" i="7"/>
  <c r="R13" i="7"/>
  <c r="U119" i="7"/>
  <c r="T120" i="7"/>
  <c r="A11" i="4"/>
  <c r="C10" i="4"/>
  <c r="E10" i="4"/>
  <c r="I10" i="4"/>
  <c r="M10" i="4"/>
  <c r="D12" i="7"/>
  <c r="E11" i="7"/>
  <c r="K168" i="2"/>
  <c r="L151" i="3"/>
  <c r="M151" i="3" s="1"/>
  <c r="U74" i="6"/>
  <c r="T75" i="6"/>
  <c r="U75" i="6" s="1"/>
  <c r="D119" i="7"/>
  <c r="E118" i="7"/>
  <c r="AA75" i="6"/>
  <c r="Z76" i="6"/>
  <c r="E161" i="2"/>
  <c r="E247" i="2"/>
  <c r="G247" i="2"/>
  <c r="I53" i="5"/>
  <c r="G53" i="5"/>
  <c r="N107" i="3"/>
  <c r="O106" i="3"/>
  <c r="BL118" i="7"/>
  <c r="BM117" i="7"/>
  <c r="M175" i="2"/>
  <c r="I141" i="4"/>
  <c r="C141" i="4"/>
  <c r="G141" i="4"/>
  <c r="K141" i="4"/>
  <c r="E141" i="4"/>
  <c r="I97" i="5"/>
  <c r="G97" i="5"/>
  <c r="AC73" i="6"/>
  <c r="AB74" i="6"/>
  <c r="H102" i="5"/>
  <c r="C53" i="5"/>
  <c r="B54" i="5"/>
  <c r="R67" i="7"/>
  <c r="S66" i="7"/>
  <c r="CV127" i="7"/>
  <c r="CW126" i="7"/>
  <c r="CM96" i="7"/>
  <c r="CO96" i="7" s="1"/>
  <c r="CQ96" i="7" s="1"/>
  <c r="CS96" i="7" s="1"/>
  <c r="CK97" i="7"/>
  <c r="CP68" i="7"/>
  <c r="CQ67" i="7"/>
  <c r="CN119" i="7"/>
  <c r="CO118" i="7"/>
  <c r="CT69" i="7"/>
  <c r="CU68" i="7"/>
  <c r="CT122" i="7"/>
  <c r="CU121" i="7"/>
  <c r="CN14" i="7"/>
  <c r="CO13" i="7"/>
  <c r="CR122" i="7"/>
  <c r="CS121" i="7"/>
  <c r="CJ66" i="7"/>
  <c r="CK65" i="7"/>
  <c r="CM11" i="7"/>
  <c r="CL12" i="7"/>
  <c r="CT16" i="7"/>
  <c r="CU15" i="7"/>
  <c r="CR17" i="7"/>
  <c r="CS16" i="7"/>
  <c r="CL120" i="7"/>
  <c r="CM119" i="7"/>
  <c r="CN66" i="7"/>
  <c r="CO65" i="7"/>
  <c r="CR69" i="7"/>
  <c r="CS68" i="7"/>
  <c r="CJ12" i="7"/>
  <c r="CK11" i="7"/>
  <c r="CP121" i="7"/>
  <c r="CQ120" i="7"/>
  <c r="CL67" i="7"/>
  <c r="CM66" i="7"/>
  <c r="CJ119" i="7"/>
  <c r="CK118" i="7"/>
  <c r="CQ14" i="7"/>
  <c r="CP15" i="7"/>
  <c r="CF69" i="7"/>
  <c r="CG68" i="7"/>
  <c r="CD17" i="7"/>
  <c r="CE16" i="7"/>
  <c r="CG23" i="7"/>
  <c r="CG17" i="7"/>
  <c r="BZ13" i="7"/>
  <c r="CA12" i="7"/>
  <c r="CB121" i="7"/>
  <c r="CC120" i="7"/>
  <c r="BZ120" i="7"/>
  <c r="CA119" i="7"/>
  <c r="BX119" i="7"/>
  <c r="BY118" i="7"/>
  <c r="CC66" i="7"/>
  <c r="CB67" i="7"/>
  <c r="BY64" i="7"/>
  <c r="BX65" i="7"/>
  <c r="BX12" i="7"/>
  <c r="BY11" i="7"/>
  <c r="BV120" i="7"/>
  <c r="BW119" i="7"/>
  <c r="BV13" i="7"/>
  <c r="BW12" i="7"/>
  <c r="BZ67" i="7"/>
  <c r="CA66" i="7"/>
  <c r="CB15" i="7"/>
  <c r="CC14" i="7"/>
  <c r="BV67" i="7"/>
  <c r="BW66" i="7"/>
  <c r="BL67" i="7"/>
  <c r="BM66" i="7"/>
  <c r="BP121" i="7"/>
  <c r="BQ120" i="7"/>
  <c r="BQ13" i="7"/>
  <c r="BP14" i="7"/>
  <c r="BK118" i="7"/>
  <c r="BJ119" i="7"/>
  <c r="BK65" i="7"/>
  <c r="BJ66" i="7"/>
  <c r="BO66" i="7"/>
  <c r="BN67" i="7"/>
  <c r="BJ14" i="7"/>
  <c r="BK13" i="7"/>
  <c r="BN14" i="7"/>
  <c r="BO13" i="7"/>
  <c r="BO119" i="7"/>
  <c r="BN120" i="7"/>
  <c r="BM12" i="7"/>
  <c r="BL13" i="7"/>
  <c r="AR68" i="7"/>
  <c r="AS67" i="7"/>
  <c r="BB15" i="7"/>
  <c r="BC14" i="7"/>
  <c r="BD68" i="7"/>
  <c r="BE67" i="7"/>
  <c r="BB67" i="7"/>
  <c r="BC66" i="7"/>
  <c r="AX67" i="7"/>
  <c r="AY66" i="7"/>
  <c r="BA12" i="7"/>
  <c r="AZ13" i="7"/>
  <c r="BC119" i="7"/>
  <c r="BB120" i="7"/>
  <c r="AZ66" i="7"/>
  <c r="BA65" i="7"/>
  <c r="AX13" i="7"/>
  <c r="AY12" i="7"/>
  <c r="BD121" i="7"/>
  <c r="BE120" i="7"/>
  <c r="AZ119" i="7"/>
  <c r="BA118" i="7"/>
  <c r="BE13" i="7"/>
  <c r="BD14" i="7"/>
  <c r="AY118" i="7"/>
  <c r="AX119" i="7"/>
  <c r="AN67" i="7"/>
  <c r="AO66" i="7"/>
  <c r="AN120" i="7"/>
  <c r="AO119" i="7"/>
  <c r="AL12" i="7"/>
  <c r="AM11" i="7"/>
  <c r="AR121" i="7"/>
  <c r="AS120" i="7"/>
  <c r="AL119" i="7"/>
  <c r="AM118" i="7"/>
  <c r="AP14" i="7"/>
  <c r="AQ13" i="7"/>
  <c r="AL66" i="7"/>
  <c r="AM65" i="7"/>
  <c r="AP119" i="7"/>
  <c r="AQ118" i="7"/>
  <c r="AP66" i="7"/>
  <c r="AQ65" i="7"/>
  <c r="AR15" i="7"/>
  <c r="AS14" i="7"/>
  <c r="AN12" i="7"/>
  <c r="AO11" i="7"/>
  <c r="AB66" i="7"/>
  <c r="AC65" i="7"/>
  <c r="AF121" i="7"/>
  <c r="AG120" i="7"/>
  <c r="AD121" i="7"/>
  <c r="AE120" i="7"/>
  <c r="Z66" i="7"/>
  <c r="AA65" i="7"/>
  <c r="Z119" i="7"/>
  <c r="AA118" i="7"/>
  <c r="AD68" i="7"/>
  <c r="AE67" i="7"/>
  <c r="AF15" i="7"/>
  <c r="AG15" i="7" s="1"/>
  <c r="AG14" i="7"/>
  <c r="AB119" i="7"/>
  <c r="AC118" i="7"/>
  <c r="Z13" i="7"/>
  <c r="AA12" i="7"/>
  <c r="AB13" i="7"/>
  <c r="AC12" i="7"/>
  <c r="AD15" i="7"/>
  <c r="AE14" i="7"/>
  <c r="T15" i="7"/>
  <c r="U14" i="7"/>
  <c r="Q118" i="7"/>
  <c r="P119" i="7"/>
  <c r="O12" i="7"/>
  <c r="N13" i="7"/>
  <c r="O66" i="7"/>
  <c r="O65" i="7"/>
  <c r="N119" i="7"/>
  <c r="O118" i="7"/>
  <c r="Q12" i="7"/>
  <c r="P13" i="7"/>
  <c r="B119" i="7"/>
  <c r="C17" i="7"/>
  <c r="C15" i="7"/>
  <c r="B66" i="7"/>
  <c r="C66" i="7" s="1"/>
  <c r="G17" i="7"/>
  <c r="G12" i="7"/>
  <c r="V74" i="6"/>
  <c r="W73" i="6"/>
  <c r="S73" i="6"/>
  <c r="R74" i="6"/>
  <c r="AL73" i="6"/>
  <c r="AM73" i="6" s="1"/>
  <c r="AH73" i="6"/>
  <c r="AI73" i="6" s="1"/>
  <c r="AJ71" i="6"/>
  <c r="AK71" i="6" s="1"/>
  <c r="Y79" i="6"/>
  <c r="AA78" i="6"/>
  <c r="AC78" i="6"/>
  <c r="AE78" i="6"/>
  <c r="Q78" i="6"/>
  <c r="S77" i="6"/>
  <c r="U77" i="6"/>
  <c r="W77" i="6"/>
  <c r="AG81" i="6"/>
  <c r="AK80" i="6"/>
  <c r="AI80" i="6"/>
  <c r="M45" i="6"/>
  <c r="AL41" i="6"/>
  <c r="AM41" i="6" s="1"/>
  <c r="AA45" i="6"/>
  <c r="Q50" i="6"/>
  <c r="S49" i="6"/>
  <c r="U49" i="6"/>
  <c r="W49" i="6"/>
  <c r="AH43" i="6"/>
  <c r="AI43" i="6" s="1"/>
  <c r="AE45" i="6"/>
  <c r="AJ41" i="6"/>
  <c r="AK41" i="6" s="1"/>
  <c r="AG53" i="6"/>
  <c r="AI52" i="6"/>
  <c r="AK52" i="6"/>
  <c r="AM52" i="6"/>
  <c r="AC45" i="6"/>
  <c r="Y52" i="6"/>
  <c r="AE51" i="6"/>
  <c r="A15" i="6"/>
  <c r="G14" i="6"/>
  <c r="C14" i="6"/>
  <c r="E14" i="6"/>
  <c r="AK10" i="6"/>
  <c r="E44" i="6"/>
  <c r="C44" i="6"/>
  <c r="G44" i="6"/>
  <c r="E75" i="6"/>
  <c r="C75" i="6"/>
  <c r="V14" i="6"/>
  <c r="W14" i="6" s="1"/>
  <c r="W13" i="6"/>
  <c r="AG15" i="6"/>
  <c r="AI14" i="6"/>
  <c r="AM14" i="6"/>
  <c r="Q16" i="6"/>
  <c r="W15" i="6"/>
  <c r="U15" i="6"/>
  <c r="S15" i="6"/>
  <c r="AC14" i="6"/>
  <c r="AE15" i="6"/>
  <c r="AA15" i="6"/>
  <c r="I76" i="6"/>
  <c r="O75" i="6"/>
  <c r="K75" i="6"/>
  <c r="J76" i="6"/>
  <c r="B78" i="6"/>
  <c r="A76" i="6"/>
  <c r="G75" i="6"/>
  <c r="F79" i="6"/>
  <c r="D78" i="6"/>
  <c r="M75" i="6"/>
  <c r="N76" i="6"/>
  <c r="J47" i="6"/>
  <c r="K47" i="6" s="1"/>
  <c r="M46" i="6"/>
  <c r="N47" i="6"/>
  <c r="O47" i="6" s="1"/>
  <c r="F48" i="6"/>
  <c r="B48" i="6"/>
  <c r="A45" i="6"/>
  <c r="D48" i="6"/>
  <c r="I15" i="6"/>
  <c r="K14" i="6"/>
  <c r="O14" i="6"/>
  <c r="M14" i="6"/>
  <c r="B18" i="6"/>
  <c r="F101" i="5"/>
  <c r="D99" i="5"/>
  <c r="K97" i="5"/>
  <c r="M97" i="5"/>
  <c r="A98" i="5"/>
  <c r="C98" i="5" s="1"/>
  <c r="B99" i="5"/>
  <c r="D55" i="5"/>
  <c r="F57" i="5"/>
  <c r="K53" i="5"/>
  <c r="M53" i="5"/>
  <c r="A54" i="5"/>
  <c r="E54" i="5" s="1"/>
  <c r="G9" i="5"/>
  <c r="A10" i="5"/>
  <c r="C9" i="5"/>
  <c r="E9" i="5"/>
  <c r="K9" i="5"/>
  <c r="M9" i="5"/>
  <c r="I9" i="5"/>
  <c r="M141" i="4"/>
  <c r="A142" i="4"/>
  <c r="A97" i="4"/>
  <c r="A53" i="4"/>
  <c r="J12" i="4"/>
  <c r="K11" i="4"/>
  <c r="D148" i="3"/>
  <c r="E148" i="3" s="1"/>
  <c r="H149" i="3"/>
  <c r="I149" i="3" s="1"/>
  <c r="F148" i="3"/>
  <c r="G148" i="3" s="1"/>
  <c r="J150" i="3"/>
  <c r="K150" i="3" s="1"/>
  <c r="I57" i="3"/>
  <c r="H58" i="3"/>
  <c r="L106" i="3"/>
  <c r="M106" i="3" s="1"/>
  <c r="H104" i="3"/>
  <c r="I104" i="3" s="1"/>
  <c r="D102" i="3"/>
  <c r="E102" i="3" s="1"/>
  <c r="J105" i="3"/>
  <c r="K105" i="3" s="1"/>
  <c r="F103" i="3"/>
  <c r="G103" i="3" s="1"/>
  <c r="J59" i="3"/>
  <c r="K59" i="3" s="1"/>
  <c r="L60" i="3"/>
  <c r="M60" i="3" s="1"/>
  <c r="F57" i="3"/>
  <c r="G57" i="3" s="1"/>
  <c r="D57" i="3"/>
  <c r="E57" i="3" s="1"/>
  <c r="E10" i="3"/>
  <c r="D11" i="3"/>
  <c r="O19" i="3"/>
  <c r="K12" i="3"/>
  <c r="I11" i="3"/>
  <c r="G10" i="3"/>
  <c r="M13" i="3"/>
  <c r="G11" i="3"/>
  <c r="M366" i="2"/>
  <c r="M365" i="2"/>
  <c r="B352" i="2"/>
  <c r="B353" i="2" s="1"/>
  <c r="B354" i="2" s="1"/>
  <c r="B355" i="2" s="1"/>
  <c r="C355" i="2" s="1"/>
  <c r="O383" i="2"/>
  <c r="O382" i="2"/>
  <c r="I247" i="2"/>
  <c r="H249" i="2"/>
  <c r="I249" i="2" s="1"/>
  <c r="D249" i="2"/>
  <c r="E249" i="2" s="1"/>
  <c r="F249" i="2"/>
  <c r="G249" i="2" s="1"/>
  <c r="B266" i="2"/>
  <c r="C266" i="2" s="1"/>
  <c r="B109" i="2"/>
  <c r="C108" i="2"/>
  <c r="C107" i="2"/>
  <c r="K89" i="2"/>
  <c r="N105" i="2"/>
  <c r="N184" i="2"/>
  <c r="N185" i="2" s="1"/>
  <c r="O185" i="2" s="1"/>
  <c r="M96" i="2"/>
  <c r="N186" i="2"/>
  <c r="L177" i="2"/>
  <c r="M177" i="2" s="1"/>
  <c r="J170" i="2"/>
  <c r="K170" i="2" s="1"/>
  <c r="F164" i="2"/>
  <c r="G164" i="2" s="1"/>
  <c r="D163" i="2"/>
  <c r="E163" i="2" s="1"/>
  <c r="H166" i="2"/>
  <c r="I166" i="2" s="1"/>
  <c r="O184" i="2"/>
  <c r="J91" i="2"/>
  <c r="K91" i="2" s="1"/>
  <c r="L98" i="2"/>
  <c r="M98" i="2" s="1"/>
  <c r="K45" i="2"/>
  <c r="L20" i="2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G25" i="2"/>
  <c r="F26" i="2"/>
  <c r="G22" i="2"/>
  <c r="M18" i="2"/>
  <c r="M19" i="2"/>
  <c r="G46" i="2"/>
  <c r="G44" i="2"/>
  <c r="G45" i="2"/>
  <c r="G43" i="2"/>
  <c r="E5" i="2"/>
  <c r="G6" i="2"/>
  <c r="AO72" i="1"/>
  <c r="AO63" i="1"/>
  <c r="AO57" i="1"/>
  <c r="AO45" i="1"/>
  <c r="AO34" i="1"/>
  <c r="AN25" i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L72" i="1"/>
  <c r="AL63" i="1"/>
  <c r="AL45" i="1"/>
  <c r="AL25" i="1"/>
  <c r="AL26" i="1"/>
  <c r="AL29" i="1"/>
  <c r="AL36" i="1"/>
  <c r="AK25" i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58" i="1" s="1"/>
  <c r="AK59" i="1" s="1"/>
  <c r="AK60" i="1" s="1"/>
  <c r="AK61" i="1" s="1"/>
  <c r="AK62" i="1" s="1"/>
  <c r="AK63" i="1" s="1"/>
  <c r="AK64" i="1" s="1"/>
  <c r="AK65" i="1" s="1"/>
  <c r="AK66" i="1" s="1"/>
  <c r="AK67" i="1" s="1"/>
  <c r="AK68" i="1" s="1"/>
  <c r="AK69" i="1" s="1"/>
  <c r="AK70" i="1" s="1"/>
  <c r="AI63" i="1"/>
  <c r="AI45" i="1"/>
  <c r="AI82" i="1"/>
  <c r="AI72" i="1"/>
  <c r="AI26" i="1"/>
  <c r="AI25" i="1"/>
  <c r="AI24" i="1"/>
  <c r="AH25" i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F72" i="1"/>
  <c r="AF63" i="1"/>
  <c r="AF45" i="1"/>
  <c r="AF25" i="1"/>
  <c r="AF24" i="1"/>
  <c r="AE26" i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25" i="1"/>
  <c r="AC63" i="1"/>
  <c r="AC57" i="1"/>
  <c r="AC45" i="1"/>
  <c r="AC25" i="1"/>
  <c r="AC24" i="1"/>
  <c r="AC82" i="1"/>
  <c r="AB78" i="1"/>
  <c r="AB79" i="1"/>
  <c r="AB80" i="1"/>
  <c r="AB81" i="1"/>
  <c r="AB82" i="1"/>
  <c r="AB77" i="1"/>
  <c r="AB43" i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24" i="1"/>
  <c r="Z72" i="1"/>
  <c r="Z82" i="1"/>
  <c r="Z45" i="1"/>
  <c r="Z63" i="1"/>
  <c r="Z57" i="1"/>
  <c r="Z25" i="1"/>
  <c r="Z24" i="1"/>
  <c r="AF9" i="1"/>
  <c r="AF10" i="1"/>
  <c r="AF11" i="1"/>
  <c r="AF12" i="1"/>
  <c r="AF13" i="1"/>
  <c r="AF14" i="1"/>
  <c r="AF15" i="1"/>
  <c r="AF16" i="1"/>
  <c r="AF17" i="1"/>
  <c r="AF18" i="1"/>
  <c r="AF8" i="1"/>
  <c r="AC9" i="1"/>
  <c r="AC10" i="1"/>
  <c r="AC11" i="1"/>
  <c r="AC12" i="1"/>
  <c r="AC13" i="1"/>
  <c r="AC14" i="1"/>
  <c r="AC15" i="1"/>
  <c r="AC16" i="1"/>
  <c r="AC17" i="1"/>
  <c r="AC18" i="1"/>
  <c r="AC8" i="1"/>
  <c r="AF3" i="1"/>
  <c r="AF4" i="1"/>
  <c r="AF5" i="1"/>
  <c r="AF2" i="1"/>
  <c r="AC3" i="1"/>
  <c r="AC4" i="1"/>
  <c r="AC5" i="1"/>
  <c r="AC2" i="1"/>
  <c r="U61" i="1"/>
  <c r="U64" i="1"/>
  <c r="T60" i="1"/>
  <c r="U60" i="1" s="1"/>
  <c r="T61" i="1"/>
  <c r="T62" i="1"/>
  <c r="U62" i="1" s="1"/>
  <c r="T63" i="1"/>
  <c r="U63" i="1" s="1"/>
  <c r="T64" i="1"/>
  <c r="U52" i="1"/>
  <c r="U55" i="1"/>
  <c r="U58" i="1"/>
  <c r="T50" i="1"/>
  <c r="U50" i="1" s="1"/>
  <c r="T51" i="1"/>
  <c r="U51" i="1" s="1"/>
  <c r="T52" i="1"/>
  <c r="T53" i="1"/>
  <c r="U53" i="1" s="1"/>
  <c r="T54" i="1"/>
  <c r="U54" i="1" s="1"/>
  <c r="T55" i="1"/>
  <c r="T56" i="1"/>
  <c r="U56" i="1" s="1"/>
  <c r="T57" i="1"/>
  <c r="U57" i="1" s="1"/>
  <c r="T58" i="1"/>
  <c r="T59" i="1"/>
  <c r="U59" i="1" s="1"/>
  <c r="T49" i="1"/>
  <c r="U49" i="1" s="1"/>
  <c r="V3" i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38" i="1"/>
  <c r="U38" i="1" s="1"/>
  <c r="T37" i="1"/>
  <c r="U37" i="1" s="1"/>
  <c r="T36" i="1"/>
  <c r="U36" i="1" s="1"/>
  <c r="T35" i="1"/>
  <c r="U35" i="1" s="1"/>
  <c r="T34" i="1"/>
  <c r="U34" i="1" s="1"/>
  <c r="T33" i="1"/>
  <c r="U33" i="1" s="1"/>
  <c r="T28" i="1"/>
  <c r="U28" i="1" s="1"/>
  <c r="T27" i="1"/>
  <c r="U27" i="1" s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T20" i="1"/>
  <c r="U20" i="1" s="1"/>
  <c r="T19" i="1"/>
  <c r="U19" i="1" s="1"/>
  <c r="T18" i="1"/>
  <c r="U18" i="1" s="1"/>
  <c r="T17" i="1"/>
  <c r="U17" i="1" s="1"/>
  <c r="T16" i="1"/>
  <c r="U16" i="1" s="1"/>
  <c r="T15" i="1"/>
  <c r="U15" i="1" s="1"/>
  <c r="T14" i="1"/>
  <c r="U14" i="1" s="1"/>
  <c r="T13" i="1"/>
  <c r="U13" i="1" s="1"/>
  <c r="T12" i="1"/>
  <c r="U12" i="1" s="1"/>
  <c r="T11" i="1"/>
  <c r="U11" i="1" s="1"/>
  <c r="U4" i="1"/>
  <c r="T3" i="1"/>
  <c r="U3" i="1" s="1"/>
  <c r="T4" i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2" i="1"/>
  <c r="U2" i="1" s="1"/>
  <c r="C40" i="1"/>
  <c r="C41" i="1" s="1"/>
  <c r="C42" i="1" s="1"/>
  <c r="C43" i="1" s="1"/>
  <c r="C44" i="1" s="1"/>
  <c r="C45" i="1" s="1"/>
  <c r="C46" i="1" s="1"/>
  <c r="C47" i="1" s="1"/>
  <c r="C48" i="1" s="1"/>
  <c r="C49" i="1" s="1"/>
  <c r="L38" i="1"/>
  <c r="L39" i="1"/>
  <c r="O31" i="1"/>
  <c r="O30" i="1"/>
  <c r="O29" i="1"/>
  <c r="O28" i="1"/>
  <c r="O27" i="1"/>
  <c r="B20" i="1"/>
  <c r="L20" i="1" s="1"/>
  <c r="L17" i="1"/>
  <c r="L18" i="1"/>
  <c r="L19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Q25" i="1"/>
  <c r="H16" i="1"/>
  <c r="H10" i="1"/>
  <c r="H4" i="1"/>
  <c r="G4" i="1"/>
  <c r="G7" i="1"/>
  <c r="H7" i="1" s="1"/>
  <c r="G10" i="1"/>
  <c r="G13" i="1"/>
  <c r="H13" i="1" s="1"/>
  <c r="G16" i="1"/>
  <c r="G19" i="1"/>
  <c r="H19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3" i="1"/>
  <c r="C3" i="1"/>
  <c r="P26" i="1" s="1"/>
  <c r="C4" i="1"/>
  <c r="G5" i="1" s="1"/>
  <c r="H5" i="1" s="1"/>
  <c r="C5" i="1"/>
  <c r="G6" i="1" s="1"/>
  <c r="H6" i="1" s="1"/>
  <c r="C6" i="1"/>
  <c r="C7" i="1"/>
  <c r="G8" i="1" s="1"/>
  <c r="H8" i="1" s="1"/>
  <c r="C8" i="1"/>
  <c r="G9" i="1" s="1"/>
  <c r="H9" i="1" s="1"/>
  <c r="C9" i="1"/>
  <c r="C10" i="1"/>
  <c r="G11" i="1" s="1"/>
  <c r="H11" i="1" s="1"/>
  <c r="C11" i="1"/>
  <c r="G12" i="1" s="1"/>
  <c r="H12" i="1" s="1"/>
  <c r="C12" i="1"/>
  <c r="C13" i="1"/>
  <c r="G14" i="1" s="1"/>
  <c r="H14" i="1" s="1"/>
  <c r="C14" i="1"/>
  <c r="G15" i="1" s="1"/>
  <c r="H15" i="1" s="1"/>
  <c r="C15" i="1"/>
  <c r="C16" i="1"/>
  <c r="G17" i="1" s="1"/>
  <c r="H17" i="1" s="1"/>
  <c r="C17" i="1"/>
  <c r="G18" i="1" s="1"/>
  <c r="H18" i="1" s="1"/>
  <c r="C18" i="1"/>
  <c r="C19" i="1"/>
  <c r="C2" i="1"/>
  <c r="K16" i="1" s="1"/>
  <c r="I4" i="1" l="1"/>
  <c r="J10" i="1"/>
  <c r="K5" i="1"/>
  <c r="E97" i="4"/>
  <c r="M97" i="4"/>
  <c r="K97" i="4"/>
  <c r="C97" i="4"/>
  <c r="I97" i="4"/>
  <c r="I5" i="1"/>
  <c r="I11" i="1"/>
  <c r="I17" i="1"/>
  <c r="J5" i="1"/>
  <c r="J11" i="1"/>
  <c r="J17" i="1"/>
  <c r="K6" i="1"/>
  <c r="K12" i="1"/>
  <c r="K18" i="1"/>
  <c r="B356" i="2"/>
  <c r="B357" i="2" s="1"/>
  <c r="K142" i="4"/>
  <c r="E142" i="4"/>
  <c r="I142" i="4"/>
  <c r="C142" i="4"/>
  <c r="M142" i="4"/>
  <c r="G142" i="4"/>
  <c r="AC74" i="6"/>
  <c r="AB75" i="6"/>
  <c r="BM118" i="7"/>
  <c r="BL119" i="7"/>
  <c r="E98" i="5"/>
  <c r="J16" i="1"/>
  <c r="R121" i="7"/>
  <c r="S120" i="7"/>
  <c r="I6" i="1"/>
  <c r="I12" i="1"/>
  <c r="I18" i="1"/>
  <c r="J6" i="1"/>
  <c r="J12" i="1"/>
  <c r="J18" i="1"/>
  <c r="K7" i="1"/>
  <c r="K13" i="1"/>
  <c r="K19" i="1"/>
  <c r="B21" i="1"/>
  <c r="L152" i="3"/>
  <c r="M152" i="3" s="1"/>
  <c r="S74" i="6"/>
  <c r="R75" i="6"/>
  <c r="S75" i="6" s="1"/>
  <c r="S67" i="7"/>
  <c r="R68" i="7"/>
  <c r="E119" i="7"/>
  <c r="D120" i="7"/>
  <c r="A12" i="4"/>
  <c r="E11" i="4"/>
  <c r="C11" i="4"/>
  <c r="I11" i="4"/>
  <c r="M11" i="4"/>
  <c r="I16" i="1"/>
  <c r="C54" i="5"/>
  <c r="B55" i="5"/>
  <c r="N108" i="3"/>
  <c r="O107" i="3"/>
  <c r="D13" i="7"/>
  <c r="E12" i="7"/>
  <c r="T121" i="7"/>
  <c r="U120" i="7"/>
  <c r="AE75" i="6"/>
  <c r="AD76" i="6"/>
  <c r="CD124" i="7"/>
  <c r="CE123" i="7"/>
  <c r="J4" i="1"/>
  <c r="I7" i="1"/>
  <c r="I19" i="1"/>
  <c r="J13" i="1"/>
  <c r="K8" i="1"/>
  <c r="K3" i="1"/>
  <c r="M53" i="4"/>
  <c r="C53" i="4"/>
  <c r="K53" i="4"/>
  <c r="E53" i="4"/>
  <c r="I53" i="4"/>
  <c r="G53" i="4"/>
  <c r="I2" i="1"/>
  <c r="I8" i="1"/>
  <c r="I14" i="1"/>
  <c r="J2" i="1"/>
  <c r="J8" i="1"/>
  <c r="J14" i="1"/>
  <c r="K2" i="1"/>
  <c r="K9" i="1"/>
  <c r="K15" i="1"/>
  <c r="P25" i="1"/>
  <c r="G97" i="4"/>
  <c r="Q66" i="7"/>
  <c r="P67" i="7"/>
  <c r="I10" i="1"/>
  <c r="K11" i="1"/>
  <c r="K17" i="1"/>
  <c r="I13" i="1"/>
  <c r="J7" i="1"/>
  <c r="J19" i="1"/>
  <c r="K14" i="1"/>
  <c r="G3" i="1"/>
  <c r="H3" i="1" s="1"/>
  <c r="I3" i="1"/>
  <c r="I9" i="1"/>
  <c r="I15" i="1"/>
  <c r="J3" i="1"/>
  <c r="J9" i="1"/>
  <c r="J15" i="1"/>
  <c r="K4" i="1"/>
  <c r="K10" i="1"/>
  <c r="C352" i="2"/>
  <c r="I54" i="5"/>
  <c r="G54" i="5"/>
  <c r="I98" i="5"/>
  <c r="G98" i="5"/>
  <c r="W74" i="6"/>
  <c r="V75" i="6"/>
  <c r="W75" i="6" s="1"/>
  <c r="C119" i="7"/>
  <c r="B120" i="7"/>
  <c r="H103" i="5"/>
  <c r="AA76" i="6"/>
  <c r="Z77" i="6"/>
  <c r="AA77" i="6" s="1"/>
  <c r="S13" i="7"/>
  <c r="R14" i="7"/>
  <c r="CV128" i="7"/>
  <c r="CW127" i="7"/>
  <c r="CU69" i="7"/>
  <c r="CT70" i="7"/>
  <c r="CM97" i="7"/>
  <c r="CO97" i="7" s="1"/>
  <c r="CQ97" i="7" s="1"/>
  <c r="CS97" i="7" s="1"/>
  <c r="CJ120" i="7"/>
  <c r="CK119" i="7"/>
  <c r="CP122" i="7"/>
  <c r="CQ121" i="7"/>
  <c r="CR70" i="7"/>
  <c r="CS69" i="7"/>
  <c r="CL121" i="7"/>
  <c r="CM120" i="7"/>
  <c r="CT17" i="7"/>
  <c r="CU16" i="7"/>
  <c r="CJ67" i="7"/>
  <c r="CK66" i="7"/>
  <c r="CN15" i="7"/>
  <c r="CO14" i="7"/>
  <c r="CP69" i="7"/>
  <c r="CQ68" i="7"/>
  <c r="CL68" i="7"/>
  <c r="CM67" i="7"/>
  <c r="CJ13" i="7"/>
  <c r="CK12" i="7"/>
  <c r="CN67" i="7"/>
  <c r="CO66" i="7"/>
  <c r="CR18" i="7"/>
  <c r="CS17" i="7"/>
  <c r="CR123" i="7"/>
  <c r="CS122" i="7"/>
  <c r="CT123" i="7"/>
  <c r="CU122" i="7"/>
  <c r="CN120" i="7"/>
  <c r="CO119" i="7"/>
  <c r="CP16" i="7"/>
  <c r="CQ15" i="7"/>
  <c r="CM12" i="7"/>
  <c r="CL13" i="7"/>
  <c r="CG75" i="7"/>
  <c r="CG69" i="7"/>
  <c r="CE17" i="7"/>
  <c r="CD18" i="7"/>
  <c r="CB16" i="7"/>
  <c r="CC15" i="7"/>
  <c r="BV14" i="7"/>
  <c r="BW13" i="7"/>
  <c r="BX13" i="7"/>
  <c r="BY12" i="7"/>
  <c r="BZ121" i="7"/>
  <c r="CA120" i="7"/>
  <c r="BZ14" i="7"/>
  <c r="CA13" i="7"/>
  <c r="CC67" i="7"/>
  <c r="CB68" i="7"/>
  <c r="BV68" i="7"/>
  <c r="BW67" i="7"/>
  <c r="BZ68" i="7"/>
  <c r="CA67" i="7"/>
  <c r="BV121" i="7"/>
  <c r="BW120" i="7"/>
  <c r="BX120" i="7"/>
  <c r="BY119" i="7"/>
  <c r="CB122" i="7"/>
  <c r="CC121" i="7"/>
  <c r="BY65" i="7"/>
  <c r="BX66" i="7"/>
  <c r="BN15" i="7"/>
  <c r="BO14" i="7"/>
  <c r="BL68" i="7"/>
  <c r="BM67" i="7"/>
  <c r="BM13" i="7"/>
  <c r="BL14" i="7"/>
  <c r="BK66" i="7"/>
  <c r="BJ67" i="7"/>
  <c r="BQ14" i="7"/>
  <c r="BP15" i="7"/>
  <c r="BQ15" i="7" s="1"/>
  <c r="BJ15" i="7"/>
  <c r="BK14" i="7"/>
  <c r="BP122" i="7"/>
  <c r="BQ122" i="7" s="1"/>
  <c r="BQ121" i="7"/>
  <c r="BO120" i="7"/>
  <c r="BN121" i="7"/>
  <c r="BO67" i="7"/>
  <c r="BN68" i="7"/>
  <c r="BK119" i="7"/>
  <c r="BJ120" i="7"/>
  <c r="AS15" i="7"/>
  <c r="AR16" i="7"/>
  <c r="AR69" i="7"/>
  <c r="AS69" i="7" s="1"/>
  <c r="AS68" i="7"/>
  <c r="BD122" i="7"/>
  <c r="BE121" i="7"/>
  <c r="AZ67" i="7"/>
  <c r="BA66" i="7"/>
  <c r="BB68" i="7"/>
  <c r="BC67" i="7"/>
  <c r="BB16" i="7"/>
  <c r="BC15" i="7"/>
  <c r="BE14" i="7"/>
  <c r="BD15" i="7"/>
  <c r="BA13" i="7"/>
  <c r="AZ14" i="7"/>
  <c r="AZ120" i="7"/>
  <c r="BA119" i="7"/>
  <c r="AX14" i="7"/>
  <c r="AY13" i="7"/>
  <c r="AX68" i="7"/>
  <c r="AY67" i="7"/>
  <c r="BD69" i="7"/>
  <c r="BE68" i="7"/>
  <c r="AY119" i="7"/>
  <c r="AX120" i="7"/>
  <c r="BC120" i="7"/>
  <c r="BB121" i="7"/>
  <c r="AN13" i="7"/>
  <c r="AO12" i="7"/>
  <c r="AP67" i="7"/>
  <c r="AQ66" i="7"/>
  <c r="AL67" i="7"/>
  <c r="AM66" i="7"/>
  <c r="AL120" i="7"/>
  <c r="AM119" i="7"/>
  <c r="AL13" i="7"/>
  <c r="AM12" i="7"/>
  <c r="AO67" i="7"/>
  <c r="AN68" i="7"/>
  <c r="AP120" i="7"/>
  <c r="AQ119" i="7"/>
  <c r="AP15" i="7"/>
  <c r="AQ14" i="7"/>
  <c r="AR122" i="7"/>
  <c r="AS121" i="7"/>
  <c r="AN121" i="7"/>
  <c r="AO120" i="7"/>
  <c r="AD16" i="7"/>
  <c r="AE15" i="7"/>
  <c r="Z14" i="7"/>
  <c r="AA13" i="7"/>
  <c r="Z120" i="7"/>
  <c r="AA119" i="7"/>
  <c r="AD122" i="7"/>
  <c r="AE121" i="7"/>
  <c r="AB67" i="7"/>
  <c r="AC66" i="7"/>
  <c r="AB14" i="7"/>
  <c r="AC13" i="7"/>
  <c r="AB120" i="7"/>
  <c r="AC119" i="7"/>
  <c r="AD69" i="7"/>
  <c r="AE69" i="7" s="1"/>
  <c r="AE68" i="7"/>
  <c r="Z67" i="7"/>
  <c r="AA66" i="7"/>
  <c r="AF122" i="7"/>
  <c r="AG122" i="7" s="1"/>
  <c r="AG121" i="7"/>
  <c r="U17" i="7"/>
  <c r="U15" i="7"/>
  <c r="N14" i="7"/>
  <c r="O13" i="7"/>
  <c r="P14" i="7"/>
  <c r="Q13" i="7"/>
  <c r="P120" i="7"/>
  <c r="Q119" i="7"/>
  <c r="O119" i="7"/>
  <c r="N120" i="7"/>
  <c r="AJ72" i="6"/>
  <c r="AK72" i="6" s="1"/>
  <c r="AL74" i="6"/>
  <c r="AM74" i="6" s="1"/>
  <c r="AG82" i="6"/>
  <c r="AI81" i="6"/>
  <c r="AK81" i="6"/>
  <c r="AM81" i="6"/>
  <c r="Q79" i="6"/>
  <c r="S78" i="6"/>
  <c r="U78" i="6"/>
  <c r="W78" i="6"/>
  <c r="Y80" i="6"/>
  <c r="AA79" i="6"/>
  <c r="AC79" i="6"/>
  <c r="AE79" i="6"/>
  <c r="AH74" i="6"/>
  <c r="AI74" i="6" s="1"/>
  <c r="Y53" i="6"/>
  <c r="AA52" i="6"/>
  <c r="AC52" i="6"/>
  <c r="AE52" i="6"/>
  <c r="AJ42" i="6"/>
  <c r="AK42" i="6" s="1"/>
  <c r="AH44" i="6"/>
  <c r="AI44" i="6" s="1"/>
  <c r="S50" i="6"/>
  <c r="Q51" i="6"/>
  <c r="U50" i="6"/>
  <c r="W50" i="6"/>
  <c r="AL42" i="6"/>
  <c r="AM42" i="6" s="1"/>
  <c r="AI53" i="6"/>
  <c r="AK53" i="6"/>
  <c r="AM53" i="6"/>
  <c r="AE46" i="6"/>
  <c r="AA46" i="6"/>
  <c r="AC46" i="6"/>
  <c r="A16" i="6"/>
  <c r="E15" i="6"/>
  <c r="C15" i="6"/>
  <c r="G15" i="6"/>
  <c r="AK11" i="6"/>
  <c r="E45" i="6"/>
  <c r="C45" i="6"/>
  <c r="G45" i="6"/>
  <c r="E76" i="6"/>
  <c r="C76" i="6"/>
  <c r="AG16" i="6"/>
  <c r="AM15" i="6"/>
  <c r="AI15" i="6"/>
  <c r="Q17" i="6"/>
  <c r="W16" i="6"/>
  <c r="U16" i="6"/>
  <c r="S16" i="6"/>
  <c r="AA16" i="6"/>
  <c r="AE16" i="6"/>
  <c r="AC15" i="6"/>
  <c r="I77" i="6"/>
  <c r="O76" i="6"/>
  <c r="K76" i="6"/>
  <c r="M76" i="6"/>
  <c r="J77" i="6"/>
  <c r="A77" i="6"/>
  <c r="G76" i="6"/>
  <c r="D79" i="6"/>
  <c r="F80" i="6"/>
  <c r="N77" i="6"/>
  <c r="N78" i="6" s="1"/>
  <c r="N79" i="6" s="1"/>
  <c r="N80" i="6" s="1"/>
  <c r="B79" i="6"/>
  <c r="M47" i="6"/>
  <c r="B49" i="6"/>
  <c r="D49" i="6"/>
  <c r="A46" i="6"/>
  <c r="F49" i="6"/>
  <c r="I16" i="6"/>
  <c r="O15" i="6"/>
  <c r="K15" i="6"/>
  <c r="M15" i="6"/>
  <c r="B19" i="6"/>
  <c r="B20" i="6" s="1"/>
  <c r="B21" i="6" s="1"/>
  <c r="B100" i="5"/>
  <c r="M98" i="5"/>
  <c r="A99" i="5"/>
  <c r="K98" i="5"/>
  <c r="D100" i="5"/>
  <c r="F102" i="5"/>
  <c r="D56" i="5"/>
  <c r="M54" i="5"/>
  <c r="A55" i="5"/>
  <c r="E55" i="5" s="1"/>
  <c r="K54" i="5"/>
  <c r="F58" i="5"/>
  <c r="C10" i="5"/>
  <c r="E10" i="5"/>
  <c r="A11" i="5"/>
  <c r="M10" i="5"/>
  <c r="K10" i="5"/>
  <c r="I10" i="5"/>
  <c r="G10" i="5"/>
  <c r="A143" i="4"/>
  <c r="A98" i="4"/>
  <c r="G98" i="4" s="1"/>
  <c r="A54" i="4"/>
  <c r="K12" i="4"/>
  <c r="J13" i="4"/>
  <c r="H150" i="3"/>
  <c r="I150" i="3" s="1"/>
  <c r="J151" i="3"/>
  <c r="K151" i="3" s="1"/>
  <c r="D149" i="3"/>
  <c r="E149" i="3" s="1"/>
  <c r="F149" i="3"/>
  <c r="G149" i="3" s="1"/>
  <c r="L153" i="3"/>
  <c r="M153" i="3" s="1"/>
  <c r="I58" i="3"/>
  <c r="H59" i="3"/>
  <c r="H105" i="3"/>
  <c r="I105" i="3" s="1"/>
  <c r="D103" i="3"/>
  <c r="E103" i="3" s="1"/>
  <c r="J106" i="3"/>
  <c r="K106" i="3" s="1"/>
  <c r="F104" i="3"/>
  <c r="G104" i="3" s="1"/>
  <c r="L107" i="3"/>
  <c r="M107" i="3" s="1"/>
  <c r="J60" i="3"/>
  <c r="K60" i="3" s="1"/>
  <c r="F58" i="3"/>
  <c r="G58" i="3" s="1"/>
  <c r="D58" i="3"/>
  <c r="E58" i="3" s="1"/>
  <c r="L61" i="3"/>
  <c r="M61" i="3" s="1"/>
  <c r="D12" i="3"/>
  <c r="E11" i="3"/>
  <c r="O20" i="3"/>
  <c r="K13" i="3"/>
  <c r="I12" i="3"/>
  <c r="M14" i="3"/>
  <c r="G12" i="3"/>
  <c r="M367" i="2"/>
  <c r="C353" i="2"/>
  <c r="O384" i="2"/>
  <c r="F250" i="2"/>
  <c r="G250" i="2" s="1"/>
  <c r="H250" i="2"/>
  <c r="I250" i="2" s="1"/>
  <c r="B267" i="2"/>
  <c r="C267" i="2" s="1"/>
  <c r="D250" i="2"/>
  <c r="E250" i="2" s="1"/>
  <c r="N106" i="2"/>
  <c r="O105" i="2"/>
  <c r="B110" i="2"/>
  <c r="C109" i="2"/>
  <c r="D164" i="2"/>
  <c r="E164" i="2" s="1"/>
  <c r="J171" i="2"/>
  <c r="K171" i="2" s="1"/>
  <c r="O186" i="2"/>
  <c r="N187" i="2"/>
  <c r="F165" i="2"/>
  <c r="G165" i="2" s="1"/>
  <c r="L178" i="2"/>
  <c r="M178" i="2" s="1"/>
  <c r="H167" i="2"/>
  <c r="I167" i="2" s="1"/>
  <c r="J92" i="2"/>
  <c r="K92" i="2" s="1"/>
  <c r="L99" i="2"/>
  <c r="M99" i="2" s="1"/>
  <c r="M20" i="2"/>
  <c r="M26" i="2"/>
  <c r="K46" i="2"/>
  <c r="M28" i="2"/>
  <c r="M31" i="2"/>
  <c r="M24" i="2"/>
  <c r="M25" i="2"/>
  <c r="M52" i="2"/>
  <c r="M51" i="2"/>
  <c r="M50" i="2"/>
  <c r="M53" i="2"/>
  <c r="M33" i="2"/>
  <c r="M46" i="2"/>
  <c r="M40" i="2"/>
  <c r="M44" i="2"/>
  <c r="M35" i="2"/>
  <c r="M38" i="2"/>
  <c r="M27" i="2"/>
  <c r="M37" i="2"/>
  <c r="M48" i="2"/>
  <c r="M47" i="2"/>
  <c r="M30" i="2"/>
  <c r="M49" i="2"/>
  <c r="M32" i="2"/>
  <c r="M23" i="2"/>
  <c r="M43" i="2"/>
  <c r="M22" i="2"/>
  <c r="M42" i="2"/>
  <c r="M21" i="2"/>
  <c r="M41" i="2"/>
  <c r="M36" i="2"/>
  <c r="M39" i="2"/>
  <c r="M34" i="2"/>
  <c r="M29" i="2"/>
  <c r="M45" i="2"/>
  <c r="G26" i="2"/>
  <c r="F27" i="2"/>
  <c r="G23" i="2"/>
  <c r="G24" i="2"/>
  <c r="E6" i="2"/>
  <c r="G7" i="2"/>
  <c r="E7" i="2"/>
  <c r="AH49" i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I99" i="5" l="1"/>
  <c r="G99" i="5"/>
  <c r="C99" i="5"/>
  <c r="L21" i="1"/>
  <c r="B22" i="1"/>
  <c r="E56" i="5"/>
  <c r="B101" i="5"/>
  <c r="H104" i="5"/>
  <c r="CD125" i="7"/>
  <c r="CE124" i="7"/>
  <c r="D14" i="7"/>
  <c r="E14" i="7" s="1"/>
  <c r="E13" i="7"/>
  <c r="A13" i="4"/>
  <c r="E12" i="4"/>
  <c r="C12" i="4"/>
  <c r="I12" i="4"/>
  <c r="M12" i="4"/>
  <c r="BL120" i="7"/>
  <c r="BM119" i="7"/>
  <c r="I55" i="5"/>
  <c r="G55" i="5"/>
  <c r="C356" i="2"/>
  <c r="E98" i="4"/>
  <c r="K98" i="4"/>
  <c r="I98" i="4"/>
  <c r="M98" i="4"/>
  <c r="C98" i="4"/>
  <c r="Q14" i="7"/>
  <c r="P15" i="7"/>
  <c r="AE76" i="6"/>
  <c r="AD77" i="6"/>
  <c r="AE77" i="6" s="1"/>
  <c r="D121" i="7"/>
  <c r="E121" i="7" s="1"/>
  <c r="E120" i="7"/>
  <c r="E99" i="5"/>
  <c r="D101" i="5"/>
  <c r="R15" i="7"/>
  <c r="S14" i="7"/>
  <c r="B121" i="7"/>
  <c r="C120" i="7"/>
  <c r="N109" i="3"/>
  <c r="O109" i="3" s="1"/>
  <c r="O108" i="3"/>
  <c r="AB76" i="6"/>
  <c r="AC75" i="6"/>
  <c r="E54" i="4"/>
  <c r="M54" i="4"/>
  <c r="C54" i="4"/>
  <c r="K54" i="4"/>
  <c r="I54" i="4"/>
  <c r="G54" i="4"/>
  <c r="T122" i="7"/>
  <c r="U122" i="7" s="1"/>
  <c r="U121" i="7"/>
  <c r="G143" i="4"/>
  <c r="K143" i="4"/>
  <c r="E143" i="4"/>
  <c r="M143" i="4"/>
  <c r="I143" i="4"/>
  <c r="C143" i="4"/>
  <c r="P68" i="7"/>
  <c r="Q67" i="7"/>
  <c r="C55" i="5"/>
  <c r="B56" i="5"/>
  <c r="C56" i="5" s="1"/>
  <c r="R69" i="7"/>
  <c r="S69" i="7" s="1"/>
  <c r="S68" i="7"/>
  <c r="R122" i="7"/>
  <c r="S121" i="7"/>
  <c r="CV129" i="7"/>
  <c r="CW128" i="7"/>
  <c r="CT71" i="7"/>
  <c r="CU70" i="7"/>
  <c r="CK99" i="7"/>
  <c r="CK98" i="7"/>
  <c r="CU17" i="7"/>
  <c r="CT18" i="7"/>
  <c r="CN121" i="7"/>
  <c r="CO120" i="7"/>
  <c r="CR124" i="7"/>
  <c r="CS123" i="7"/>
  <c r="CN68" i="7"/>
  <c r="CO67" i="7"/>
  <c r="CL69" i="7"/>
  <c r="CM68" i="7"/>
  <c r="CN16" i="7"/>
  <c r="CO15" i="7"/>
  <c r="CR71" i="7"/>
  <c r="CS70" i="7"/>
  <c r="CJ121" i="7"/>
  <c r="CK120" i="7"/>
  <c r="CM13" i="7"/>
  <c r="CL14" i="7"/>
  <c r="CP17" i="7"/>
  <c r="CQ16" i="7"/>
  <c r="CT124" i="7"/>
  <c r="CU123" i="7"/>
  <c r="CS18" i="7"/>
  <c r="CR19" i="7"/>
  <c r="CJ14" i="7"/>
  <c r="CK13" i="7"/>
  <c r="CP70" i="7"/>
  <c r="CQ69" i="7"/>
  <c r="CJ68" i="7"/>
  <c r="CK67" i="7"/>
  <c r="CL122" i="7"/>
  <c r="CM121" i="7"/>
  <c r="CP123" i="7"/>
  <c r="CQ122" i="7"/>
  <c r="CE18" i="7"/>
  <c r="CD19" i="7"/>
  <c r="BY66" i="7"/>
  <c r="BX67" i="7"/>
  <c r="CB69" i="7"/>
  <c r="CC68" i="7"/>
  <c r="CB123" i="7"/>
  <c r="CC122" i="7"/>
  <c r="BV122" i="7"/>
  <c r="BW121" i="7"/>
  <c r="BV69" i="7"/>
  <c r="BW68" i="7"/>
  <c r="BZ15" i="7"/>
  <c r="CA14" i="7"/>
  <c r="BX14" i="7"/>
  <c r="BY13" i="7"/>
  <c r="CB17" i="7"/>
  <c r="CC16" i="7"/>
  <c r="BX121" i="7"/>
  <c r="BY120" i="7"/>
  <c r="BZ69" i="7"/>
  <c r="CA68" i="7"/>
  <c r="BZ122" i="7"/>
  <c r="CA121" i="7"/>
  <c r="BV15" i="7"/>
  <c r="BW14" i="7"/>
  <c r="BN69" i="7"/>
  <c r="BO69" i="7" s="1"/>
  <c r="BO68" i="7"/>
  <c r="BM14" i="7"/>
  <c r="BL15" i="7"/>
  <c r="BJ16" i="7"/>
  <c r="BK15" i="7"/>
  <c r="BL69" i="7"/>
  <c r="BM68" i="7"/>
  <c r="BN16" i="7"/>
  <c r="BO15" i="7"/>
  <c r="BK120" i="7"/>
  <c r="BJ121" i="7"/>
  <c r="BN122" i="7"/>
  <c r="BO121" i="7"/>
  <c r="BK67" i="7"/>
  <c r="BJ68" i="7"/>
  <c r="BE69" i="7"/>
  <c r="BD70" i="7"/>
  <c r="AS122" i="7"/>
  <c r="AR123" i="7"/>
  <c r="AS16" i="7"/>
  <c r="AR17" i="7"/>
  <c r="AS17" i="7" s="1"/>
  <c r="BB122" i="7"/>
  <c r="BC121" i="7"/>
  <c r="BA14" i="7"/>
  <c r="AZ15" i="7"/>
  <c r="AX69" i="7"/>
  <c r="AY68" i="7"/>
  <c r="AZ121" i="7"/>
  <c r="BA120" i="7"/>
  <c r="BB69" i="7"/>
  <c r="BC68" i="7"/>
  <c r="BD123" i="7"/>
  <c r="BE122" i="7"/>
  <c r="AY120" i="7"/>
  <c r="AX121" i="7"/>
  <c r="BD16" i="7"/>
  <c r="BE15" i="7"/>
  <c r="AX15" i="7"/>
  <c r="AY14" i="7"/>
  <c r="BB17" i="7"/>
  <c r="BC16" i="7"/>
  <c r="AZ68" i="7"/>
  <c r="BA67" i="7"/>
  <c r="AO68" i="7"/>
  <c r="AN69" i="7"/>
  <c r="AP121" i="7"/>
  <c r="AQ120" i="7"/>
  <c r="AL14" i="7"/>
  <c r="AM13" i="7"/>
  <c r="AL68" i="7"/>
  <c r="AM67" i="7"/>
  <c r="AN14" i="7"/>
  <c r="AO13" i="7"/>
  <c r="AN122" i="7"/>
  <c r="AO121" i="7"/>
  <c r="AP16" i="7"/>
  <c r="AQ15" i="7"/>
  <c r="AL121" i="7"/>
  <c r="AM120" i="7"/>
  <c r="AP68" i="7"/>
  <c r="AQ67" i="7"/>
  <c r="Z68" i="7"/>
  <c r="AA67" i="7"/>
  <c r="AB121" i="7"/>
  <c r="AC120" i="7"/>
  <c r="AC67" i="7"/>
  <c r="AB68" i="7"/>
  <c r="Z121" i="7"/>
  <c r="AA120" i="7"/>
  <c r="AD17" i="7"/>
  <c r="AE17" i="7" s="1"/>
  <c r="AE16" i="7"/>
  <c r="AB15" i="7"/>
  <c r="AC14" i="7"/>
  <c r="AD123" i="7"/>
  <c r="AE122" i="7"/>
  <c r="Z15" i="7"/>
  <c r="AA14" i="7"/>
  <c r="N121" i="7"/>
  <c r="O120" i="7"/>
  <c r="P121" i="7"/>
  <c r="Q120" i="7"/>
  <c r="O14" i="7"/>
  <c r="N15" i="7"/>
  <c r="C68" i="7"/>
  <c r="AE80" i="6"/>
  <c r="Y81" i="6"/>
  <c r="Q80" i="6"/>
  <c r="S79" i="6"/>
  <c r="U79" i="6"/>
  <c r="W79" i="6"/>
  <c r="AG83" i="6"/>
  <c r="AI82" i="6"/>
  <c r="AK82" i="6"/>
  <c r="AM82" i="6"/>
  <c r="AJ73" i="6"/>
  <c r="AK73" i="6" s="1"/>
  <c r="AH75" i="6"/>
  <c r="AL75" i="6"/>
  <c r="AL43" i="6"/>
  <c r="AM43" i="6" s="1"/>
  <c r="AJ43" i="6"/>
  <c r="AK43" i="6" s="1"/>
  <c r="AA53" i="6"/>
  <c r="AC53" i="6"/>
  <c r="AE53" i="6"/>
  <c r="AH45" i="6"/>
  <c r="AI45" i="6" s="1"/>
  <c r="Q52" i="6"/>
  <c r="U51" i="6"/>
  <c r="W51" i="6"/>
  <c r="S51" i="6"/>
  <c r="A17" i="6"/>
  <c r="G16" i="6"/>
  <c r="E16" i="6"/>
  <c r="C16" i="6"/>
  <c r="AK12" i="6"/>
  <c r="C77" i="6"/>
  <c r="E77" i="6"/>
  <c r="C46" i="6"/>
  <c r="G46" i="6"/>
  <c r="E46" i="6"/>
  <c r="AG17" i="6"/>
  <c r="AM16" i="6"/>
  <c r="AI16" i="6"/>
  <c r="AC16" i="6"/>
  <c r="AA17" i="6"/>
  <c r="AE17" i="6"/>
  <c r="Q18" i="6"/>
  <c r="W17" i="6"/>
  <c r="U17" i="6"/>
  <c r="S17" i="6"/>
  <c r="I78" i="6"/>
  <c r="O77" i="6"/>
  <c r="K77" i="6"/>
  <c r="B80" i="6"/>
  <c r="F81" i="6"/>
  <c r="J78" i="6"/>
  <c r="A78" i="6"/>
  <c r="G77" i="6"/>
  <c r="D80" i="6"/>
  <c r="M77" i="6"/>
  <c r="A47" i="6"/>
  <c r="K49" i="6"/>
  <c r="O49" i="6"/>
  <c r="I17" i="6"/>
  <c r="O16" i="6"/>
  <c r="K16" i="6"/>
  <c r="M16" i="6"/>
  <c r="A100" i="5"/>
  <c r="K99" i="5"/>
  <c r="M99" i="5"/>
  <c r="F103" i="5"/>
  <c r="A56" i="5"/>
  <c r="K55" i="5"/>
  <c r="M55" i="5"/>
  <c r="C11" i="5"/>
  <c r="E11" i="5"/>
  <c r="A12" i="5"/>
  <c r="M11" i="5"/>
  <c r="K11" i="5"/>
  <c r="I11" i="5"/>
  <c r="G11" i="5"/>
  <c r="A144" i="4"/>
  <c r="A99" i="4"/>
  <c r="A55" i="4"/>
  <c r="K13" i="4"/>
  <c r="J14" i="4"/>
  <c r="J152" i="3"/>
  <c r="K152" i="3" s="1"/>
  <c r="F150" i="3"/>
  <c r="G150" i="3" s="1"/>
  <c r="L154" i="3"/>
  <c r="M154" i="3" s="1"/>
  <c r="D150" i="3"/>
  <c r="E150" i="3" s="1"/>
  <c r="H151" i="3"/>
  <c r="I151" i="3" s="1"/>
  <c r="H60" i="3"/>
  <c r="I59" i="3"/>
  <c r="L108" i="3"/>
  <c r="M108" i="3" s="1"/>
  <c r="J107" i="3"/>
  <c r="K107" i="3" s="1"/>
  <c r="F105" i="3"/>
  <c r="G105" i="3" s="1"/>
  <c r="H106" i="3"/>
  <c r="I106" i="3" s="1"/>
  <c r="N110" i="3"/>
  <c r="O110" i="3" s="1"/>
  <c r="D104" i="3"/>
  <c r="E104" i="3" s="1"/>
  <c r="L62" i="3"/>
  <c r="M62" i="3" s="1"/>
  <c r="J61" i="3"/>
  <c r="K61" i="3" s="1"/>
  <c r="D59" i="3"/>
  <c r="E59" i="3" s="1"/>
  <c r="F59" i="3"/>
  <c r="G59" i="3" s="1"/>
  <c r="D13" i="3"/>
  <c r="E12" i="3"/>
  <c r="O21" i="3"/>
  <c r="K14" i="3"/>
  <c r="I13" i="3"/>
  <c r="M15" i="3"/>
  <c r="G13" i="3"/>
  <c r="B358" i="2"/>
  <c r="C357" i="2"/>
  <c r="C354" i="2"/>
  <c r="O385" i="2"/>
  <c r="F251" i="2"/>
  <c r="G251" i="2" s="1"/>
  <c r="D251" i="2"/>
  <c r="E251" i="2" s="1"/>
  <c r="H251" i="2"/>
  <c r="I251" i="2" s="1"/>
  <c r="N107" i="2"/>
  <c r="O106" i="2"/>
  <c r="C110" i="2"/>
  <c r="J172" i="2"/>
  <c r="K172" i="2" s="1"/>
  <c r="H168" i="2"/>
  <c r="I168" i="2" s="1"/>
  <c r="F166" i="2"/>
  <c r="G166" i="2" s="1"/>
  <c r="L179" i="2"/>
  <c r="M179" i="2" s="1"/>
  <c r="O187" i="2"/>
  <c r="N188" i="2"/>
  <c r="O188" i="2" s="1"/>
  <c r="D165" i="2"/>
  <c r="E165" i="2" s="1"/>
  <c r="L100" i="2"/>
  <c r="M100" i="2" s="1"/>
  <c r="J93" i="2"/>
  <c r="K93" i="2" s="1"/>
  <c r="H89" i="2"/>
  <c r="I89" i="2" s="1"/>
  <c r="K47" i="2"/>
  <c r="M54" i="2"/>
  <c r="F28" i="2"/>
  <c r="G27" i="2"/>
  <c r="I8" i="2"/>
  <c r="G8" i="2"/>
  <c r="E8" i="2"/>
  <c r="AB77" i="6" l="1"/>
  <c r="AC77" i="6" s="1"/>
  <c r="AC76" i="6"/>
  <c r="S15" i="7"/>
  <c r="R16" i="7"/>
  <c r="CD126" i="7"/>
  <c r="CE125" i="7"/>
  <c r="B23" i="1"/>
  <c r="L22" i="1"/>
  <c r="I100" i="5"/>
  <c r="G100" i="5"/>
  <c r="Q121" i="7"/>
  <c r="P122" i="7"/>
  <c r="H105" i="5"/>
  <c r="C55" i="4"/>
  <c r="E55" i="4"/>
  <c r="M55" i="4"/>
  <c r="K55" i="4"/>
  <c r="I55" i="4"/>
  <c r="G55" i="4"/>
  <c r="R123" i="7"/>
  <c r="S122" i="7"/>
  <c r="P69" i="7"/>
  <c r="Q68" i="7"/>
  <c r="E100" i="5"/>
  <c r="A14" i="4"/>
  <c r="C13" i="4"/>
  <c r="E13" i="4"/>
  <c r="I13" i="4"/>
  <c r="M13" i="4"/>
  <c r="I144" i="4"/>
  <c r="G144" i="4"/>
  <c r="C144" i="4"/>
  <c r="E144" i="4"/>
  <c r="M144" i="4"/>
  <c r="K144" i="4"/>
  <c r="I56" i="5"/>
  <c r="G56" i="5"/>
  <c r="AI75" i="6"/>
  <c r="AH76" i="6"/>
  <c r="CC69" i="7"/>
  <c r="CB70" i="7"/>
  <c r="CT125" i="7"/>
  <c r="CU124" i="7"/>
  <c r="Q15" i="7"/>
  <c r="P16" i="7"/>
  <c r="BL121" i="7"/>
  <c r="BM120" i="7"/>
  <c r="M99" i="4"/>
  <c r="C99" i="4"/>
  <c r="K99" i="4"/>
  <c r="I99" i="4"/>
  <c r="E99" i="4"/>
  <c r="G99" i="4"/>
  <c r="F104" i="5"/>
  <c r="O15" i="7"/>
  <c r="N16" i="7"/>
  <c r="B122" i="7"/>
  <c r="C122" i="7" s="1"/>
  <c r="C121" i="7"/>
  <c r="C100" i="5"/>
  <c r="CV130" i="7"/>
  <c r="CW129" i="7"/>
  <c r="CT72" i="7"/>
  <c r="CU71" i="7"/>
  <c r="CU18" i="7"/>
  <c r="CT19" i="7"/>
  <c r="CM14" i="7"/>
  <c r="CL15" i="7"/>
  <c r="CL123" i="7"/>
  <c r="CM122" i="7"/>
  <c r="CP71" i="7"/>
  <c r="CQ70" i="7"/>
  <c r="CP18" i="7"/>
  <c r="CQ17" i="7"/>
  <c r="CJ122" i="7"/>
  <c r="CK121" i="7"/>
  <c r="CN17" i="7"/>
  <c r="CO16" i="7"/>
  <c r="CN69" i="7"/>
  <c r="CO68" i="7"/>
  <c r="CN122" i="7"/>
  <c r="CO121" i="7"/>
  <c r="CS19" i="7"/>
  <c r="CR20" i="7"/>
  <c r="CP124" i="7"/>
  <c r="CQ123" i="7"/>
  <c r="CJ69" i="7"/>
  <c r="CK68" i="7"/>
  <c r="CJ15" i="7"/>
  <c r="CK14" i="7"/>
  <c r="CR72" i="7"/>
  <c r="CS71" i="7"/>
  <c r="CL70" i="7"/>
  <c r="CM69" i="7"/>
  <c r="CS124" i="7"/>
  <c r="CR125" i="7"/>
  <c r="CD20" i="7"/>
  <c r="CE19" i="7"/>
  <c r="CC17" i="7"/>
  <c r="CB18" i="7"/>
  <c r="BZ123" i="7"/>
  <c r="CA122" i="7"/>
  <c r="BX122" i="7"/>
  <c r="BY121" i="7"/>
  <c r="BX15" i="7"/>
  <c r="BY14" i="7"/>
  <c r="BV70" i="7"/>
  <c r="BW69" i="7"/>
  <c r="CB124" i="7"/>
  <c r="CC123" i="7"/>
  <c r="BY67" i="7"/>
  <c r="BX68" i="7"/>
  <c r="BW15" i="7"/>
  <c r="BV16" i="7"/>
  <c r="BZ70" i="7"/>
  <c r="CA69" i="7"/>
  <c r="BZ16" i="7"/>
  <c r="CA15" i="7"/>
  <c r="BV123" i="7"/>
  <c r="BW122" i="7"/>
  <c r="BJ69" i="7"/>
  <c r="BK68" i="7"/>
  <c r="BJ122" i="7"/>
  <c r="BK121" i="7"/>
  <c r="BL16" i="7"/>
  <c r="BM15" i="7"/>
  <c r="BN123" i="7"/>
  <c r="BO122" i="7"/>
  <c r="BN17" i="7"/>
  <c r="BO17" i="7" s="1"/>
  <c r="BO16" i="7"/>
  <c r="BJ17" i="7"/>
  <c r="BK16" i="7"/>
  <c r="BL70" i="7"/>
  <c r="BM70" i="7" s="1"/>
  <c r="BM69" i="7"/>
  <c r="BE70" i="7"/>
  <c r="BD71" i="7"/>
  <c r="AS123" i="7"/>
  <c r="AR124" i="7"/>
  <c r="AS124" i="7" s="1"/>
  <c r="AZ16" i="7"/>
  <c r="BA15" i="7"/>
  <c r="AZ69" i="7"/>
  <c r="BA68" i="7"/>
  <c r="AX16" i="7"/>
  <c r="AY15" i="7"/>
  <c r="BB70" i="7"/>
  <c r="BC69" i="7"/>
  <c r="AX70" i="7"/>
  <c r="AY69" i="7"/>
  <c r="BB123" i="7"/>
  <c r="BC122" i="7"/>
  <c r="AX122" i="7"/>
  <c r="AY121" i="7"/>
  <c r="BB18" i="7"/>
  <c r="BC17" i="7"/>
  <c r="BD17" i="7"/>
  <c r="BE16" i="7"/>
  <c r="BD124" i="7"/>
  <c r="BE123" i="7"/>
  <c r="AZ122" i="7"/>
  <c r="BA121" i="7"/>
  <c r="AP69" i="7"/>
  <c r="AQ68" i="7"/>
  <c r="AP17" i="7"/>
  <c r="AQ16" i="7"/>
  <c r="AN15" i="7"/>
  <c r="AO14" i="7"/>
  <c r="AL15" i="7"/>
  <c r="AM14" i="7"/>
  <c r="AO69" i="7"/>
  <c r="AN70" i="7"/>
  <c r="AL122" i="7"/>
  <c r="AM121" i="7"/>
  <c r="AN123" i="7"/>
  <c r="AO122" i="7"/>
  <c r="AL69" i="7"/>
  <c r="AM68" i="7"/>
  <c r="AP122" i="7"/>
  <c r="AQ121" i="7"/>
  <c r="AE123" i="7"/>
  <c r="AD124" i="7"/>
  <c r="AE124" i="7" s="1"/>
  <c r="Z69" i="7"/>
  <c r="AA68" i="7"/>
  <c r="AC68" i="7"/>
  <c r="AB69" i="7"/>
  <c r="Z16" i="7"/>
  <c r="AA15" i="7"/>
  <c r="AB16" i="7"/>
  <c r="AC15" i="7"/>
  <c r="Z122" i="7"/>
  <c r="AA121" i="7"/>
  <c r="AB122" i="7"/>
  <c r="AC121" i="7"/>
  <c r="O121" i="7"/>
  <c r="N122" i="7"/>
  <c r="AM75" i="6"/>
  <c r="AL76" i="6"/>
  <c r="AI83" i="6"/>
  <c r="AK83" i="6"/>
  <c r="AM83" i="6"/>
  <c r="AJ74" i="6"/>
  <c r="AK74" i="6" s="1"/>
  <c r="S80" i="6"/>
  <c r="Q81" i="6"/>
  <c r="U80" i="6"/>
  <c r="W80" i="6"/>
  <c r="Y82" i="6"/>
  <c r="AE81" i="6"/>
  <c r="AL44" i="6"/>
  <c r="AM44" i="6" s="1"/>
  <c r="Q53" i="6"/>
  <c r="S52" i="6"/>
  <c r="U52" i="6"/>
  <c r="W52" i="6"/>
  <c r="AJ44" i="6"/>
  <c r="A18" i="6"/>
  <c r="E17" i="6"/>
  <c r="G17" i="6"/>
  <c r="C17" i="6"/>
  <c r="AK13" i="6"/>
  <c r="G47" i="6"/>
  <c r="E47" i="6"/>
  <c r="C47" i="6"/>
  <c r="C78" i="6"/>
  <c r="E78" i="6"/>
  <c r="B81" i="6"/>
  <c r="C81" i="6" s="1"/>
  <c r="AG18" i="6"/>
  <c r="AM17" i="6"/>
  <c r="AI17" i="6"/>
  <c r="AA18" i="6"/>
  <c r="AA19" i="6"/>
  <c r="Q19" i="6"/>
  <c r="W18" i="6"/>
  <c r="U18" i="6"/>
  <c r="S18" i="6"/>
  <c r="AE18" i="6"/>
  <c r="AE19" i="6"/>
  <c r="AC17" i="6"/>
  <c r="I79" i="6"/>
  <c r="O78" i="6"/>
  <c r="K78" i="6"/>
  <c r="F82" i="6"/>
  <c r="D81" i="6"/>
  <c r="E81" i="6" s="1"/>
  <c r="A79" i="6"/>
  <c r="G78" i="6"/>
  <c r="M78" i="6"/>
  <c r="J79" i="6"/>
  <c r="J80" i="6" s="1"/>
  <c r="A48" i="6"/>
  <c r="M49" i="6"/>
  <c r="I18" i="6"/>
  <c r="K17" i="6"/>
  <c r="O17" i="6"/>
  <c r="M17" i="6"/>
  <c r="K100" i="5"/>
  <c r="M100" i="5"/>
  <c r="A101" i="5"/>
  <c r="K56" i="5"/>
  <c r="M56" i="5"/>
  <c r="A57" i="5"/>
  <c r="A13" i="5"/>
  <c r="E12" i="5"/>
  <c r="G12" i="5"/>
  <c r="C12" i="5"/>
  <c r="M12" i="5"/>
  <c r="K12" i="5"/>
  <c r="I12" i="5"/>
  <c r="A145" i="4"/>
  <c r="A100" i="4"/>
  <c r="A56" i="4"/>
  <c r="K14" i="4"/>
  <c r="J15" i="4"/>
  <c r="H152" i="3"/>
  <c r="I152" i="3" s="1"/>
  <c r="F151" i="3"/>
  <c r="G151" i="3" s="1"/>
  <c r="D151" i="3"/>
  <c r="E151" i="3" s="1"/>
  <c r="L155" i="3"/>
  <c r="M155" i="3" s="1"/>
  <c r="J153" i="3"/>
  <c r="K153" i="3" s="1"/>
  <c r="I60" i="3"/>
  <c r="H61" i="3"/>
  <c r="J108" i="3"/>
  <c r="K108" i="3" s="1"/>
  <c r="N111" i="3"/>
  <c r="O111" i="3" s="1"/>
  <c r="F106" i="3"/>
  <c r="G106" i="3" s="1"/>
  <c r="L109" i="3"/>
  <c r="M109" i="3" s="1"/>
  <c r="D105" i="3"/>
  <c r="H107" i="3"/>
  <c r="I107" i="3" s="1"/>
  <c r="F60" i="3"/>
  <c r="G60" i="3" s="1"/>
  <c r="D60" i="3"/>
  <c r="E60" i="3" s="1"/>
  <c r="L63" i="3"/>
  <c r="M63" i="3" s="1"/>
  <c r="J62" i="3"/>
  <c r="K62" i="3" s="1"/>
  <c r="D14" i="3"/>
  <c r="E13" i="3"/>
  <c r="O22" i="3"/>
  <c r="K15" i="3"/>
  <c r="I14" i="3"/>
  <c r="M16" i="3"/>
  <c r="G14" i="3"/>
  <c r="B359" i="2"/>
  <c r="C358" i="2"/>
  <c r="O386" i="2"/>
  <c r="H252" i="2"/>
  <c r="I252" i="2" s="1"/>
  <c r="F252" i="2"/>
  <c r="G252" i="2" s="1"/>
  <c r="D252" i="2"/>
  <c r="E252" i="2" s="1"/>
  <c r="N108" i="2"/>
  <c r="O107" i="2"/>
  <c r="F167" i="2"/>
  <c r="G167" i="2" s="1"/>
  <c r="J173" i="2"/>
  <c r="K173" i="2" s="1"/>
  <c r="D166" i="2"/>
  <c r="E166" i="2" s="1"/>
  <c r="H169" i="2"/>
  <c r="I169" i="2" s="1"/>
  <c r="L180" i="2"/>
  <c r="M180" i="2" s="1"/>
  <c r="J94" i="2"/>
  <c r="K94" i="2" s="1"/>
  <c r="L101" i="2"/>
  <c r="M101" i="2" s="1"/>
  <c r="F89" i="2"/>
  <c r="G89" i="2" s="1"/>
  <c r="H90" i="2"/>
  <c r="I90" i="2" s="1"/>
  <c r="K48" i="2"/>
  <c r="M55" i="2"/>
  <c r="F29" i="2"/>
  <c r="G28" i="2"/>
  <c r="I9" i="2"/>
  <c r="G9" i="2"/>
  <c r="E9" i="2"/>
  <c r="CB71" i="7" l="1"/>
  <c r="CC70" i="7"/>
  <c r="K100" i="4"/>
  <c r="I100" i="4"/>
  <c r="M100" i="4"/>
  <c r="G100" i="4"/>
  <c r="E100" i="4"/>
  <c r="C100" i="4"/>
  <c r="N123" i="7"/>
  <c r="O122" i="7"/>
  <c r="AO70" i="7"/>
  <c r="AN71" i="7"/>
  <c r="AO71" i="7" s="1"/>
  <c r="BL122" i="7"/>
  <c r="BM121" i="7"/>
  <c r="P70" i="7"/>
  <c r="Q70" i="7" s="1"/>
  <c r="Q69" i="7"/>
  <c r="CD127" i="7"/>
  <c r="CE126" i="7"/>
  <c r="M56" i="4"/>
  <c r="E56" i="4"/>
  <c r="C56" i="4"/>
  <c r="G56" i="4"/>
  <c r="K56" i="4"/>
  <c r="I56" i="4"/>
  <c r="M145" i="4"/>
  <c r="I145" i="4"/>
  <c r="K145" i="4"/>
  <c r="E145" i="4"/>
  <c r="C145" i="4"/>
  <c r="G145" i="4"/>
  <c r="I101" i="5"/>
  <c r="G101" i="5"/>
  <c r="BC70" i="7"/>
  <c r="BB71" i="7"/>
  <c r="N17" i="7"/>
  <c r="O16" i="7"/>
  <c r="P17" i="7"/>
  <c r="Q16" i="7"/>
  <c r="AI76" i="6"/>
  <c r="AH77" i="6"/>
  <c r="R17" i="7"/>
  <c r="S17" i="7" s="1"/>
  <c r="S16" i="7"/>
  <c r="P123" i="7"/>
  <c r="Q122" i="7"/>
  <c r="R124" i="7"/>
  <c r="S124" i="7" s="1"/>
  <c r="S123" i="7"/>
  <c r="E105" i="3"/>
  <c r="D106" i="3"/>
  <c r="F105" i="5"/>
  <c r="A15" i="4"/>
  <c r="E14" i="4"/>
  <c r="C14" i="4"/>
  <c r="I14" i="4"/>
  <c r="M14" i="4"/>
  <c r="I57" i="5"/>
  <c r="G57" i="5"/>
  <c r="CT126" i="7"/>
  <c r="CU125" i="7"/>
  <c r="H106" i="5"/>
  <c r="B24" i="1"/>
  <c r="L23" i="1"/>
  <c r="CV131" i="7"/>
  <c r="CW130" i="7"/>
  <c r="CU72" i="7"/>
  <c r="CT73" i="7"/>
  <c r="CT20" i="7"/>
  <c r="CU19" i="7"/>
  <c r="CR73" i="7"/>
  <c r="CS72" i="7"/>
  <c r="CJ70" i="7"/>
  <c r="CK69" i="7"/>
  <c r="CN70" i="7"/>
  <c r="CO69" i="7"/>
  <c r="CJ123" i="7"/>
  <c r="CK122" i="7"/>
  <c r="CQ71" i="7"/>
  <c r="CP72" i="7"/>
  <c r="CS125" i="7"/>
  <c r="CR126" i="7"/>
  <c r="CR21" i="7"/>
  <c r="CS20" i="7"/>
  <c r="CL16" i="7"/>
  <c r="CM15" i="7"/>
  <c r="CL71" i="7"/>
  <c r="CM70" i="7"/>
  <c r="CJ16" i="7"/>
  <c r="CK15" i="7"/>
  <c r="CP125" i="7"/>
  <c r="CQ124" i="7"/>
  <c r="CN123" i="7"/>
  <c r="CO122" i="7"/>
  <c r="CN18" i="7"/>
  <c r="CO17" i="7"/>
  <c r="CP19" i="7"/>
  <c r="CQ18" i="7"/>
  <c r="CL124" i="7"/>
  <c r="CM123" i="7"/>
  <c r="CC124" i="7"/>
  <c r="CB125" i="7"/>
  <c r="CA70" i="7"/>
  <c r="BZ71" i="7"/>
  <c r="CD21" i="7"/>
  <c r="CE20" i="7"/>
  <c r="CB19" i="7"/>
  <c r="CC18" i="7"/>
  <c r="BX69" i="7"/>
  <c r="BY68" i="7"/>
  <c r="BZ17" i="7"/>
  <c r="CA16" i="7"/>
  <c r="BX16" i="7"/>
  <c r="BY15" i="7"/>
  <c r="BZ124" i="7"/>
  <c r="CA123" i="7"/>
  <c r="BV17" i="7"/>
  <c r="BW16" i="7"/>
  <c r="BV124" i="7"/>
  <c r="BW123" i="7"/>
  <c r="BW70" i="7"/>
  <c r="BV71" i="7"/>
  <c r="BX123" i="7"/>
  <c r="BY122" i="7"/>
  <c r="BJ18" i="7"/>
  <c r="BK18" i="7" s="1"/>
  <c r="BK17" i="7"/>
  <c r="BN124" i="7"/>
  <c r="BO124" i="7" s="1"/>
  <c r="BO123" i="7"/>
  <c r="BL17" i="7"/>
  <c r="BM16" i="7"/>
  <c r="BJ70" i="7"/>
  <c r="BK70" i="7" s="1"/>
  <c r="BK69" i="7"/>
  <c r="BJ123" i="7"/>
  <c r="BK122" i="7"/>
  <c r="BE124" i="7"/>
  <c r="BD125" i="7"/>
  <c r="BE17" i="7"/>
  <c r="BD18" i="7"/>
  <c r="BD72" i="7"/>
  <c r="BE72" i="7" s="1"/>
  <c r="BE71" i="7"/>
  <c r="AQ69" i="7"/>
  <c r="AP70" i="7"/>
  <c r="AQ70" i="7" s="1"/>
  <c r="AQ17" i="7"/>
  <c r="AP18" i="7"/>
  <c r="AZ123" i="7"/>
  <c r="BA122" i="7"/>
  <c r="AX123" i="7"/>
  <c r="AY122" i="7"/>
  <c r="AX71" i="7"/>
  <c r="AY70" i="7"/>
  <c r="AX17" i="7"/>
  <c r="AY16" i="7"/>
  <c r="AZ17" i="7"/>
  <c r="BA16" i="7"/>
  <c r="BC18" i="7"/>
  <c r="BB19" i="7"/>
  <c r="BB124" i="7"/>
  <c r="BC123" i="7"/>
  <c r="AZ70" i="7"/>
  <c r="BA69" i="7"/>
  <c r="AP123" i="7"/>
  <c r="AQ122" i="7"/>
  <c r="AN124" i="7"/>
  <c r="AO123" i="7"/>
  <c r="AN16" i="7"/>
  <c r="AO15" i="7"/>
  <c r="AL70" i="7"/>
  <c r="AM69" i="7"/>
  <c r="AL123" i="7"/>
  <c r="AM122" i="7"/>
  <c r="AL16" i="7"/>
  <c r="AM15" i="7"/>
  <c r="AB123" i="7"/>
  <c r="AC122" i="7"/>
  <c r="AC16" i="7"/>
  <c r="AB17" i="7"/>
  <c r="AC69" i="7"/>
  <c r="AB70" i="7"/>
  <c r="AC70" i="7" s="1"/>
  <c r="Z123" i="7"/>
  <c r="AA122" i="7"/>
  <c r="Z17" i="7"/>
  <c r="AA16" i="7"/>
  <c r="Z70" i="7"/>
  <c r="AA70" i="7" s="1"/>
  <c r="AA69" i="7"/>
  <c r="AL77" i="6"/>
  <c r="AM76" i="6"/>
  <c r="AJ75" i="6"/>
  <c r="Y83" i="6"/>
  <c r="AA82" i="6"/>
  <c r="AC82" i="6"/>
  <c r="AE82" i="6"/>
  <c r="Q82" i="6"/>
  <c r="U81" i="6"/>
  <c r="W81" i="6"/>
  <c r="S81" i="6"/>
  <c r="AK44" i="6"/>
  <c r="AJ45" i="6"/>
  <c r="AK45" i="6" s="1"/>
  <c r="AL45" i="6"/>
  <c r="AM45" i="6" s="1"/>
  <c r="S53" i="6"/>
  <c r="U53" i="6"/>
  <c r="W53" i="6"/>
  <c r="AI47" i="6"/>
  <c r="A19" i="6"/>
  <c r="E18" i="6"/>
  <c r="C18" i="6"/>
  <c r="G18" i="6"/>
  <c r="AK14" i="6"/>
  <c r="G48" i="6"/>
  <c r="C48" i="6"/>
  <c r="E48" i="6"/>
  <c r="J81" i="6"/>
  <c r="E79" i="6"/>
  <c r="C79" i="6"/>
  <c r="AG19" i="6"/>
  <c r="AI18" i="6"/>
  <c r="AM18" i="6"/>
  <c r="Q20" i="6"/>
  <c r="W19" i="6"/>
  <c r="S19" i="6"/>
  <c r="U19" i="6"/>
  <c r="AC18" i="6"/>
  <c r="AC19" i="6"/>
  <c r="I80" i="6"/>
  <c r="K80" i="6" s="1"/>
  <c r="O79" i="6"/>
  <c r="K79" i="6"/>
  <c r="A80" i="6"/>
  <c r="G79" i="6"/>
  <c r="A49" i="6"/>
  <c r="I19" i="6"/>
  <c r="O18" i="6"/>
  <c r="K18" i="6"/>
  <c r="M18" i="6"/>
  <c r="A102" i="5"/>
  <c r="C101" i="5"/>
  <c r="E101" i="5"/>
  <c r="K101" i="5"/>
  <c r="M101" i="5"/>
  <c r="A58" i="5"/>
  <c r="C57" i="5"/>
  <c r="E57" i="5"/>
  <c r="K57" i="5"/>
  <c r="M57" i="5"/>
  <c r="C13" i="5"/>
  <c r="A14" i="5"/>
  <c r="E13" i="5"/>
  <c r="G13" i="5"/>
  <c r="M13" i="5"/>
  <c r="K13" i="5"/>
  <c r="I13" i="5"/>
  <c r="A146" i="4"/>
  <c r="A101" i="4"/>
  <c r="A57" i="4"/>
  <c r="K15" i="4"/>
  <c r="J16" i="4"/>
  <c r="F152" i="3"/>
  <c r="G152" i="3" s="1"/>
  <c r="J154" i="3"/>
  <c r="K154" i="3" s="1"/>
  <c r="D152" i="3"/>
  <c r="E152" i="3" s="1"/>
  <c r="H153" i="3"/>
  <c r="I153" i="3" s="1"/>
  <c r="L156" i="3"/>
  <c r="M156" i="3" s="1"/>
  <c r="I61" i="3"/>
  <c r="H62" i="3"/>
  <c r="H108" i="3"/>
  <c r="I108" i="3" s="1"/>
  <c r="N112" i="3"/>
  <c r="O112" i="3" s="1"/>
  <c r="F107" i="3"/>
  <c r="G107" i="3" s="1"/>
  <c r="J109" i="3"/>
  <c r="K109" i="3" s="1"/>
  <c r="L110" i="3"/>
  <c r="M110" i="3" s="1"/>
  <c r="L64" i="3"/>
  <c r="M64" i="3" s="1"/>
  <c r="F61" i="3"/>
  <c r="G61" i="3" s="1"/>
  <c r="J63" i="3"/>
  <c r="K63" i="3" s="1"/>
  <c r="D61" i="3"/>
  <c r="D15" i="3"/>
  <c r="E14" i="3"/>
  <c r="O23" i="3"/>
  <c r="K16" i="3"/>
  <c r="I15" i="3"/>
  <c r="M17" i="3"/>
  <c r="G15" i="3"/>
  <c r="B360" i="2"/>
  <c r="C359" i="2"/>
  <c r="O387" i="2"/>
  <c r="H253" i="2"/>
  <c r="I253" i="2" s="1"/>
  <c r="D253" i="2"/>
  <c r="E253" i="2" s="1"/>
  <c r="F253" i="2"/>
  <c r="G253" i="2" s="1"/>
  <c r="N109" i="2"/>
  <c r="O108" i="2"/>
  <c r="H170" i="2"/>
  <c r="I170" i="2" s="1"/>
  <c r="L181" i="2"/>
  <c r="M181" i="2" s="1"/>
  <c r="F168" i="2"/>
  <c r="G168" i="2" s="1"/>
  <c r="J174" i="2"/>
  <c r="K174" i="2" s="1"/>
  <c r="D167" i="2"/>
  <c r="E167" i="2" s="1"/>
  <c r="F90" i="2"/>
  <c r="G90" i="2" s="1"/>
  <c r="J95" i="2"/>
  <c r="K95" i="2" s="1"/>
  <c r="H91" i="2"/>
  <c r="I91" i="2" s="1"/>
  <c r="L102" i="2"/>
  <c r="M102" i="2" s="1"/>
  <c r="K49" i="2"/>
  <c r="M56" i="2"/>
  <c r="K12" i="2"/>
  <c r="F30" i="2"/>
  <c r="G29" i="2"/>
  <c r="I10" i="2"/>
  <c r="G10" i="2"/>
  <c r="E10" i="2"/>
  <c r="D107" i="3" l="1"/>
  <c r="E106" i="3"/>
  <c r="C146" i="4"/>
  <c r="M146" i="4"/>
  <c r="K146" i="4"/>
  <c r="E146" i="4"/>
  <c r="G146" i="4"/>
  <c r="I146" i="4"/>
  <c r="I58" i="5"/>
  <c r="G58" i="5"/>
  <c r="N18" i="7"/>
  <c r="O18" i="7" s="1"/>
  <c r="O17" i="7"/>
  <c r="CD128" i="7"/>
  <c r="CE127" i="7"/>
  <c r="I102" i="5"/>
  <c r="G102" i="5"/>
  <c r="AM70" i="7"/>
  <c r="AL71" i="7"/>
  <c r="AM71" i="7" s="1"/>
  <c r="E57" i="4"/>
  <c r="G57" i="4"/>
  <c r="M57" i="4"/>
  <c r="C57" i="4"/>
  <c r="K57" i="4"/>
  <c r="I57" i="4"/>
  <c r="CT127" i="7"/>
  <c r="CU126" i="7"/>
  <c r="AH78" i="6"/>
  <c r="AI77" i="6"/>
  <c r="BB72" i="7"/>
  <c r="BC71" i="7"/>
  <c r="A16" i="4"/>
  <c r="E15" i="4"/>
  <c r="C15" i="4"/>
  <c r="M15" i="4"/>
  <c r="I15" i="4"/>
  <c r="N124" i="7"/>
  <c r="O123" i="7"/>
  <c r="E61" i="3"/>
  <c r="D62" i="3"/>
  <c r="D63" i="3" s="1"/>
  <c r="D64" i="3" s="1"/>
  <c r="D65" i="3" s="1"/>
  <c r="D66" i="3" s="1"/>
  <c r="D67" i="3" s="1"/>
  <c r="D68" i="3" s="1"/>
  <c r="D69" i="3" s="1"/>
  <c r="D70" i="3" s="1"/>
  <c r="D71" i="3" s="1"/>
  <c r="AK75" i="6"/>
  <c r="AJ76" i="6"/>
  <c r="B25" i="1"/>
  <c r="L24" i="1"/>
  <c r="AY71" i="7"/>
  <c r="AX72" i="7"/>
  <c r="C101" i="4"/>
  <c r="K101" i="4"/>
  <c r="I101" i="4"/>
  <c r="G101" i="4"/>
  <c r="E101" i="4"/>
  <c r="M101" i="4"/>
  <c r="BC19" i="7"/>
  <c r="BB20" i="7"/>
  <c r="P124" i="7"/>
  <c r="Q123" i="7"/>
  <c r="P18" i="7"/>
  <c r="Q18" i="7" s="1"/>
  <c r="Q17" i="7"/>
  <c r="BL123" i="7"/>
  <c r="BM122" i="7"/>
  <c r="CB72" i="7"/>
  <c r="CC71" i="7"/>
  <c r="CV132" i="7"/>
  <c r="CW131" i="7"/>
  <c r="CU73" i="7"/>
  <c r="CT74" i="7"/>
  <c r="CU20" i="7"/>
  <c r="CT21" i="7"/>
  <c r="CR127" i="7"/>
  <c r="CS126" i="7"/>
  <c r="CL125" i="7"/>
  <c r="CM124" i="7"/>
  <c r="CO18" i="7"/>
  <c r="CN19" i="7"/>
  <c r="CP126" i="7"/>
  <c r="CQ125" i="7"/>
  <c r="CM71" i="7"/>
  <c r="CL72" i="7"/>
  <c r="CR22" i="7"/>
  <c r="CS21" i="7"/>
  <c r="CN71" i="7"/>
  <c r="CO70" i="7"/>
  <c r="CS73" i="7"/>
  <c r="CR74" i="7"/>
  <c r="CQ72" i="7"/>
  <c r="CP73" i="7"/>
  <c r="CP20" i="7"/>
  <c r="CQ19" i="7"/>
  <c r="CN124" i="7"/>
  <c r="CO123" i="7"/>
  <c r="CJ17" i="7"/>
  <c r="CK16" i="7"/>
  <c r="CL17" i="7"/>
  <c r="CM16" i="7"/>
  <c r="CJ124" i="7"/>
  <c r="CK123" i="7"/>
  <c r="CJ71" i="7"/>
  <c r="CK70" i="7"/>
  <c r="CB126" i="7"/>
  <c r="CC125" i="7"/>
  <c r="BZ72" i="7"/>
  <c r="CA71" i="7"/>
  <c r="CD22" i="7"/>
  <c r="CE21" i="7"/>
  <c r="CB20" i="7"/>
  <c r="CC19" i="7"/>
  <c r="BW71" i="7"/>
  <c r="BV72" i="7"/>
  <c r="BV18" i="7"/>
  <c r="BW17" i="7"/>
  <c r="BX17" i="7"/>
  <c r="BY16" i="7"/>
  <c r="BX70" i="7"/>
  <c r="BY69" i="7"/>
  <c r="BX124" i="7"/>
  <c r="BY123" i="7"/>
  <c r="BW124" i="7"/>
  <c r="BV125" i="7"/>
  <c r="CA124" i="7"/>
  <c r="BZ125" i="7"/>
  <c r="BZ18" i="7"/>
  <c r="CA17" i="7"/>
  <c r="BL18" i="7"/>
  <c r="BM18" i="7" s="1"/>
  <c r="BM17" i="7"/>
  <c r="BJ124" i="7"/>
  <c r="BK123" i="7"/>
  <c r="BE125" i="7"/>
  <c r="BD126" i="7"/>
  <c r="BE18" i="7"/>
  <c r="BD19" i="7"/>
  <c r="AP19" i="7"/>
  <c r="AQ19" i="7" s="1"/>
  <c r="AQ18" i="7"/>
  <c r="BB125" i="7"/>
  <c r="BC124" i="7"/>
  <c r="AZ18" i="7"/>
  <c r="BA17" i="7"/>
  <c r="AZ124" i="7"/>
  <c r="BA123" i="7"/>
  <c r="AZ71" i="7"/>
  <c r="BA70" i="7"/>
  <c r="AX18" i="7"/>
  <c r="AY17" i="7"/>
  <c r="AX124" i="7"/>
  <c r="AY123" i="7"/>
  <c r="AM123" i="7"/>
  <c r="AL124" i="7"/>
  <c r="AO16" i="7"/>
  <c r="AN17" i="7"/>
  <c r="AQ123" i="7"/>
  <c r="AP124" i="7"/>
  <c r="AO124" i="7"/>
  <c r="AN125" i="7"/>
  <c r="AL17" i="7"/>
  <c r="AM16" i="7"/>
  <c r="AC17" i="7"/>
  <c r="AB18" i="7"/>
  <c r="AC18" i="7" s="1"/>
  <c r="Z18" i="7"/>
  <c r="AA18" i="7" s="1"/>
  <c r="AA17" i="7"/>
  <c r="AB124" i="7"/>
  <c r="AC123" i="7"/>
  <c r="AA123" i="7"/>
  <c r="Z124" i="7"/>
  <c r="AL78" i="6"/>
  <c r="AM77" i="6"/>
  <c r="Q83" i="6"/>
  <c r="S82" i="6"/>
  <c r="U82" i="6"/>
  <c r="W82" i="6"/>
  <c r="AA83" i="6"/>
  <c r="AC83" i="6"/>
  <c r="AE83" i="6"/>
  <c r="AK46" i="6"/>
  <c r="A20" i="6"/>
  <c r="G19" i="6"/>
  <c r="E19" i="6"/>
  <c r="C19" i="6"/>
  <c r="AK15" i="6"/>
  <c r="E80" i="6"/>
  <c r="C80" i="6"/>
  <c r="C49" i="6"/>
  <c r="G49" i="6"/>
  <c r="E49" i="6"/>
  <c r="AG20" i="6"/>
  <c r="AM19" i="6"/>
  <c r="AI19" i="6"/>
  <c r="AK19" i="6"/>
  <c r="Q21" i="6"/>
  <c r="W20" i="6"/>
  <c r="S20" i="6"/>
  <c r="U20" i="6"/>
  <c r="M80" i="6"/>
  <c r="M79" i="6"/>
  <c r="O80" i="6"/>
  <c r="I81" i="6"/>
  <c r="K81" i="6" s="1"/>
  <c r="G80" i="6"/>
  <c r="A50" i="6"/>
  <c r="I20" i="6"/>
  <c r="O19" i="6"/>
  <c r="K19" i="6"/>
  <c r="M19" i="6"/>
  <c r="M102" i="5"/>
  <c r="A103" i="5"/>
  <c r="C102" i="5"/>
  <c r="E102" i="5"/>
  <c r="K102" i="5"/>
  <c r="M58" i="5"/>
  <c r="A59" i="5"/>
  <c r="C58" i="5"/>
  <c r="E58" i="5"/>
  <c r="K58" i="5"/>
  <c r="A15" i="5"/>
  <c r="E14" i="5"/>
  <c r="G14" i="5"/>
  <c r="C14" i="5"/>
  <c r="M14" i="5"/>
  <c r="K14" i="5"/>
  <c r="I14" i="5"/>
  <c r="A147" i="4"/>
  <c r="A102" i="4"/>
  <c r="A58" i="4"/>
  <c r="J17" i="4"/>
  <c r="K16" i="4"/>
  <c r="J155" i="3"/>
  <c r="K155" i="3" s="1"/>
  <c r="L157" i="3"/>
  <c r="M157" i="3" s="1"/>
  <c r="D153" i="3"/>
  <c r="E153" i="3" s="1"/>
  <c r="H154" i="3"/>
  <c r="I154" i="3" s="1"/>
  <c r="F153" i="3"/>
  <c r="G153" i="3" s="1"/>
  <c r="I62" i="3"/>
  <c r="H63" i="3"/>
  <c r="L111" i="3"/>
  <c r="M111" i="3" s="1"/>
  <c r="N113" i="3"/>
  <c r="O113" i="3" s="1"/>
  <c r="J110" i="3"/>
  <c r="K110" i="3" s="1"/>
  <c r="H109" i="3"/>
  <c r="I109" i="3" s="1"/>
  <c r="F108" i="3"/>
  <c r="G108" i="3" s="1"/>
  <c r="F62" i="3"/>
  <c r="G62" i="3" s="1"/>
  <c r="E62" i="3"/>
  <c r="J64" i="3"/>
  <c r="K64" i="3" s="1"/>
  <c r="L65" i="3"/>
  <c r="M65" i="3" s="1"/>
  <c r="D16" i="3"/>
  <c r="E15" i="3"/>
  <c r="O24" i="3"/>
  <c r="K17" i="3"/>
  <c r="I16" i="3"/>
  <c r="M18" i="3"/>
  <c r="G16" i="3"/>
  <c r="B361" i="2"/>
  <c r="C360" i="2"/>
  <c r="O388" i="2"/>
  <c r="D254" i="2"/>
  <c r="E254" i="2" s="1"/>
  <c r="H254" i="2"/>
  <c r="I254" i="2" s="1"/>
  <c r="F254" i="2"/>
  <c r="G254" i="2" s="1"/>
  <c r="N110" i="2"/>
  <c r="O109" i="2"/>
  <c r="J175" i="2"/>
  <c r="K175" i="2" s="1"/>
  <c r="F169" i="2"/>
  <c r="G169" i="2" s="1"/>
  <c r="H171" i="2"/>
  <c r="I171" i="2" s="1"/>
  <c r="L182" i="2"/>
  <c r="M182" i="2" s="1"/>
  <c r="D168" i="2"/>
  <c r="E168" i="2" s="1"/>
  <c r="L103" i="2"/>
  <c r="M103" i="2" s="1"/>
  <c r="F91" i="2"/>
  <c r="G91" i="2" s="1"/>
  <c r="D89" i="2"/>
  <c r="E89" i="2" s="1"/>
  <c r="H92" i="2"/>
  <c r="I92" i="2" s="1"/>
  <c r="J96" i="2"/>
  <c r="K96" i="2" s="1"/>
  <c r="K50" i="2"/>
  <c r="M57" i="2"/>
  <c r="K13" i="2"/>
  <c r="F31" i="2"/>
  <c r="F32" i="2" s="1"/>
  <c r="G30" i="2"/>
  <c r="I11" i="2"/>
  <c r="G11" i="2"/>
  <c r="E11" i="2"/>
  <c r="CB73" i="7" l="1"/>
  <c r="CC72" i="7"/>
  <c r="I103" i="5"/>
  <c r="G103" i="5"/>
  <c r="BB21" i="7"/>
  <c r="BC20" i="7"/>
  <c r="AK76" i="6"/>
  <c r="AJ77" i="6"/>
  <c r="BB73" i="7"/>
  <c r="BC73" i="7" s="1"/>
  <c r="BC72" i="7"/>
  <c r="C102" i="4"/>
  <c r="G102" i="4"/>
  <c r="E102" i="4"/>
  <c r="M102" i="4"/>
  <c r="K102" i="4"/>
  <c r="I102" i="4"/>
  <c r="G59" i="5"/>
  <c r="I59" i="5"/>
  <c r="BL124" i="7"/>
  <c r="BM123" i="7"/>
  <c r="Q124" i="7"/>
  <c r="P125" i="7"/>
  <c r="Q125" i="7" s="1"/>
  <c r="B26" i="1"/>
  <c r="L25" i="1"/>
  <c r="N125" i="7"/>
  <c r="O125" i="7" s="1"/>
  <c r="O124" i="7"/>
  <c r="C147" i="4"/>
  <c r="G147" i="4"/>
  <c r="K147" i="4"/>
  <c r="I147" i="4"/>
  <c r="E147" i="4"/>
  <c r="M147" i="4"/>
  <c r="AO125" i="7"/>
  <c r="AN126" i="7"/>
  <c r="AO126" i="7" s="1"/>
  <c r="AX73" i="7"/>
  <c r="AY72" i="7"/>
  <c r="AH79" i="6"/>
  <c r="AI79" i="6" s="1"/>
  <c r="AI78" i="6"/>
  <c r="C58" i="4"/>
  <c r="M58" i="4"/>
  <c r="E58" i="4"/>
  <c r="G58" i="4"/>
  <c r="K58" i="4"/>
  <c r="I58" i="4"/>
  <c r="AQ124" i="7"/>
  <c r="AP125" i="7"/>
  <c r="A17" i="4"/>
  <c r="C16" i="4"/>
  <c r="E16" i="4"/>
  <c r="M16" i="4"/>
  <c r="I16" i="4"/>
  <c r="CT128" i="7"/>
  <c r="CU127" i="7"/>
  <c r="CD129" i="7"/>
  <c r="CE128" i="7"/>
  <c r="D108" i="3"/>
  <c r="E107" i="3"/>
  <c r="CV133" i="7"/>
  <c r="CW132" i="7"/>
  <c r="CU74" i="7"/>
  <c r="CT75" i="7"/>
  <c r="CU21" i="7"/>
  <c r="CT22" i="7"/>
  <c r="CS74" i="7"/>
  <c r="CR75" i="7"/>
  <c r="CJ72" i="7"/>
  <c r="CK71" i="7"/>
  <c r="CL18" i="7"/>
  <c r="CM17" i="7"/>
  <c r="CO124" i="7"/>
  <c r="CN125" i="7"/>
  <c r="CN72" i="7"/>
  <c r="CO71" i="7"/>
  <c r="CS127" i="7"/>
  <c r="CR128" i="7"/>
  <c r="CP74" i="7"/>
  <c r="CQ73" i="7"/>
  <c r="CM72" i="7"/>
  <c r="CL73" i="7"/>
  <c r="CO19" i="7"/>
  <c r="CN20" i="7"/>
  <c r="CK124" i="7"/>
  <c r="CJ125" i="7"/>
  <c r="CJ18" i="7"/>
  <c r="CK17" i="7"/>
  <c r="CQ20" i="7"/>
  <c r="CP21" i="7"/>
  <c r="CS22" i="7"/>
  <c r="CR23" i="7"/>
  <c r="CQ126" i="7"/>
  <c r="CP127" i="7"/>
  <c r="CL126" i="7"/>
  <c r="CM125" i="7"/>
  <c r="CB127" i="7"/>
  <c r="CC126" i="7"/>
  <c r="BZ73" i="7"/>
  <c r="CA72" i="7"/>
  <c r="CD23" i="7"/>
  <c r="CE22" i="7"/>
  <c r="CB21" i="7"/>
  <c r="CC20" i="7"/>
  <c r="BW72" i="7"/>
  <c r="BV73" i="7"/>
  <c r="CA125" i="7"/>
  <c r="BZ126" i="7"/>
  <c r="BZ19" i="7"/>
  <c r="CA18" i="7"/>
  <c r="BX71" i="7"/>
  <c r="BY70" i="7"/>
  <c r="BV19" i="7"/>
  <c r="BW18" i="7"/>
  <c r="BW125" i="7"/>
  <c r="BV126" i="7"/>
  <c r="BX125" i="7"/>
  <c r="BY124" i="7"/>
  <c r="BX18" i="7"/>
  <c r="BY17" i="7"/>
  <c r="BK124" i="7"/>
  <c r="BJ125" i="7"/>
  <c r="BK125" i="7" s="1"/>
  <c r="BD127" i="7"/>
  <c r="BE126" i="7"/>
  <c r="BD20" i="7"/>
  <c r="BE19" i="7"/>
  <c r="BA71" i="7"/>
  <c r="AZ72" i="7"/>
  <c r="AY18" i="7"/>
  <c r="AX19" i="7"/>
  <c r="AZ125" i="7"/>
  <c r="BA124" i="7"/>
  <c r="BB126" i="7"/>
  <c r="BC125" i="7"/>
  <c r="AX125" i="7"/>
  <c r="AY124" i="7"/>
  <c r="AZ19" i="7"/>
  <c r="BA18" i="7"/>
  <c r="AO17" i="7"/>
  <c r="AN18" i="7"/>
  <c r="AL18" i="7"/>
  <c r="AM17" i="7"/>
  <c r="AM124" i="7"/>
  <c r="AL125" i="7"/>
  <c r="AA124" i="7"/>
  <c r="Z125" i="7"/>
  <c r="AA125" i="7" s="1"/>
  <c r="AC124" i="7"/>
  <c r="AB125" i="7"/>
  <c r="AC125" i="7" s="1"/>
  <c r="AL79" i="6"/>
  <c r="AM78" i="6"/>
  <c r="S83" i="6"/>
  <c r="U83" i="6"/>
  <c r="W83" i="6"/>
  <c r="AM47" i="6"/>
  <c r="AK47" i="6"/>
  <c r="A21" i="6"/>
  <c r="C20" i="6"/>
  <c r="G20" i="6"/>
  <c r="E20" i="6"/>
  <c r="AK16" i="6"/>
  <c r="M81" i="6"/>
  <c r="G50" i="6"/>
  <c r="E50" i="6"/>
  <c r="C50" i="6"/>
  <c r="AG21" i="6"/>
  <c r="AI20" i="6"/>
  <c r="AM20" i="6"/>
  <c r="AK20" i="6"/>
  <c r="Q22" i="6"/>
  <c r="Q23" i="6" s="1"/>
  <c r="W21" i="6"/>
  <c r="S21" i="6"/>
  <c r="U21" i="6"/>
  <c r="O81" i="6"/>
  <c r="I82" i="6"/>
  <c r="A82" i="6"/>
  <c r="G81" i="6"/>
  <c r="A51" i="6"/>
  <c r="I21" i="6"/>
  <c r="O20" i="6"/>
  <c r="K103" i="5"/>
  <c r="M103" i="5"/>
  <c r="A104" i="5"/>
  <c r="C103" i="5"/>
  <c r="E103" i="5"/>
  <c r="K59" i="5"/>
  <c r="M59" i="5"/>
  <c r="A60" i="5"/>
  <c r="C59" i="5"/>
  <c r="E59" i="5"/>
  <c r="C15" i="5"/>
  <c r="A16" i="5"/>
  <c r="E15" i="5"/>
  <c r="G15" i="5"/>
  <c r="M15" i="5"/>
  <c r="K15" i="5"/>
  <c r="I15" i="5"/>
  <c r="A148" i="4"/>
  <c r="A103" i="4"/>
  <c r="A59" i="4"/>
  <c r="J18" i="4"/>
  <c r="K17" i="4"/>
  <c r="L158" i="3"/>
  <c r="M158" i="3" s="1"/>
  <c r="F154" i="3"/>
  <c r="G154" i="3" s="1"/>
  <c r="H155" i="3"/>
  <c r="I155" i="3" s="1"/>
  <c r="D154" i="3"/>
  <c r="J156" i="3"/>
  <c r="K156" i="3" s="1"/>
  <c r="H64" i="3"/>
  <c r="I63" i="3"/>
  <c r="H110" i="3"/>
  <c r="I110" i="3" s="1"/>
  <c r="J111" i="3"/>
  <c r="L112" i="3"/>
  <c r="F109" i="3"/>
  <c r="G109" i="3" s="1"/>
  <c r="N114" i="3"/>
  <c r="O114" i="3" s="1"/>
  <c r="J65" i="3"/>
  <c r="K65" i="3" s="1"/>
  <c r="L66" i="3"/>
  <c r="M66" i="3" s="1"/>
  <c r="E63" i="3"/>
  <c r="F63" i="3"/>
  <c r="G63" i="3" s="1"/>
  <c r="D17" i="3"/>
  <c r="D18" i="3" s="1"/>
  <c r="D19" i="3" s="1"/>
  <c r="E16" i="3"/>
  <c r="O25" i="3"/>
  <c r="K18" i="3"/>
  <c r="I17" i="3"/>
  <c r="M19" i="3"/>
  <c r="G17" i="3"/>
  <c r="B362" i="2"/>
  <c r="C361" i="2"/>
  <c r="J357" i="2"/>
  <c r="K357" i="2" s="1"/>
  <c r="O389" i="2"/>
  <c r="H255" i="2"/>
  <c r="I255" i="2" s="1"/>
  <c r="D255" i="2"/>
  <c r="E255" i="2" s="1"/>
  <c r="F255" i="2"/>
  <c r="G255" i="2" s="1"/>
  <c r="N111" i="2"/>
  <c r="O110" i="2"/>
  <c r="D169" i="2"/>
  <c r="E169" i="2" s="1"/>
  <c r="H172" i="2"/>
  <c r="I172" i="2" s="1"/>
  <c r="J176" i="2"/>
  <c r="K176" i="2" s="1"/>
  <c r="F170" i="2"/>
  <c r="G170" i="2" s="1"/>
  <c r="L183" i="2"/>
  <c r="M183" i="2" s="1"/>
  <c r="J97" i="2"/>
  <c r="K97" i="2" s="1"/>
  <c r="D90" i="2"/>
  <c r="E90" i="2" s="1"/>
  <c r="L104" i="2"/>
  <c r="M104" i="2" s="1"/>
  <c r="H93" i="2"/>
  <c r="I93" i="2" s="1"/>
  <c r="F92" i="2"/>
  <c r="G92" i="2" s="1"/>
  <c r="K51" i="2"/>
  <c r="M58" i="2"/>
  <c r="K14" i="2"/>
  <c r="G31" i="2"/>
  <c r="I12" i="2"/>
  <c r="G12" i="2"/>
  <c r="E12" i="2"/>
  <c r="D20" i="3" l="1"/>
  <c r="E19" i="3"/>
  <c r="I104" i="5"/>
  <c r="G104" i="5"/>
  <c r="AO18" i="7"/>
  <c r="AN19" i="7"/>
  <c r="BW126" i="7"/>
  <c r="BV127" i="7"/>
  <c r="A18" i="4"/>
  <c r="E17" i="4"/>
  <c r="C17" i="4"/>
  <c r="M17" i="4"/>
  <c r="I17" i="4"/>
  <c r="AY73" i="7"/>
  <c r="AX74" i="7"/>
  <c r="AY74" i="7" s="1"/>
  <c r="B27" i="1"/>
  <c r="L26" i="1"/>
  <c r="BB22" i="7"/>
  <c r="BC22" i="7" s="1"/>
  <c r="BC21" i="7"/>
  <c r="M112" i="3"/>
  <c r="L113" i="3"/>
  <c r="M113" i="3" s="1"/>
  <c r="D155" i="3"/>
  <c r="E154" i="3"/>
  <c r="I60" i="5"/>
  <c r="G60" i="5"/>
  <c r="BC126" i="7"/>
  <c r="BB127" i="7"/>
  <c r="CT129" i="7"/>
  <c r="CU128" i="7"/>
  <c r="AQ125" i="7"/>
  <c r="AP126" i="7"/>
  <c r="AQ126" i="7" s="1"/>
  <c r="CD130" i="7"/>
  <c r="CE129" i="7"/>
  <c r="K111" i="3"/>
  <c r="J112" i="3"/>
  <c r="K112" i="3" s="1"/>
  <c r="G103" i="4"/>
  <c r="E103" i="4"/>
  <c r="M103" i="4"/>
  <c r="I103" i="4"/>
  <c r="K103" i="4"/>
  <c r="C103" i="4"/>
  <c r="AM125" i="7"/>
  <c r="AL126" i="7"/>
  <c r="AM126" i="7" s="1"/>
  <c r="CA126" i="7"/>
  <c r="BZ127" i="7"/>
  <c r="M59" i="4"/>
  <c r="E59" i="4"/>
  <c r="C59" i="4"/>
  <c r="G59" i="4"/>
  <c r="K59" i="4"/>
  <c r="I59" i="4"/>
  <c r="K148" i="4"/>
  <c r="E148" i="4"/>
  <c r="I148" i="4"/>
  <c r="M148" i="4"/>
  <c r="G148" i="4"/>
  <c r="C148" i="4"/>
  <c r="D109" i="3"/>
  <c r="E108" i="3"/>
  <c r="AJ78" i="6"/>
  <c r="AK77" i="6"/>
  <c r="AM18" i="7"/>
  <c r="AL19" i="7"/>
  <c r="BL125" i="7"/>
  <c r="BM125" i="7" s="1"/>
  <c r="BM124" i="7"/>
  <c r="CB74" i="7"/>
  <c r="CC73" i="7"/>
  <c r="CV134" i="7"/>
  <c r="CW133" i="7"/>
  <c r="CS75" i="7"/>
  <c r="CR76" i="7"/>
  <c r="CT76" i="7"/>
  <c r="CU75" i="7"/>
  <c r="CU22" i="7"/>
  <c r="CT23" i="7"/>
  <c r="CQ127" i="7"/>
  <c r="CP128" i="7"/>
  <c r="CQ21" i="7"/>
  <c r="CP22" i="7"/>
  <c r="CK125" i="7"/>
  <c r="CJ126" i="7"/>
  <c r="CL74" i="7"/>
  <c r="CM73" i="7"/>
  <c r="CS128" i="7"/>
  <c r="CR129" i="7"/>
  <c r="CO125" i="7"/>
  <c r="CN126" i="7"/>
  <c r="CM126" i="7"/>
  <c r="CL127" i="7"/>
  <c r="CK18" i="7"/>
  <c r="CJ19" i="7"/>
  <c r="CP75" i="7"/>
  <c r="CQ74" i="7"/>
  <c r="CN73" i="7"/>
  <c r="CO72" i="7"/>
  <c r="CL19" i="7"/>
  <c r="CM18" i="7"/>
  <c r="CS23" i="7"/>
  <c r="CR24" i="7"/>
  <c r="CN21" i="7"/>
  <c r="CO20" i="7"/>
  <c r="CJ73" i="7"/>
  <c r="CK72" i="7"/>
  <c r="CB128" i="7"/>
  <c r="CC127" i="7"/>
  <c r="BZ74" i="7"/>
  <c r="CA73" i="7"/>
  <c r="CD24" i="7"/>
  <c r="CE24" i="7" s="1"/>
  <c r="CE23" i="7"/>
  <c r="CB22" i="7"/>
  <c r="CC21" i="7"/>
  <c r="CA19" i="7"/>
  <c r="BZ20" i="7"/>
  <c r="BW73" i="7"/>
  <c r="BV74" i="7"/>
  <c r="BY71" i="7"/>
  <c r="BX72" i="7"/>
  <c r="BY18" i="7"/>
  <c r="BX19" i="7"/>
  <c r="BX126" i="7"/>
  <c r="BY125" i="7"/>
  <c r="BW19" i="7"/>
  <c r="BV20" i="7"/>
  <c r="BE127" i="7"/>
  <c r="BD128" i="7"/>
  <c r="BE128" i="7" s="1"/>
  <c r="BD21" i="7"/>
  <c r="BE21" i="7" s="1"/>
  <c r="BE20" i="7"/>
  <c r="AZ73" i="7"/>
  <c r="BA73" i="7" s="1"/>
  <c r="BA72" i="7"/>
  <c r="BA19" i="7"/>
  <c r="AZ20" i="7"/>
  <c r="AY19" i="7"/>
  <c r="AX20" i="7"/>
  <c r="AX126" i="7"/>
  <c r="AY125" i="7"/>
  <c r="BA125" i="7"/>
  <c r="AZ126" i="7"/>
  <c r="AM79" i="6"/>
  <c r="AL80" i="6"/>
  <c r="AM80" i="6" s="1"/>
  <c r="AK48" i="6"/>
  <c r="AM48" i="6"/>
  <c r="A22" i="6"/>
  <c r="E21" i="6"/>
  <c r="G21" i="6"/>
  <c r="C21" i="6"/>
  <c r="AK18" i="6"/>
  <c r="AK17" i="6"/>
  <c r="W23" i="6"/>
  <c r="U23" i="6"/>
  <c r="S23" i="6"/>
  <c r="E51" i="6"/>
  <c r="G51" i="6"/>
  <c r="C51" i="6"/>
  <c r="AG22" i="6"/>
  <c r="AG23" i="6" s="1"/>
  <c r="AI21" i="6"/>
  <c r="AM21" i="6"/>
  <c r="AK21" i="6"/>
  <c r="S22" i="6"/>
  <c r="U22" i="6"/>
  <c r="W22" i="6"/>
  <c r="K82" i="6"/>
  <c r="O82" i="6"/>
  <c r="M82" i="6"/>
  <c r="I83" i="6"/>
  <c r="A83" i="6"/>
  <c r="C82" i="6"/>
  <c r="E82" i="6"/>
  <c r="G82" i="6"/>
  <c r="A52" i="6"/>
  <c r="G52" i="6" s="1"/>
  <c r="I22" i="6"/>
  <c r="I23" i="6" s="1"/>
  <c r="O21" i="6"/>
  <c r="E104" i="5"/>
  <c r="K104" i="5"/>
  <c r="M104" i="5"/>
  <c r="A105" i="5"/>
  <c r="I105" i="5" s="1"/>
  <c r="C104" i="5"/>
  <c r="E60" i="5"/>
  <c r="K60" i="5"/>
  <c r="M60" i="5"/>
  <c r="A61" i="5"/>
  <c r="I61" i="5" s="1"/>
  <c r="C60" i="5"/>
  <c r="E16" i="5"/>
  <c r="A17" i="5"/>
  <c r="G16" i="5"/>
  <c r="C16" i="5"/>
  <c r="M16" i="5"/>
  <c r="K16" i="5"/>
  <c r="I16" i="5"/>
  <c r="A149" i="4"/>
  <c r="A104" i="4"/>
  <c r="A60" i="4"/>
  <c r="J19" i="4"/>
  <c r="K18" i="4"/>
  <c r="H156" i="3"/>
  <c r="I156" i="3" s="1"/>
  <c r="L159" i="3"/>
  <c r="M159" i="3" s="1"/>
  <c r="F155" i="3"/>
  <c r="G155" i="3" s="1"/>
  <c r="J157" i="3"/>
  <c r="K157" i="3" s="1"/>
  <c r="H65" i="3"/>
  <c r="I64" i="3"/>
  <c r="N115" i="3"/>
  <c r="F110" i="3"/>
  <c r="G110" i="3" s="1"/>
  <c r="H111" i="3"/>
  <c r="E64" i="3"/>
  <c r="J66" i="3"/>
  <c r="K66" i="3" s="1"/>
  <c r="F64" i="3"/>
  <c r="G64" i="3" s="1"/>
  <c r="L67" i="3"/>
  <c r="M67" i="3" s="1"/>
  <c r="E17" i="3"/>
  <c r="O26" i="3"/>
  <c r="K19" i="3"/>
  <c r="I18" i="3"/>
  <c r="M20" i="3"/>
  <c r="G18" i="3"/>
  <c r="B363" i="2"/>
  <c r="C362" i="2"/>
  <c r="O390" i="2"/>
  <c r="J358" i="2"/>
  <c r="K358" i="2" s="1"/>
  <c r="D256" i="2"/>
  <c r="E256" i="2" s="1"/>
  <c r="F256" i="2"/>
  <c r="G256" i="2" s="1"/>
  <c r="H256" i="2"/>
  <c r="I256" i="2" s="1"/>
  <c r="M262" i="2"/>
  <c r="N112" i="2"/>
  <c r="O111" i="2"/>
  <c r="F171" i="2"/>
  <c r="G171" i="2" s="1"/>
  <c r="D170" i="2"/>
  <c r="E170" i="2" s="1"/>
  <c r="H173" i="2"/>
  <c r="I173" i="2" s="1"/>
  <c r="L184" i="2"/>
  <c r="M184" i="2" s="1"/>
  <c r="J177" i="2"/>
  <c r="K177" i="2" s="1"/>
  <c r="F93" i="2"/>
  <c r="G93" i="2" s="1"/>
  <c r="L105" i="2"/>
  <c r="M105" i="2" s="1"/>
  <c r="J98" i="2"/>
  <c r="K98" i="2" s="1"/>
  <c r="H94" i="2"/>
  <c r="I94" i="2" s="1"/>
  <c r="D91" i="2"/>
  <c r="E91" i="2" s="1"/>
  <c r="K52" i="2"/>
  <c r="M59" i="2"/>
  <c r="K15" i="2"/>
  <c r="F33" i="2"/>
  <c r="F34" i="2" s="1"/>
  <c r="F35" i="2" s="1"/>
  <c r="G32" i="2"/>
  <c r="I13" i="2"/>
  <c r="G13" i="2"/>
  <c r="E13" i="2"/>
  <c r="BY126" i="7" l="1"/>
  <c r="BX127" i="7"/>
  <c r="BA126" i="7"/>
  <c r="AZ127" i="7"/>
  <c r="BA20" i="7"/>
  <c r="AZ21" i="7"/>
  <c r="I111" i="3"/>
  <c r="H112" i="3"/>
  <c r="I112" i="3" s="1"/>
  <c r="E104" i="4"/>
  <c r="K104" i="4"/>
  <c r="I104" i="4"/>
  <c r="C104" i="4"/>
  <c r="M104" i="4"/>
  <c r="G104" i="4"/>
  <c r="D110" i="3"/>
  <c r="E109" i="3"/>
  <c r="CT130" i="7"/>
  <c r="CU129" i="7"/>
  <c r="D156" i="3"/>
  <c r="E155" i="3"/>
  <c r="B28" i="1"/>
  <c r="L27" i="1"/>
  <c r="AJ79" i="6"/>
  <c r="AK79" i="6" s="1"/>
  <c r="AK78" i="6"/>
  <c r="AN20" i="7"/>
  <c r="AO20" i="7" s="1"/>
  <c r="AO19" i="7"/>
  <c r="G149" i="4"/>
  <c r="K149" i="4"/>
  <c r="E149" i="4"/>
  <c r="M149" i="4"/>
  <c r="C149" i="4"/>
  <c r="I149" i="4"/>
  <c r="CS24" i="7"/>
  <c r="CR25" i="7"/>
  <c r="AL20" i="7"/>
  <c r="AM20" i="7" s="1"/>
  <c r="AM19" i="7"/>
  <c r="BZ128" i="7"/>
  <c r="CA127" i="7"/>
  <c r="BB128" i="7"/>
  <c r="BC127" i="7"/>
  <c r="A19" i="4"/>
  <c r="E18" i="4"/>
  <c r="C18" i="4"/>
  <c r="M18" i="4"/>
  <c r="I18" i="4"/>
  <c r="O115" i="3"/>
  <c r="N116" i="3"/>
  <c r="AX127" i="7"/>
  <c r="AY126" i="7"/>
  <c r="CD131" i="7"/>
  <c r="CE130" i="7"/>
  <c r="BV128" i="7"/>
  <c r="BW127" i="7"/>
  <c r="CB75" i="7"/>
  <c r="CC74" i="7"/>
  <c r="G60" i="4"/>
  <c r="E60" i="4"/>
  <c r="M60" i="4"/>
  <c r="C60" i="4"/>
  <c r="K60" i="4"/>
  <c r="I60" i="4"/>
  <c r="AY20" i="7"/>
  <c r="AX21" i="7"/>
  <c r="D21" i="3"/>
  <c r="E20" i="3"/>
  <c r="CV135" i="7"/>
  <c r="CW134" i="7"/>
  <c r="CS76" i="7"/>
  <c r="CR77" i="7"/>
  <c r="CU76" i="7"/>
  <c r="CT77" i="7"/>
  <c r="CU23" i="7"/>
  <c r="CT24" i="7"/>
  <c r="CK19" i="7"/>
  <c r="CJ20" i="7"/>
  <c r="CN127" i="7"/>
  <c r="CO126" i="7"/>
  <c r="CP23" i="7"/>
  <c r="CQ22" i="7"/>
  <c r="CN22" i="7"/>
  <c r="CO21" i="7"/>
  <c r="CL20" i="7"/>
  <c r="CM19" i="7"/>
  <c r="CQ75" i="7"/>
  <c r="CP76" i="7"/>
  <c r="CM127" i="7"/>
  <c r="CL128" i="7"/>
  <c r="CS129" i="7"/>
  <c r="CR130" i="7"/>
  <c r="CJ127" i="7"/>
  <c r="CK126" i="7"/>
  <c r="CQ128" i="7"/>
  <c r="CP129" i="7"/>
  <c r="CK73" i="7"/>
  <c r="CJ74" i="7"/>
  <c r="CO73" i="7"/>
  <c r="CN74" i="7"/>
  <c r="CL75" i="7"/>
  <c r="CM74" i="7"/>
  <c r="CB129" i="7"/>
  <c r="CC128" i="7"/>
  <c r="BZ75" i="7"/>
  <c r="CA74" i="7"/>
  <c r="CB23" i="7"/>
  <c r="CC22" i="7"/>
  <c r="BW20" i="7"/>
  <c r="BV21" i="7"/>
  <c r="BZ21" i="7"/>
  <c r="CA20" i="7"/>
  <c r="BW74" i="7"/>
  <c r="BV75" i="7"/>
  <c r="BY72" i="7"/>
  <c r="BX73" i="7"/>
  <c r="BX20" i="7"/>
  <c r="BY19" i="7"/>
  <c r="A23" i="6"/>
  <c r="G22" i="6"/>
  <c r="E22" i="6"/>
  <c r="C22" i="6"/>
  <c r="O23" i="6"/>
  <c r="M23" i="6"/>
  <c r="K23" i="6"/>
  <c r="AM23" i="6"/>
  <c r="AK23" i="6"/>
  <c r="AI23" i="6"/>
  <c r="AI22" i="6"/>
  <c r="AK22" i="6"/>
  <c r="AM22" i="6"/>
  <c r="M83" i="6"/>
  <c r="K83" i="6"/>
  <c r="O83" i="6"/>
  <c r="C83" i="6"/>
  <c r="E83" i="6"/>
  <c r="G83" i="6"/>
  <c r="E52" i="6"/>
  <c r="A53" i="6"/>
  <c r="C52" i="6"/>
  <c r="K22" i="6"/>
  <c r="M22" i="6"/>
  <c r="O22" i="6"/>
  <c r="C105" i="5"/>
  <c r="K105" i="5"/>
  <c r="E105" i="5"/>
  <c r="M105" i="5"/>
  <c r="G105" i="5"/>
  <c r="A106" i="5"/>
  <c r="C61" i="5"/>
  <c r="K61" i="5"/>
  <c r="E61" i="5"/>
  <c r="M61" i="5"/>
  <c r="G61" i="5"/>
  <c r="A62" i="5"/>
  <c r="A18" i="5"/>
  <c r="C17" i="5"/>
  <c r="E17" i="5"/>
  <c r="G17" i="5"/>
  <c r="M17" i="5"/>
  <c r="K17" i="5"/>
  <c r="I17" i="5"/>
  <c r="A150" i="4"/>
  <c r="A105" i="4"/>
  <c r="A61" i="4"/>
  <c r="J20" i="4"/>
  <c r="K19" i="4"/>
  <c r="J158" i="3"/>
  <c r="K158" i="3" s="1"/>
  <c r="H157" i="3"/>
  <c r="I157" i="3" s="1"/>
  <c r="F156" i="3"/>
  <c r="G156" i="3" s="1"/>
  <c r="L160" i="3"/>
  <c r="M160" i="3" s="1"/>
  <c r="H66" i="3"/>
  <c r="I65" i="3"/>
  <c r="F111" i="3"/>
  <c r="G111" i="3" s="1"/>
  <c r="L68" i="3"/>
  <c r="M68" i="3" s="1"/>
  <c r="J67" i="3"/>
  <c r="K67" i="3" s="1"/>
  <c r="E65" i="3"/>
  <c r="F65" i="3"/>
  <c r="G65" i="3" s="1"/>
  <c r="E18" i="3"/>
  <c r="O27" i="3"/>
  <c r="K20" i="3"/>
  <c r="I19" i="3"/>
  <c r="M21" i="3"/>
  <c r="G19" i="3"/>
  <c r="C363" i="2"/>
  <c r="B364" i="2"/>
  <c r="C364" i="2" s="1"/>
  <c r="O391" i="2"/>
  <c r="J359" i="2"/>
  <c r="K359" i="2" s="1"/>
  <c r="F257" i="2"/>
  <c r="G257" i="2" s="1"/>
  <c r="L263" i="2"/>
  <c r="M263" i="2" s="1"/>
  <c r="H257" i="2"/>
  <c r="I257" i="2" s="1"/>
  <c r="D257" i="2"/>
  <c r="E257" i="2" s="1"/>
  <c r="N113" i="2"/>
  <c r="O112" i="2"/>
  <c r="D171" i="2"/>
  <c r="E171" i="2" s="1"/>
  <c r="H174" i="2"/>
  <c r="I174" i="2" s="1"/>
  <c r="F172" i="2"/>
  <c r="G172" i="2" s="1"/>
  <c r="L185" i="2"/>
  <c r="M185" i="2" s="1"/>
  <c r="J178" i="2"/>
  <c r="K178" i="2" s="1"/>
  <c r="D92" i="2"/>
  <c r="E92" i="2" s="1"/>
  <c r="F94" i="2"/>
  <c r="G94" i="2" s="1"/>
  <c r="J99" i="2"/>
  <c r="K99" i="2" s="1"/>
  <c r="H95" i="2"/>
  <c r="I95" i="2" s="1"/>
  <c r="L106" i="2"/>
  <c r="M106" i="2" s="1"/>
  <c r="K53" i="2"/>
  <c r="M60" i="2"/>
  <c r="K16" i="2"/>
  <c r="G33" i="2"/>
  <c r="I14" i="2"/>
  <c r="G14" i="2"/>
  <c r="E14" i="2"/>
  <c r="CB76" i="7" l="1"/>
  <c r="CC75" i="7"/>
  <c r="AX128" i="7"/>
  <c r="AY127" i="7"/>
  <c r="M105" i="4"/>
  <c r="C105" i="4"/>
  <c r="G105" i="4"/>
  <c r="I105" i="4"/>
  <c r="E105" i="4"/>
  <c r="K105" i="4"/>
  <c r="N117" i="3"/>
  <c r="O116" i="3"/>
  <c r="A20" i="4"/>
  <c r="C19" i="4"/>
  <c r="E19" i="4"/>
  <c r="M19" i="4"/>
  <c r="I19" i="4"/>
  <c r="CT131" i="7"/>
  <c r="CU130" i="7"/>
  <c r="I150" i="4"/>
  <c r="G150" i="4"/>
  <c r="C150" i="4"/>
  <c r="M150" i="4"/>
  <c r="K150" i="4"/>
  <c r="E150" i="4"/>
  <c r="D22" i="3"/>
  <c r="E21" i="3"/>
  <c r="BV129" i="7"/>
  <c r="BW128" i="7"/>
  <c r="CR26" i="7"/>
  <c r="CS25" i="7"/>
  <c r="AZ128" i="7"/>
  <c r="BA127" i="7"/>
  <c r="C61" i="4"/>
  <c r="E61" i="4"/>
  <c r="M61" i="4"/>
  <c r="G61" i="4"/>
  <c r="K61" i="4"/>
  <c r="I61" i="4"/>
  <c r="AY21" i="7"/>
  <c r="AX22" i="7"/>
  <c r="AY22" i="7" s="1"/>
  <c r="BB129" i="7"/>
  <c r="BC128" i="7"/>
  <c r="B29" i="1"/>
  <c r="L28" i="1"/>
  <c r="D111" i="3"/>
  <c r="E111" i="3" s="1"/>
  <c r="E110" i="3"/>
  <c r="AZ22" i="7"/>
  <c r="BA22" i="7" s="1"/>
  <c r="BA21" i="7"/>
  <c r="CD132" i="7"/>
  <c r="CE132" i="7" s="1"/>
  <c r="CE131" i="7"/>
  <c r="BX128" i="7"/>
  <c r="BY127" i="7"/>
  <c r="BZ129" i="7"/>
  <c r="CA128" i="7"/>
  <c r="D157" i="3"/>
  <c r="E156" i="3"/>
  <c r="CV136" i="7"/>
  <c r="CW135" i="7"/>
  <c r="CR78" i="7"/>
  <c r="CS77" i="7"/>
  <c r="CT78" i="7"/>
  <c r="CU77" i="7"/>
  <c r="CU24" i="7"/>
  <c r="CT25" i="7"/>
  <c r="CO74" i="7"/>
  <c r="CN75" i="7"/>
  <c r="CQ129" i="7"/>
  <c r="CP130" i="7"/>
  <c r="CS130" i="7"/>
  <c r="CR131" i="7"/>
  <c r="CQ76" i="7"/>
  <c r="CP77" i="7"/>
  <c r="CM75" i="7"/>
  <c r="CL76" i="7"/>
  <c r="CK127" i="7"/>
  <c r="CJ128" i="7"/>
  <c r="CM20" i="7"/>
  <c r="CL21" i="7"/>
  <c r="CP24" i="7"/>
  <c r="CQ23" i="7"/>
  <c r="CK74" i="7"/>
  <c r="CJ75" i="7"/>
  <c r="CM128" i="7"/>
  <c r="CL129" i="7"/>
  <c r="CJ21" i="7"/>
  <c r="CK20" i="7"/>
  <c r="CO22" i="7"/>
  <c r="CN23" i="7"/>
  <c r="CO127" i="7"/>
  <c r="CN128" i="7"/>
  <c r="CB130" i="7"/>
  <c r="CC129" i="7"/>
  <c r="BZ76" i="7"/>
  <c r="CA75" i="7"/>
  <c r="CB24" i="7"/>
  <c r="CB25" i="7" s="1"/>
  <c r="CC23" i="7"/>
  <c r="BY20" i="7"/>
  <c r="BX21" i="7"/>
  <c r="BZ22" i="7"/>
  <c r="CA21" i="7"/>
  <c r="BV22" i="7"/>
  <c r="BW21" i="7"/>
  <c r="BV76" i="7"/>
  <c r="BW75" i="7"/>
  <c r="BX74" i="7"/>
  <c r="BY73" i="7"/>
  <c r="C23" i="6"/>
  <c r="E23" i="6"/>
  <c r="G23" i="6"/>
  <c r="C53" i="6"/>
  <c r="E53" i="6"/>
  <c r="G53" i="6"/>
  <c r="K106" i="5"/>
  <c r="C106" i="5"/>
  <c r="M106" i="5"/>
  <c r="E106" i="5"/>
  <c r="A107" i="5"/>
  <c r="G106" i="5"/>
  <c r="I106" i="5"/>
  <c r="K62" i="5"/>
  <c r="C62" i="5"/>
  <c r="M62" i="5"/>
  <c r="E62" i="5"/>
  <c r="A63" i="5"/>
  <c r="G62" i="5"/>
  <c r="I62" i="5"/>
  <c r="C18" i="5"/>
  <c r="E18" i="5"/>
  <c r="A19" i="5"/>
  <c r="G18" i="5"/>
  <c r="M18" i="5"/>
  <c r="K18" i="5"/>
  <c r="I18" i="5"/>
  <c r="A151" i="4"/>
  <c r="A106" i="4"/>
  <c r="A62" i="4"/>
  <c r="J21" i="4"/>
  <c r="K20" i="4"/>
  <c r="L161" i="3"/>
  <c r="M161" i="3" s="1"/>
  <c r="J159" i="3"/>
  <c r="K159" i="3" s="1"/>
  <c r="F157" i="3"/>
  <c r="G157" i="3" s="1"/>
  <c r="H158" i="3"/>
  <c r="I158" i="3" s="1"/>
  <c r="H67" i="3"/>
  <c r="I66" i="3"/>
  <c r="G112" i="3"/>
  <c r="F66" i="3"/>
  <c r="G66" i="3" s="1"/>
  <c r="L69" i="3"/>
  <c r="M69" i="3" s="1"/>
  <c r="J68" i="3"/>
  <c r="K68" i="3" s="1"/>
  <c r="O28" i="3"/>
  <c r="K21" i="3"/>
  <c r="I20" i="3"/>
  <c r="M22" i="3"/>
  <c r="G20" i="3"/>
  <c r="O392" i="2"/>
  <c r="J360" i="2"/>
  <c r="K360" i="2" s="1"/>
  <c r="F258" i="2"/>
  <c r="G258" i="2" s="1"/>
  <c r="D258" i="2"/>
  <c r="E258" i="2" s="1"/>
  <c r="L264" i="2"/>
  <c r="M264" i="2" s="1"/>
  <c r="H258" i="2"/>
  <c r="I258" i="2" s="1"/>
  <c r="N114" i="2"/>
  <c r="O113" i="2"/>
  <c r="J179" i="2"/>
  <c r="K179" i="2" s="1"/>
  <c r="F173" i="2"/>
  <c r="G173" i="2" s="1"/>
  <c r="D172" i="2"/>
  <c r="E172" i="2" s="1"/>
  <c r="L186" i="2"/>
  <c r="M186" i="2" s="1"/>
  <c r="H175" i="2"/>
  <c r="I175" i="2" s="1"/>
  <c r="L107" i="2"/>
  <c r="M107" i="2" s="1"/>
  <c r="J100" i="2"/>
  <c r="K100" i="2" s="1"/>
  <c r="D93" i="2"/>
  <c r="E93" i="2" s="1"/>
  <c r="H96" i="2"/>
  <c r="I96" i="2" s="1"/>
  <c r="F95" i="2"/>
  <c r="G95" i="2" s="1"/>
  <c r="K54" i="2"/>
  <c r="M61" i="2"/>
  <c r="K17" i="2"/>
  <c r="G34" i="2"/>
  <c r="I15" i="2"/>
  <c r="G15" i="2"/>
  <c r="E15" i="2"/>
  <c r="BZ130" i="7" l="1"/>
  <c r="CA129" i="7"/>
  <c r="BB130" i="7"/>
  <c r="BC130" i="7" s="1"/>
  <c r="BC129" i="7"/>
  <c r="CS26" i="7"/>
  <c r="CR27" i="7"/>
  <c r="CT132" i="7"/>
  <c r="CU131" i="7"/>
  <c r="CB26" i="7"/>
  <c r="CC25" i="7"/>
  <c r="G62" i="4"/>
  <c r="M62" i="4"/>
  <c r="C62" i="4"/>
  <c r="E62" i="4"/>
  <c r="K62" i="4"/>
  <c r="I62" i="4"/>
  <c r="N118" i="3"/>
  <c r="O118" i="3" s="1"/>
  <c r="O117" i="3"/>
  <c r="K106" i="4"/>
  <c r="I106" i="4"/>
  <c r="M106" i="4"/>
  <c r="C106" i="4"/>
  <c r="E106" i="4"/>
  <c r="G106" i="4"/>
  <c r="BX129" i="7"/>
  <c r="BY128" i="7"/>
  <c r="BV130" i="7"/>
  <c r="BW129" i="7"/>
  <c r="M151" i="4"/>
  <c r="I151" i="4"/>
  <c r="E151" i="4"/>
  <c r="C151" i="4"/>
  <c r="K151" i="4"/>
  <c r="G151" i="4"/>
  <c r="AX129" i="7"/>
  <c r="AY128" i="7"/>
  <c r="D158" i="3"/>
  <c r="E157" i="3"/>
  <c r="B30" i="1"/>
  <c r="L29" i="1"/>
  <c r="AZ129" i="7"/>
  <c r="BA128" i="7"/>
  <c r="D23" i="3"/>
  <c r="E22" i="3"/>
  <c r="A21" i="4"/>
  <c r="E20" i="4"/>
  <c r="C20" i="4"/>
  <c r="M20" i="4"/>
  <c r="I20" i="4"/>
  <c r="CB77" i="7"/>
  <c r="CC76" i="7"/>
  <c r="CV137" i="7"/>
  <c r="CW136" i="7"/>
  <c r="CR79" i="7"/>
  <c r="CS78" i="7"/>
  <c r="CU78" i="7"/>
  <c r="CT79" i="7"/>
  <c r="CU25" i="7"/>
  <c r="CT26" i="7"/>
  <c r="CO23" i="7"/>
  <c r="CN24" i="7"/>
  <c r="CM129" i="7"/>
  <c r="CL130" i="7"/>
  <c r="CK128" i="7"/>
  <c r="CJ129" i="7"/>
  <c r="CQ77" i="7"/>
  <c r="CP78" i="7"/>
  <c r="CQ130" i="7"/>
  <c r="CP131" i="7"/>
  <c r="CJ22" i="7"/>
  <c r="CK21" i="7"/>
  <c r="CO128" i="7"/>
  <c r="CN129" i="7"/>
  <c r="CJ76" i="7"/>
  <c r="CK75" i="7"/>
  <c r="CM21" i="7"/>
  <c r="CL22" i="7"/>
  <c r="CM76" i="7"/>
  <c r="CL77" i="7"/>
  <c r="CS131" i="7"/>
  <c r="CR132" i="7"/>
  <c r="CN76" i="7"/>
  <c r="CO75" i="7"/>
  <c r="CQ24" i="7"/>
  <c r="CP25" i="7"/>
  <c r="CB131" i="7"/>
  <c r="CC130" i="7"/>
  <c r="BZ77" i="7"/>
  <c r="CA76" i="7"/>
  <c r="BZ23" i="7"/>
  <c r="CA22" i="7"/>
  <c r="CC24" i="7"/>
  <c r="BW22" i="7"/>
  <c r="BV23" i="7"/>
  <c r="BX22" i="7"/>
  <c r="BY21" i="7"/>
  <c r="BV77" i="7"/>
  <c r="BW76" i="7"/>
  <c r="BX75" i="7"/>
  <c r="BY74" i="7"/>
  <c r="M107" i="5"/>
  <c r="E107" i="5"/>
  <c r="A108" i="5"/>
  <c r="G107" i="5"/>
  <c r="I107" i="5"/>
  <c r="K107" i="5"/>
  <c r="C107" i="5"/>
  <c r="M63" i="5"/>
  <c r="E63" i="5"/>
  <c r="A64" i="5"/>
  <c r="G63" i="5"/>
  <c r="I63" i="5"/>
  <c r="K63" i="5"/>
  <c r="C63" i="5"/>
  <c r="C19" i="5"/>
  <c r="E19" i="5"/>
  <c r="A20" i="5"/>
  <c r="G19" i="5"/>
  <c r="M19" i="5"/>
  <c r="K19" i="5"/>
  <c r="I19" i="5"/>
  <c r="A152" i="4"/>
  <c r="A107" i="4"/>
  <c r="A63" i="4"/>
  <c r="J22" i="4"/>
  <c r="K21" i="4"/>
  <c r="E66" i="3"/>
  <c r="F158" i="3"/>
  <c r="G158" i="3" s="1"/>
  <c r="L162" i="3"/>
  <c r="M162" i="3" s="1"/>
  <c r="H159" i="3"/>
  <c r="I159" i="3" s="1"/>
  <c r="J160" i="3"/>
  <c r="K160" i="3" s="1"/>
  <c r="H68" i="3"/>
  <c r="I67" i="3"/>
  <c r="J69" i="3"/>
  <c r="K69" i="3" s="1"/>
  <c r="L70" i="3"/>
  <c r="M70" i="3" s="1"/>
  <c r="F67" i="3"/>
  <c r="G67" i="3" s="1"/>
  <c r="O29" i="3"/>
  <c r="K22" i="3"/>
  <c r="I21" i="3"/>
  <c r="M23" i="3"/>
  <c r="G21" i="3"/>
  <c r="O393" i="2"/>
  <c r="J361" i="2"/>
  <c r="K361" i="2" s="1"/>
  <c r="H259" i="2"/>
  <c r="I259" i="2" s="1"/>
  <c r="L265" i="2"/>
  <c r="M265" i="2" s="1"/>
  <c r="D259" i="2"/>
  <c r="E259" i="2" s="1"/>
  <c r="F259" i="2"/>
  <c r="G259" i="2" s="1"/>
  <c r="N115" i="2"/>
  <c r="O114" i="2"/>
  <c r="L187" i="2"/>
  <c r="M187" i="2" s="1"/>
  <c r="D173" i="2"/>
  <c r="E173" i="2" s="1"/>
  <c r="J180" i="2"/>
  <c r="K180" i="2" s="1"/>
  <c r="H176" i="2"/>
  <c r="I176" i="2" s="1"/>
  <c r="F174" i="2"/>
  <c r="G174" i="2" s="1"/>
  <c r="H97" i="2"/>
  <c r="I97" i="2" s="1"/>
  <c r="F96" i="2"/>
  <c r="G96" i="2" s="1"/>
  <c r="D94" i="2"/>
  <c r="E94" i="2" s="1"/>
  <c r="L108" i="2"/>
  <c r="M108" i="2" s="1"/>
  <c r="J101" i="2"/>
  <c r="K101" i="2" s="1"/>
  <c r="K55" i="2"/>
  <c r="M62" i="2"/>
  <c r="K18" i="2"/>
  <c r="G35" i="2"/>
  <c r="I16" i="2"/>
  <c r="G16" i="2"/>
  <c r="E16" i="2"/>
  <c r="CS27" i="7" l="1"/>
  <c r="CR28" i="7"/>
  <c r="AZ130" i="7"/>
  <c r="BA130" i="7" s="1"/>
  <c r="BA129" i="7"/>
  <c r="AX130" i="7"/>
  <c r="AY130" i="7" s="1"/>
  <c r="AY129" i="7"/>
  <c r="C107" i="4"/>
  <c r="K107" i="4"/>
  <c r="I107" i="4"/>
  <c r="E107" i="4"/>
  <c r="M107" i="4"/>
  <c r="G107" i="4"/>
  <c r="C152" i="4"/>
  <c r="M152" i="4"/>
  <c r="K152" i="4"/>
  <c r="E152" i="4"/>
  <c r="G152" i="4"/>
  <c r="I152" i="4"/>
  <c r="CS132" i="7"/>
  <c r="CR133" i="7"/>
  <c r="A22" i="4"/>
  <c r="E21" i="4"/>
  <c r="C21" i="4"/>
  <c r="M21" i="4"/>
  <c r="I21" i="4"/>
  <c r="B31" i="1"/>
  <c r="L30" i="1"/>
  <c r="BV131" i="7"/>
  <c r="BW130" i="7"/>
  <c r="CB27" i="7"/>
  <c r="CC27" i="7" s="1"/>
  <c r="CC26" i="7"/>
  <c r="CC77" i="7"/>
  <c r="CB78" i="7"/>
  <c r="CC78" i="7" s="1"/>
  <c r="E63" i="4"/>
  <c r="C63" i="4"/>
  <c r="G63" i="4"/>
  <c r="M63" i="4"/>
  <c r="K63" i="4"/>
  <c r="I63" i="4"/>
  <c r="BW77" i="7"/>
  <c r="BV78" i="7"/>
  <c r="D24" i="3"/>
  <c r="E23" i="3"/>
  <c r="D159" i="3"/>
  <c r="E158" i="3"/>
  <c r="BX130" i="7"/>
  <c r="BY129" i="7"/>
  <c r="CT133" i="7"/>
  <c r="CU132" i="7"/>
  <c r="BZ131" i="7"/>
  <c r="CA130" i="7"/>
  <c r="CV138" i="7"/>
  <c r="CW137" i="7"/>
  <c r="CR80" i="7"/>
  <c r="CS79" i="7"/>
  <c r="CU79" i="7"/>
  <c r="CT80" i="7"/>
  <c r="CQ78" i="7"/>
  <c r="CP79" i="7"/>
  <c r="CU26" i="7"/>
  <c r="CT27" i="7"/>
  <c r="CM77" i="7"/>
  <c r="CL78" i="7"/>
  <c r="CM130" i="7"/>
  <c r="CL131" i="7"/>
  <c r="CQ25" i="7"/>
  <c r="CP26" i="7"/>
  <c r="CL23" i="7"/>
  <c r="CM22" i="7"/>
  <c r="CO129" i="7"/>
  <c r="CN130" i="7"/>
  <c r="CQ131" i="7"/>
  <c r="CP132" i="7"/>
  <c r="CK129" i="7"/>
  <c r="CJ130" i="7"/>
  <c r="CN25" i="7"/>
  <c r="CO24" i="7"/>
  <c r="CO76" i="7"/>
  <c r="CN77" i="7"/>
  <c r="CK76" i="7"/>
  <c r="CJ77" i="7"/>
  <c r="CK22" i="7"/>
  <c r="CJ23" i="7"/>
  <c r="CB132" i="7"/>
  <c r="CC131" i="7"/>
  <c r="BZ78" i="7"/>
  <c r="CA78" i="7" s="1"/>
  <c r="CA77" i="7"/>
  <c r="BZ24" i="7"/>
  <c r="BZ25" i="7" s="1"/>
  <c r="CA23" i="7"/>
  <c r="BV24" i="7"/>
  <c r="BV25" i="7" s="1"/>
  <c r="BW23" i="7"/>
  <c r="BX23" i="7"/>
  <c r="BY22" i="7"/>
  <c r="BX76" i="7"/>
  <c r="BY75" i="7"/>
  <c r="A109" i="5"/>
  <c r="G108" i="5"/>
  <c r="I108" i="5"/>
  <c r="K108" i="5"/>
  <c r="C108" i="5"/>
  <c r="M108" i="5"/>
  <c r="E108" i="5"/>
  <c r="A65" i="5"/>
  <c r="G64" i="5"/>
  <c r="I64" i="5"/>
  <c r="K64" i="5"/>
  <c r="C64" i="5"/>
  <c r="M64" i="5"/>
  <c r="E64" i="5"/>
  <c r="E20" i="5"/>
  <c r="A21" i="5"/>
  <c r="C20" i="5"/>
  <c r="G20" i="5"/>
  <c r="M20" i="5"/>
  <c r="K20" i="5"/>
  <c r="I20" i="5"/>
  <c r="A153" i="4"/>
  <c r="A108" i="4"/>
  <c r="A64" i="4"/>
  <c r="J23" i="4"/>
  <c r="K22" i="4"/>
  <c r="E67" i="3"/>
  <c r="H160" i="3"/>
  <c r="I160" i="3" s="1"/>
  <c r="F159" i="3"/>
  <c r="G159" i="3" s="1"/>
  <c r="J161" i="3"/>
  <c r="K161" i="3" s="1"/>
  <c r="L163" i="3"/>
  <c r="M163" i="3" s="1"/>
  <c r="H69" i="3"/>
  <c r="I68" i="3"/>
  <c r="F68" i="3"/>
  <c r="G68" i="3" s="1"/>
  <c r="J70" i="3"/>
  <c r="K70" i="3" s="1"/>
  <c r="L71" i="3"/>
  <c r="M71" i="3" s="1"/>
  <c r="O30" i="3"/>
  <c r="K23" i="3"/>
  <c r="I22" i="3"/>
  <c r="M24" i="3"/>
  <c r="G22" i="3"/>
  <c r="J362" i="2"/>
  <c r="K362" i="2" s="1"/>
  <c r="O394" i="2"/>
  <c r="H260" i="2"/>
  <c r="I260" i="2" s="1"/>
  <c r="D260" i="2"/>
  <c r="E260" i="2" s="1"/>
  <c r="F260" i="2"/>
  <c r="G260" i="2" s="1"/>
  <c r="L266" i="2"/>
  <c r="M266" i="2" s="1"/>
  <c r="N116" i="2"/>
  <c r="O115" i="2"/>
  <c r="F175" i="2"/>
  <c r="G175" i="2" s="1"/>
  <c r="J181" i="2"/>
  <c r="K181" i="2" s="1"/>
  <c r="L188" i="2"/>
  <c r="M188" i="2" s="1"/>
  <c r="H177" i="2"/>
  <c r="I177" i="2" s="1"/>
  <c r="D174" i="2"/>
  <c r="E174" i="2" s="1"/>
  <c r="L109" i="2"/>
  <c r="M109" i="2" s="1"/>
  <c r="D95" i="2"/>
  <c r="E95" i="2" s="1"/>
  <c r="H98" i="2"/>
  <c r="I98" i="2" s="1"/>
  <c r="J102" i="2"/>
  <c r="K102" i="2" s="1"/>
  <c r="F97" i="2"/>
  <c r="G97" i="2" s="1"/>
  <c r="K56" i="2"/>
  <c r="M63" i="2"/>
  <c r="K19" i="2"/>
  <c r="G36" i="2"/>
  <c r="I17" i="2"/>
  <c r="E17" i="2"/>
  <c r="G17" i="2"/>
  <c r="BV26" i="7" l="1"/>
  <c r="BW25" i="7"/>
  <c r="CT134" i="7"/>
  <c r="CU133" i="7"/>
  <c r="E24" i="3"/>
  <c r="D25" i="3"/>
  <c r="E25" i="3" s="1"/>
  <c r="C108" i="4"/>
  <c r="M108" i="4"/>
  <c r="I108" i="4"/>
  <c r="E108" i="4"/>
  <c r="K108" i="4"/>
  <c r="G108" i="4"/>
  <c r="BV79" i="7"/>
  <c r="BW79" i="7" s="1"/>
  <c r="BW78" i="7"/>
  <c r="C153" i="4"/>
  <c r="G153" i="4"/>
  <c r="I153" i="4"/>
  <c r="E153" i="4"/>
  <c r="M153" i="4"/>
  <c r="K153" i="4"/>
  <c r="BZ26" i="7"/>
  <c r="CA25" i="7"/>
  <c r="BX131" i="7"/>
  <c r="BY130" i="7"/>
  <c r="BV132" i="7"/>
  <c r="BW131" i="7"/>
  <c r="A23" i="4"/>
  <c r="E22" i="4"/>
  <c r="I22" i="4"/>
  <c r="M22" i="4"/>
  <c r="C64" i="4"/>
  <c r="E64" i="4"/>
  <c r="G64" i="4"/>
  <c r="M64" i="4"/>
  <c r="K64" i="4"/>
  <c r="I64" i="4"/>
  <c r="BZ132" i="7"/>
  <c r="CA131" i="7"/>
  <c r="D160" i="3"/>
  <c r="E159" i="3"/>
  <c r="B32" i="1"/>
  <c r="L31" i="1"/>
  <c r="CR134" i="7"/>
  <c r="CS133" i="7"/>
  <c r="CR29" i="7"/>
  <c r="CS28" i="7"/>
  <c r="CW138" i="7"/>
  <c r="CV139" i="7"/>
  <c r="CR81" i="7"/>
  <c r="CS80" i="7"/>
  <c r="CU80" i="7"/>
  <c r="CT81" i="7"/>
  <c r="CQ79" i="7"/>
  <c r="CP80" i="7"/>
  <c r="CM78" i="7"/>
  <c r="CL79" i="7"/>
  <c r="CU27" i="7"/>
  <c r="CT28" i="7"/>
  <c r="CK77" i="7"/>
  <c r="CJ78" i="7"/>
  <c r="CQ132" i="7"/>
  <c r="CP133" i="7"/>
  <c r="CM131" i="7"/>
  <c r="CL132" i="7"/>
  <c r="CK23" i="7"/>
  <c r="CJ24" i="7"/>
  <c r="CO77" i="7"/>
  <c r="CN78" i="7"/>
  <c r="CK130" i="7"/>
  <c r="CJ131" i="7"/>
  <c r="CO130" i="7"/>
  <c r="CN131" i="7"/>
  <c r="CQ26" i="7"/>
  <c r="CP27" i="7"/>
  <c r="CO25" i="7"/>
  <c r="CN26" i="7"/>
  <c r="CL24" i="7"/>
  <c r="CM23" i="7"/>
  <c r="CB133" i="7"/>
  <c r="CC132" i="7"/>
  <c r="BX24" i="7"/>
  <c r="BX25" i="7" s="1"/>
  <c r="BY23" i="7"/>
  <c r="CA24" i="7"/>
  <c r="BW24" i="7"/>
  <c r="BX77" i="7"/>
  <c r="BY76" i="7"/>
  <c r="I109" i="5"/>
  <c r="K109" i="5"/>
  <c r="C109" i="5"/>
  <c r="M109" i="5"/>
  <c r="E109" i="5"/>
  <c r="A110" i="5"/>
  <c r="G109" i="5"/>
  <c r="I65" i="5"/>
  <c r="K65" i="5"/>
  <c r="C65" i="5"/>
  <c r="M65" i="5"/>
  <c r="E65" i="5"/>
  <c r="A66" i="5"/>
  <c r="G65" i="5"/>
  <c r="A22" i="5"/>
  <c r="C21" i="5"/>
  <c r="E21" i="5"/>
  <c r="G21" i="5"/>
  <c r="M21" i="5"/>
  <c r="K21" i="5"/>
  <c r="I21" i="5"/>
  <c r="A154" i="4"/>
  <c r="A109" i="4"/>
  <c r="A65" i="4"/>
  <c r="J24" i="4"/>
  <c r="K23" i="4"/>
  <c r="E68" i="3"/>
  <c r="J162" i="3"/>
  <c r="K162" i="3" s="1"/>
  <c r="H161" i="3"/>
  <c r="I161" i="3" s="1"/>
  <c r="L164" i="3"/>
  <c r="M164" i="3" s="1"/>
  <c r="F160" i="3"/>
  <c r="G160" i="3" s="1"/>
  <c r="H70" i="3"/>
  <c r="I69" i="3"/>
  <c r="L72" i="3"/>
  <c r="M72" i="3" s="1"/>
  <c r="J71" i="3"/>
  <c r="F69" i="3"/>
  <c r="G69" i="3" s="1"/>
  <c r="O31" i="3"/>
  <c r="J25" i="3"/>
  <c r="J26" i="3" s="1"/>
  <c r="K24" i="3"/>
  <c r="I23" i="3"/>
  <c r="M25" i="3"/>
  <c r="G23" i="3"/>
  <c r="J363" i="2"/>
  <c r="K363" i="2" s="1"/>
  <c r="O395" i="2"/>
  <c r="D261" i="2"/>
  <c r="E261" i="2" s="1"/>
  <c r="K261" i="2"/>
  <c r="H261" i="2"/>
  <c r="I261" i="2" s="1"/>
  <c r="L267" i="2"/>
  <c r="M267" i="2" s="1"/>
  <c r="F261" i="2"/>
  <c r="G261" i="2" s="1"/>
  <c r="N117" i="2"/>
  <c r="O116" i="2"/>
  <c r="J182" i="2"/>
  <c r="K182" i="2" s="1"/>
  <c r="D175" i="2"/>
  <c r="E175" i="2" s="1"/>
  <c r="F176" i="2"/>
  <c r="G176" i="2" s="1"/>
  <c r="L189" i="2"/>
  <c r="M189" i="2" s="1"/>
  <c r="H178" i="2"/>
  <c r="I178" i="2" s="1"/>
  <c r="J103" i="2"/>
  <c r="K103" i="2" s="1"/>
  <c r="H99" i="2"/>
  <c r="I99" i="2" s="1"/>
  <c r="F98" i="2"/>
  <c r="G98" i="2" s="1"/>
  <c r="L110" i="2"/>
  <c r="M110" i="2" s="1"/>
  <c r="D96" i="2"/>
  <c r="E96" i="2" s="1"/>
  <c r="K57" i="2"/>
  <c r="M65" i="2"/>
  <c r="M64" i="2"/>
  <c r="K20" i="2"/>
  <c r="G37" i="2"/>
  <c r="I18" i="2"/>
  <c r="G18" i="2"/>
  <c r="E18" i="2"/>
  <c r="E65" i="4" l="1"/>
  <c r="C65" i="4"/>
  <c r="G65" i="4"/>
  <c r="M65" i="4"/>
  <c r="K65" i="4"/>
  <c r="I65" i="4"/>
  <c r="B33" i="1"/>
  <c r="L32" i="1"/>
  <c r="BX132" i="7"/>
  <c r="BY131" i="7"/>
  <c r="E109" i="4"/>
  <c r="M109" i="4"/>
  <c r="K109" i="4"/>
  <c r="I109" i="4"/>
  <c r="C109" i="4"/>
  <c r="G109" i="4"/>
  <c r="BX26" i="7"/>
  <c r="BY25" i="7"/>
  <c r="CS29" i="7"/>
  <c r="CR30" i="7"/>
  <c r="D161" i="3"/>
  <c r="E160" i="3"/>
  <c r="A24" i="4"/>
  <c r="E23" i="4"/>
  <c r="I23" i="4"/>
  <c r="M23" i="4"/>
  <c r="BZ27" i="7"/>
  <c r="CA26" i="7"/>
  <c r="CT135" i="7"/>
  <c r="CU134" i="7"/>
  <c r="K154" i="4"/>
  <c r="E154" i="4"/>
  <c r="I154" i="4"/>
  <c r="M154" i="4"/>
  <c r="C154" i="4"/>
  <c r="G154" i="4"/>
  <c r="CQ27" i="7"/>
  <c r="CP28" i="7"/>
  <c r="CR135" i="7"/>
  <c r="CS134" i="7"/>
  <c r="BZ133" i="7"/>
  <c r="CA132" i="7"/>
  <c r="BV133" i="7"/>
  <c r="BW132" i="7"/>
  <c r="BV27" i="7"/>
  <c r="BW26" i="7"/>
  <c r="CW140" i="7"/>
  <c r="CW139" i="7"/>
  <c r="CR82" i="7"/>
  <c r="CS81" i="7"/>
  <c r="CU81" i="7"/>
  <c r="CT82" i="7"/>
  <c r="CP81" i="7"/>
  <c r="CQ80" i="7"/>
  <c r="CO78" i="7"/>
  <c r="CN79" i="7"/>
  <c r="CM79" i="7"/>
  <c r="CL80" i="7"/>
  <c r="CU28" i="7"/>
  <c r="CT29" i="7"/>
  <c r="CK131" i="7"/>
  <c r="CJ132" i="7"/>
  <c r="CJ25" i="7"/>
  <c r="CK24" i="7"/>
  <c r="CQ133" i="7"/>
  <c r="CP134" i="7"/>
  <c r="CO26" i="7"/>
  <c r="CN27" i="7"/>
  <c r="CO131" i="7"/>
  <c r="CN132" i="7"/>
  <c r="CM132" i="7"/>
  <c r="CL133" i="7"/>
  <c r="CK78" i="7"/>
  <c r="CJ79" i="7"/>
  <c r="CM24" i="7"/>
  <c r="CL25" i="7"/>
  <c r="CB134" i="7"/>
  <c r="CC133" i="7"/>
  <c r="BY77" i="7"/>
  <c r="BX78" i="7"/>
  <c r="BY78" i="7" s="1"/>
  <c r="BY24" i="7"/>
  <c r="M110" i="5"/>
  <c r="E110" i="5"/>
  <c r="A111" i="5"/>
  <c r="G110" i="5"/>
  <c r="I110" i="5"/>
  <c r="K110" i="5"/>
  <c r="M66" i="5"/>
  <c r="E66" i="5"/>
  <c r="A67" i="5"/>
  <c r="G66" i="5"/>
  <c r="I66" i="5"/>
  <c r="K66" i="5"/>
  <c r="E22" i="5"/>
  <c r="A23" i="5"/>
  <c r="G22" i="5"/>
  <c r="M22" i="5"/>
  <c r="K22" i="5"/>
  <c r="I22" i="5"/>
  <c r="A155" i="4"/>
  <c r="A110" i="4"/>
  <c r="A66" i="4"/>
  <c r="J25" i="4"/>
  <c r="K24" i="4"/>
  <c r="E69" i="3"/>
  <c r="J163" i="3"/>
  <c r="K163" i="3" s="1"/>
  <c r="L165" i="3"/>
  <c r="M165" i="3" s="1"/>
  <c r="F161" i="3"/>
  <c r="G161" i="3" s="1"/>
  <c r="H162" i="3"/>
  <c r="I162" i="3" s="1"/>
  <c r="I70" i="3"/>
  <c r="H71" i="3"/>
  <c r="K71" i="3"/>
  <c r="J72" i="3"/>
  <c r="L73" i="3"/>
  <c r="F70" i="3"/>
  <c r="O32" i="3"/>
  <c r="K26" i="3"/>
  <c r="K25" i="3"/>
  <c r="I25" i="3"/>
  <c r="I24" i="3"/>
  <c r="M26" i="3"/>
  <c r="G25" i="3"/>
  <c r="G24" i="3"/>
  <c r="J364" i="2"/>
  <c r="K364" i="2" s="1"/>
  <c r="O396" i="2"/>
  <c r="L268" i="2"/>
  <c r="M268" i="2" s="1"/>
  <c r="K262" i="2"/>
  <c r="H262" i="2"/>
  <c r="I262" i="2" s="1"/>
  <c r="D262" i="2"/>
  <c r="E262" i="2" s="1"/>
  <c r="F262" i="2"/>
  <c r="G262" i="2" s="1"/>
  <c r="N118" i="2"/>
  <c r="O117" i="2"/>
  <c r="L190" i="2"/>
  <c r="M190" i="2" s="1"/>
  <c r="D176" i="2"/>
  <c r="E176" i="2" s="1"/>
  <c r="J183" i="2"/>
  <c r="K183" i="2" s="1"/>
  <c r="H179" i="2"/>
  <c r="I179" i="2" s="1"/>
  <c r="F177" i="2"/>
  <c r="G177" i="2" s="1"/>
  <c r="L111" i="2"/>
  <c r="M111" i="2" s="1"/>
  <c r="H100" i="2"/>
  <c r="I100" i="2" s="1"/>
  <c r="J104" i="2"/>
  <c r="K104" i="2" s="1"/>
  <c r="D97" i="2"/>
  <c r="E97" i="2" s="1"/>
  <c r="F99" i="2"/>
  <c r="G99" i="2" s="1"/>
  <c r="K58" i="2"/>
  <c r="K21" i="2"/>
  <c r="G38" i="2"/>
  <c r="I19" i="2"/>
  <c r="G19" i="2"/>
  <c r="E19" i="2"/>
  <c r="E110" i="4" l="1"/>
  <c r="K110" i="4"/>
  <c r="I110" i="4"/>
  <c r="M110" i="4"/>
  <c r="G110" i="4"/>
  <c r="BZ134" i="7"/>
  <c r="CA133" i="7"/>
  <c r="CT136" i="7"/>
  <c r="CU135" i="7"/>
  <c r="A25" i="4"/>
  <c r="E24" i="4"/>
  <c r="M24" i="4"/>
  <c r="I24" i="4"/>
  <c r="BX27" i="7"/>
  <c r="BY26" i="7"/>
  <c r="G155" i="4"/>
  <c r="K155" i="4"/>
  <c r="E155" i="4"/>
  <c r="M155" i="4"/>
  <c r="I155" i="4"/>
  <c r="C155" i="4"/>
  <c r="BV28" i="7"/>
  <c r="BW28" i="7" s="1"/>
  <c r="BW27" i="7"/>
  <c r="CR136" i="7"/>
  <c r="CS135" i="7"/>
  <c r="BZ28" i="7"/>
  <c r="CA28" i="7" s="1"/>
  <c r="CA27" i="7"/>
  <c r="D162" i="3"/>
  <c r="E161" i="3"/>
  <c r="BX133" i="7"/>
  <c r="BY132" i="7"/>
  <c r="E66" i="4"/>
  <c r="C66" i="4"/>
  <c r="G66" i="4"/>
  <c r="M66" i="4"/>
  <c r="K66" i="4"/>
  <c r="I66" i="4"/>
  <c r="CP29" i="7"/>
  <c r="CQ28" i="7"/>
  <c r="CS30" i="7"/>
  <c r="CR31" i="7"/>
  <c r="BV134" i="7"/>
  <c r="BW133" i="7"/>
  <c r="B34" i="1"/>
  <c r="L33" i="1"/>
  <c r="CR83" i="7"/>
  <c r="CS82" i="7"/>
  <c r="CK79" i="7"/>
  <c r="CJ80" i="7"/>
  <c r="CT83" i="7"/>
  <c r="CU82" i="7"/>
  <c r="CP82" i="7"/>
  <c r="CQ81" i="7"/>
  <c r="CN80" i="7"/>
  <c r="CO79" i="7"/>
  <c r="CL81" i="7"/>
  <c r="CM80" i="7"/>
  <c r="CU29" i="7"/>
  <c r="CT30" i="7"/>
  <c r="CM25" i="7"/>
  <c r="CL26" i="7"/>
  <c r="CM133" i="7"/>
  <c r="CL134" i="7"/>
  <c r="CO27" i="7"/>
  <c r="CN28" i="7"/>
  <c r="CO132" i="7"/>
  <c r="CN133" i="7"/>
  <c r="CQ134" i="7"/>
  <c r="CP135" i="7"/>
  <c r="CK132" i="7"/>
  <c r="CJ133" i="7"/>
  <c r="CK25" i="7"/>
  <c r="CJ26" i="7"/>
  <c r="CB135" i="7"/>
  <c r="CC134" i="7"/>
  <c r="I111" i="5"/>
  <c r="K111" i="5"/>
  <c r="M111" i="5"/>
  <c r="E111" i="5"/>
  <c r="A112" i="5"/>
  <c r="G111" i="5"/>
  <c r="I67" i="5"/>
  <c r="K67" i="5"/>
  <c r="M67" i="5"/>
  <c r="E67" i="5"/>
  <c r="A68" i="5"/>
  <c r="G67" i="5"/>
  <c r="A24" i="5"/>
  <c r="E23" i="5"/>
  <c r="G23" i="5"/>
  <c r="M23" i="5"/>
  <c r="K23" i="5"/>
  <c r="I23" i="5"/>
  <c r="A156" i="4"/>
  <c r="A111" i="4"/>
  <c r="A67" i="4"/>
  <c r="J26" i="4"/>
  <c r="K25" i="4"/>
  <c r="E71" i="3"/>
  <c r="E70" i="3"/>
  <c r="F162" i="3"/>
  <c r="G162" i="3" s="1"/>
  <c r="J164" i="3"/>
  <c r="K164" i="3" s="1"/>
  <c r="L166" i="3"/>
  <c r="H163" i="3"/>
  <c r="I163" i="3" s="1"/>
  <c r="H72" i="3"/>
  <c r="I71" i="3"/>
  <c r="M73" i="3"/>
  <c r="L74" i="3"/>
  <c r="J73" i="3"/>
  <c r="K72" i="3"/>
  <c r="G70" i="3"/>
  <c r="F71" i="3"/>
  <c r="M27" i="3"/>
  <c r="M28" i="3"/>
  <c r="O397" i="2"/>
  <c r="O398" i="2"/>
  <c r="D263" i="2"/>
  <c r="E263" i="2" s="1"/>
  <c r="J263" i="2"/>
  <c r="K263" i="2" s="1"/>
  <c r="L269" i="2"/>
  <c r="M269" i="2" s="1"/>
  <c r="F263" i="2"/>
  <c r="G263" i="2" s="1"/>
  <c r="H263" i="2"/>
  <c r="I263" i="2" s="1"/>
  <c r="N119" i="2"/>
  <c r="O118" i="2"/>
  <c r="H180" i="2"/>
  <c r="I180" i="2" s="1"/>
  <c r="J184" i="2"/>
  <c r="K184" i="2" s="1"/>
  <c r="L191" i="2"/>
  <c r="M191" i="2" s="1"/>
  <c r="F178" i="2"/>
  <c r="G178" i="2" s="1"/>
  <c r="D177" i="2"/>
  <c r="E177" i="2" s="1"/>
  <c r="F100" i="2"/>
  <c r="G100" i="2" s="1"/>
  <c r="J105" i="2"/>
  <c r="K105" i="2" s="1"/>
  <c r="L112" i="2"/>
  <c r="M112" i="2" s="1"/>
  <c r="D98" i="2"/>
  <c r="E98" i="2" s="1"/>
  <c r="H101" i="2"/>
  <c r="I101" i="2" s="1"/>
  <c r="K59" i="2"/>
  <c r="K60" i="2"/>
  <c r="K22" i="2"/>
  <c r="G39" i="2"/>
  <c r="I20" i="2"/>
  <c r="G20" i="2"/>
  <c r="E20" i="2"/>
  <c r="BW134" i="7" l="1"/>
  <c r="BV135" i="7"/>
  <c r="BX134" i="7"/>
  <c r="BY133" i="7"/>
  <c r="CR137" i="7"/>
  <c r="CS136" i="7"/>
  <c r="BZ135" i="7"/>
  <c r="CA134" i="7"/>
  <c r="M111" i="4"/>
  <c r="K111" i="4"/>
  <c r="I111" i="4"/>
  <c r="E111" i="4"/>
  <c r="G111" i="4"/>
  <c r="CO28" i="7"/>
  <c r="CN29" i="7"/>
  <c r="CS31" i="7"/>
  <c r="CR32" i="7"/>
  <c r="I156" i="4"/>
  <c r="G156" i="4"/>
  <c r="C156" i="4"/>
  <c r="E156" i="4"/>
  <c r="M156" i="4"/>
  <c r="K156" i="4"/>
  <c r="D163" i="3"/>
  <c r="E162" i="3"/>
  <c r="A26" i="4"/>
  <c r="E25" i="4"/>
  <c r="I25" i="4"/>
  <c r="M25" i="4"/>
  <c r="B35" i="1"/>
  <c r="L34" i="1"/>
  <c r="CP30" i="7"/>
  <c r="CQ29" i="7"/>
  <c r="BX28" i="7"/>
  <c r="BY28" i="7" s="1"/>
  <c r="BY27" i="7"/>
  <c r="CT137" i="7"/>
  <c r="CU136" i="7"/>
  <c r="C67" i="4"/>
  <c r="E67" i="4"/>
  <c r="G67" i="4"/>
  <c r="M67" i="4"/>
  <c r="K67" i="4"/>
  <c r="I67" i="4"/>
  <c r="CR84" i="7"/>
  <c r="CS83" i="7"/>
  <c r="CK80" i="7"/>
  <c r="CJ81" i="7"/>
  <c r="CU83" i="7"/>
  <c r="CT84" i="7"/>
  <c r="CP83" i="7"/>
  <c r="CQ82" i="7"/>
  <c r="CN81" i="7"/>
  <c r="CO80" i="7"/>
  <c r="CL82" i="7"/>
  <c r="CM81" i="7"/>
  <c r="CU30" i="7"/>
  <c r="CT31" i="7"/>
  <c r="CK26" i="7"/>
  <c r="CJ27" i="7"/>
  <c r="CJ134" i="7"/>
  <c r="CK133" i="7"/>
  <c r="CN134" i="7"/>
  <c r="CO133" i="7"/>
  <c r="CM134" i="7"/>
  <c r="CL135" i="7"/>
  <c r="CP136" i="7"/>
  <c r="CQ135" i="7"/>
  <c r="CM26" i="7"/>
  <c r="CL27" i="7"/>
  <c r="CC135" i="7"/>
  <c r="CE135" i="7" s="1"/>
  <c r="CB136" i="7"/>
  <c r="CC136" i="7" s="1"/>
  <c r="CE136" i="7" s="1"/>
  <c r="BW33" i="7"/>
  <c r="BY33" i="7" s="1"/>
  <c r="CA33" i="7" s="1"/>
  <c r="CC33" i="7" s="1"/>
  <c r="CE33" i="7" s="1"/>
  <c r="CG33" i="7" s="1"/>
  <c r="M112" i="5"/>
  <c r="E112" i="5"/>
  <c r="A113" i="5"/>
  <c r="G112" i="5"/>
  <c r="I112" i="5"/>
  <c r="K112" i="5"/>
  <c r="M68" i="5"/>
  <c r="E68" i="5"/>
  <c r="A69" i="5"/>
  <c r="G68" i="5"/>
  <c r="I68" i="5"/>
  <c r="K68" i="5"/>
  <c r="E24" i="5"/>
  <c r="A25" i="5"/>
  <c r="G24" i="5"/>
  <c r="M24" i="5"/>
  <c r="K24" i="5"/>
  <c r="I24" i="5"/>
  <c r="A157" i="4"/>
  <c r="A112" i="4"/>
  <c r="A68" i="4"/>
  <c r="J27" i="4"/>
  <c r="K26" i="4"/>
  <c r="L167" i="3"/>
  <c r="M166" i="3"/>
  <c r="F163" i="3"/>
  <c r="H164" i="3"/>
  <c r="J165" i="3"/>
  <c r="H73" i="3"/>
  <c r="I72" i="3"/>
  <c r="L75" i="3"/>
  <c r="M74" i="3"/>
  <c r="J74" i="3"/>
  <c r="K73" i="3"/>
  <c r="G71" i="3"/>
  <c r="F72" i="3"/>
  <c r="H264" i="2"/>
  <c r="I264" i="2" s="1"/>
  <c r="L270" i="2"/>
  <c r="M270" i="2" s="1"/>
  <c r="D264" i="2"/>
  <c r="E264" i="2" s="1"/>
  <c r="F264" i="2"/>
  <c r="G264" i="2" s="1"/>
  <c r="J264" i="2"/>
  <c r="K264" i="2" s="1"/>
  <c r="N120" i="2"/>
  <c r="O119" i="2"/>
  <c r="D178" i="2"/>
  <c r="E178" i="2" s="1"/>
  <c r="L192" i="2"/>
  <c r="M192" i="2" s="1"/>
  <c r="H181" i="2"/>
  <c r="I181" i="2" s="1"/>
  <c r="F179" i="2"/>
  <c r="G179" i="2" s="1"/>
  <c r="J185" i="2"/>
  <c r="K185" i="2" s="1"/>
  <c r="H102" i="2"/>
  <c r="I102" i="2" s="1"/>
  <c r="L113" i="2"/>
  <c r="M113" i="2" s="1"/>
  <c r="F101" i="2"/>
  <c r="G101" i="2" s="1"/>
  <c r="D99" i="2"/>
  <c r="E99" i="2" s="1"/>
  <c r="J106" i="2"/>
  <c r="K106" i="2" s="1"/>
  <c r="K23" i="2"/>
  <c r="G40" i="2"/>
  <c r="I21" i="2"/>
  <c r="E21" i="2"/>
  <c r="G21" i="2"/>
  <c r="K74" i="3" l="1"/>
  <c r="J75" i="3"/>
  <c r="K75" i="3" s="1"/>
  <c r="E68" i="4"/>
  <c r="C68" i="4"/>
  <c r="G68" i="4"/>
  <c r="M68" i="4"/>
  <c r="K68" i="4"/>
  <c r="I68" i="4"/>
  <c r="CQ136" i="7"/>
  <c r="CP137" i="7"/>
  <c r="CT138" i="7"/>
  <c r="CU137" i="7"/>
  <c r="B36" i="1"/>
  <c r="L35" i="1"/>
  <c r="D164" i="3"/>
  <c r="E163" i="3"/>
  <c r="CS32" i="7"/>
  <c r="CR33" i="7"/>
  <c r="CR138" i="7"/>
  <c r="CS137" i="7"/>
  <c r="G72" i="3"/>
  <c r="F73" i="3"/>
  <c r="G73" i="3" s="1"/>
  <c r="CN30" i="7"/>
  <c r="CO29" i="7"/>
  <c r="BX135" i="7"/>
  <c r="BY134" i="7"/>
  <c r="I73" i="3"/>
  <c r="H74" i="3"/>
  <c r="I74" i="3" s="1"/>
  <c r="I112" i="4"/>
  <c r="M112" i="4"/>
  <c r="K112" i="4"/>
  <c r="G112" i="4"/>
  <c r="CP31" i="7"/>
  <c r="CQ30" i="7"/>
  <c r="A27" i="4"/>
  <c r="I26" i="4"/>
  <c r="M26" i="4"/>
  <c r="BW135" i="7"/>
  <c r="BV136" i="7"/>
  <c r="BW136" i="7" s="1"/>
  <c r="M75" i="3"/>
  <c r="L76" i="3"/>
  <c r="M76" i="3" s="1"/>
  <c r="J166" i="3"/>
  <c r="K165" i="3"/>
  <c r="M157" i="4"/>
  <c r="I157" i="4"/>
  <c r="K157" i="4"/>
  <c r="E157" i="4"/>
  <c r="C157" i="4"/>
  <c r="G157" i="4"/>
  <c r="BZ136" i="7"/>
  <c r="CA136" i="7" s="1"/>
  <c r="CA135" i="7"/>
  <c r="CR85" i="7"/>
  <c r="CS84" i="7"/>
  <c r="CJ82" i="7"/>
  <c r="CK81" i="7"/>
  <c r="CU84" i="7"/>
  <c r="CT85" i="7"/>
  <c r="CP84" i="7"/>
  <c r="CQ83" i="7"/>
  <c r="CN82" i="7"/>
  <c r="CO81" i="7"/>
  <c r="CL83" i="7"/>
  <c r="CM82" i="7"/>
  <c r="CU31" i="7"/>
  <c r="CT32" i="7"/>
  <c r="CM27" i="7"/>
  <c r="CL28" i="7"/>
  <c r="CL136" i="7"/>
  <c r="CM135" i="7"/>
  <c r="CN135" i="7"/>
  <c r="CO134" i="7"/>
  <c r="CK27" i="7"/>
  <c r="CJ28" i="7"/>
  <c r="CJ135" i="7"/>
  <c r="CK134" i="7"/>
  <c r="I113" i="5"/>
  <c r="K113" i="5"/>
  <c r="M113" i="5"/>
  <c r="E113" i="5"/>
  <c r="A114" i="5"/>
  <c r="G113" i="5"/>
  <c r="I69" i="5"/>
  <c r="K69" i="5"/>
  <c r="M69" i="5"/>
  <c r="E69" i="5"/>
  <c r="A70" i="5"/>
  <c r="G69" i="5"/>
  <c r="A26" i="5"/>
  <c r="E25" i="5"/>
  <c r="G25" i="5"/>
  <c r="M25" i="5"/>
  <c r="K25" i="5"/>
  <c r="I25" i="5"/>
  <c r="A158" i="4"/>
  <c r="A113" i="4"/>
  <c r="A69" i="4"/>
  <c r="K27" i="4"/>
  <c r="J28" i="4"/>
  <c r="L168" i="3"/>
  <c r="M167" i="3"/>
  <c r="F164" i="3"/>
  <c r="G163" i="3"/>
  <c r="I164" i="3"/>
  <c r="H165" i="3"/>
  <c r="D351" i="2"/>
  <c r="E351" i="2" s="1"/>
  <c r="D265" i="2"/>
  <c r="E265" i="2" s="1"/>
  <c r="H265" i="2"/>
  <c r="I265" i="2" s="1"/>
  <c r="F265" i="2"/>
  <c r="G265" i="2" s="1"/>
  <c r="J265" i="2"/>
  <c r="K265" i="2" s="1"/>
  <c r="L271" i="2"/>
  <c r="M271" i="2" s="1"/>
  <c r="O120" i="2"/>
  <c r="N121" i="2"/>
  <c r="J186" i="2"/>
  <c r="K186" i="2" s="1"/>
  <c r="H182" i="2"/>
  <c r="I182" i="2" s="1"/>
  <c r="D179" i="2"/>
  <c r="E179" i="2" s="1"/>
  <c r="F180" i="2"/>
  <c r="G180" i="2" s="1"/>
  <c r="L193" i="2"/>
  <c r="M193" i="2" s="1"/>
  <c r="D100" i="2"/>
  <c r="E100" i="2" s="1"/>
  <c r="L114" i="2"/>
  <c r="M114" i="2" s="1"/>
  <c r="J107" i="2"/>
  <c r="K107" i="2" s="1"/>
  <c r="H103" i="2"/>
  <c r="I103" i="2" s="1"/>
  <c r="F102" i="2"/>
  <c r="G102" i="2" s="1"/>
  <c r="K24" i="2"/>
  <c r="G42" i="2"/>
  <c r="G41" i="2"/>
  <c r="I22" i="2"/>
  <c r="E22" i="2"/>
  <c r="O27" i="2"/>
  <c r="J167" i="3" l="1"/>
  <c r="K166" i="3"/>
  <c r="CS33" i="7"/>
  <c r="CR34" i="7"/>
  <c r="I113" i="4"/>
  <c r="M113" i="4"/>
  <c r="K113" i="4"/>
  <c r="G113" i="4"/>
  <c r="A28" i="4"/>
  <c r="I27" i="4"/>
  <c r="M27" i="4"/>
  <c r="CN31" i="7"/>
  <c r="CO30" i="7"/>
  <c r="CT139" i="7"/>
  <c r="CU138" i="7"/>
  <c r="C158" i="4"/>
  <c r="M158" i="4"/>
  <c r="K158" i="4"/>
  <c r="E158" i="4"/>
  <c r="G158" i="4"/>
  <c r="I158" i="4"/>
  <c r="CP138" i="7"/>
  <c r="CQ137" i="7"/>
  <c r="CP32" i="7"/>
  <c r="CQ31" i="7"/>
  <c r="D165" i="3"/>
  <c r="E164" i="3"/>
  <c r="E69" i="4"/>
  <c r="C69" i="4"/>
  <c r="G69" i="4"/>
  <c r="M69" i="4"/>
  <c r="K69" i="4"/>
  <c r="I69" i="4"/>
  <c r="CK28" i="7"/>
  <c r="CJ29" i="7"/>
  <c r="CL29" i="7"/>
  <c r="CM28" i="7"/>
  <c r="BY135" i="7"/>
  <c r="BX136" i="7"/>
  <c r="BY136" i="7" s="1"/>
  <c r="CR139" i="7"/>
  <c r="CS138" i="7"/>
  <c r="B37" i="1"/>
  <c r="L37" i="1" s="1"/>
  <c r="L36" i="1"/>
  <c r="CM136" i="7"/>
  <c r="CL137" i="7"/>
  <c r="CR86" i="7"/>
  <c r="CS85" i="7"/>
  <c r="CK82" i="7"/>
  <c r="CJ83" i="7"/>
  <c r="CU85" i="7"/>
  <c r="CT86" i="7"/>
  <c r="CP85" i="7"/>
  <c r="CQ84" i="7"/>
  <c r="CN83" i="7"/>
  <c r="CO82" i="7"/>
  <c r="CL84" i="7"/>
  <c r="CM83" i="7"/>
  <c r="CU32" i="7"/>
  <c r="CT33" i="7"/>
  <c r="CJ136" i="7"/>
  <c r="CK135" i="7"/>
  <c r="CN136" i="7"/>
  <c r="CO135" i="7"/>
  <c r="A115" i="5"/>
  <c r="G114" i="5"/>
  <c r="I114" i="5"/>
  <c r="K114" i="5"/>
  <c r="M114" i="5"/>
  <c r="A71" i="5"/>
  <c r="G70" i="5"/>
  <c r="I70" i="5"/>
  <c r="K70" i="5"/>
  <c r="M70" i="5"/>
  <c r="A27" i="5"/>
  <c r="G26" i="5"/>
  <c r="M26" i="5"/>
  <c r="K26" i="5"/>
  <c r="I26" i="5"/>
  <c r="A159" i="4"/>
  <c r="A114" i="4"/>
  <c r="A70" i="4"/>
  <c r="K28" i="4"/>
  <c r="J29" i="4"/>
  <c r="L169" i="3"/>
  <c r="M168" i="3"/>
  <c r="F165" i="3"/>
  <c r="G164" i="3"/>
  <c r="H166" i="3"/>
  <c r="I165" i="3"/>
  <c r="E352" i="2"/>
  <c r="F352" i="2"/>
  <c r="G352" i="2" s="1"/>
  <c r="F266" i="2"/>
  <c r="G266" i="2" s="1"/>
  <c r="D266" i="2"/>
  <c r="E266" i="2" s="1"/>
  <c r="L272" i="2"/>
  <c r="M272" i="2" s="1"/>
  <c r="J266" i="2"/>
  <c r="K266" i="2" s="1"/>
  <c r="H266" i="2"/>
  <c r="I266" i="2" s="1"/>
  <c r="N122" i="2"/>
  <c r="O121" i="2"/>
  <c r="H183" i="2"/>
  <c r="I183" i="2" s="1"/>
  <c r="F181" i="2"/>
  <c r="G181" i="2" s="1"/>
  <c r="L194" i="2"/>
  <c r="M194" i="2" s="1"/>
  <c r="D180" i="2"/>
  <c r="E180" i="2" s="1"/>
  <c r="J187" i="2"/>
  <c r="K187" i="2" s="1"/>
  <c r="D101" i="2"/>
  <c r="E101" i="2" s="1"/>
  <c r="F103" i="2"/>
  <c r="G103" i="2" s="1"/>
  <c r="J108" i="2"/>
  <c r="K108" i="2" s="1"/>
  <c r="H104" i="2"/>
  <c r="I104" i="2" s="1"/>
  <c r="L115" i="2"/>
  <c r="M115" i="2" s="1"/>
  <c r="K25" i="2"/>
  <c r="I23" i="2"/>
  <c r="E23" i="2"/>
  <c r="O28" i="2"/>
  <c r="CL30" i="7" l="1"/>
  <c r="CM29" i="7"/>
  <c r="CP33" i="7"/>
  <c r="CQ32" i="7"/>
  <c r="CN32" i="7"/>
  <c r="CO31" i="7"/>
  <c r="C70" i="4"/>
  <c r="E70" i="4"/>
  <c r="G70" i="4"/>
  <c r="M70" i="4"/>
  <c r="K70" i="4"/>
  <c r="I70" i="4"/>
  <c r="CK29" i="7"/>
  <c r="CJ30" i="7"/>
  <c r="CR140" i="7"/>
  <c r="CS139" i="7"/>
  <c r="CP139" i="7"/>
  <c r="CQ138" i="7"/>
  <c r="CS34" i="7"/>
  <c r="CR35" i="7"/>
  <c r="I114" i="4"/>
  <c r="M114" i="4"/>
  <c r="K114" i="4"/>
  <c r="G114" i="4"/>
  <c r="A29" i="4"/>
  <c r="I28" i="4"/>
  <c r="M28" i="4"/>
  <c r="G159" i="4"/>
  <c r="K159" i="4"/>
  <c r="I159" i="4"/>
  <c r="E159" i="4"/>
  <c r="M159" i="4"/>
  <c r="C159" i="4"/>
  <c r="D166" i="3"/>
  <c r="E165" i="3"/>
  <c r="CT140" i="7"/>
  <c r="CU139" i="7"/>
  <c r="J168" i="3"/>
  <c r="K167" i="3"/>
  <c r="CN137" i="7"/>
  <c r="CO136" i="7"/>
  <c r="CK136" i="7"/>
  <c r="CJ137" i="7"/>
  <c r="CL138" i="7"/>
  <c r="CM137" i="7"/>
  <c r="CK83" i="7"/>
  <c r="CJ84" i="7"/>
  <c r="CR87" i="7"/>
  <c r="CS86" i="7"/>
  <c r="CU86" i="7"/>
  <c r="CT87" i="7"/>
  <c r="CP86" i="7"/>
  <c r="CQ85" i="7"/>
  <c r="CN84" i="7"/>
  <c r="CO83" i="7"/>
  <c r="CL85" i="7"/>
  <c r="CM84" i="7"/>
  <c r="CU33" i="7"/>
  <c r="CT34" i="7"/>
  <c r="M115" i="5"/>
  <c r="A116" i="5"/>
  <c r="G115" i="5"/>
  <c r="I115" i="5"/>
  <c r="K115" i="5"/>
  <c r="M71" i="5"/>
  <c r="A72" i="5"/>
  <c r="G71" i="5"/>
  <c r="I71" i="5"/>
  <c r="K71" i="5"/>
  <c r="A28" i="5"/>
  <c r="G27" i="5"/>
  <c r="M27" i="5"/>
  <c r="K27" i="5"/>
  <c r="I27" i="5"/>
  <c r="A160" i="4"/>
  <c r="A115" i="4"/>
  <c r="A71" i="4"/>
  <c r="J30" i="4"/>
  <c r="K29" i="4"/>
  <c r="L170" i="3"/>
  <c r="M169" i="3"/>
  <c r="F166" i="3"/>
  <c r="G165" i="3"/>
  <c r="H167" i="3"/>
  <c r="I166" i="3"/>
  <c r="E353" i="2"/>
  <c r="F353" i="2"/>
  <c r="G353" i="2" s="1"/>
  <c r="J267" i="2"/>
  <c r="K267" i="2" s="1"/>
  <c r="H267" i="2"/>
  <c r="I267" i="2" s="1"/>
  <c r="F267" i="2"/>
  <c r="G267" i="2" s="1"/>
  <c r="N123" i="2"/>
  <c r="O122" i="2"/>
  <c r="F182" i="2"/>
  <c r="G182" i="2" s="1"/>
  <c r="J188" i="2"/>
  <c r="K188" i="2" s="1"/>
  <c r="H184" i="2"/>
  <c r="I184" i="2" s="1"/>
  <c r="D181" i="2"/>
  <c r="E181" i="2" s="1"/>
  <c r="D102" i="2"/>
  <c r="E102" i="2" s="1"/>
  <c r="F104" i="2"/>
  <c r="G104" i="2" s="1"/>
  <c r="J109" i="2"/>
  <c r="K109" i="2" s="1"/>
  <c r="H105" i="2"/>
  <c r="I105" i="2" s="1"/>
  <c r="K26" i="2"/>
  <c r="I24" i="2"/>
  <c r="E24" i="2"/>
  <c r="O29" i="2"/>
  <c r="E71" i="4" l="1"/>
  <c r="G71" i="4"/>
  <c r="M71" i="4"/>
  <c r="K71" i="4"/>
  <c r="I71" i="4"/>
  <c r="CT141" i="7"/>
  <c r="CU140" i="7"/>
  <c r="K115" i="4"/>
  <c r="I115" i="4"/>
  <c r="G115" i="4"/>
  <c r="M115" i="4"/>
  <c r="CP140" i="7"/>
  <c r="CQ139" i="7"/>
  <c r="CN33" i="7"/>
  <c r="CO32" i="7"/>
  <c r="D167" i="3"/>
  <c r="E166" i="3"/>
  <c r="CR141" i="7"/>
  <c r="CS140" i="7"/>
  <c r="CP34" i="7"/>
  <c r="CQ33" i="7"/>
  <c r="K160" i="4"/>
  <c r="E160" i="4"/>
  <c r="I160" i="4"/>
  <c r="M160" i="4"/>
  <c r="C160" i="4"/>
  <c r="G160" i="4"/>
  <c r="J169" i="3"/>
  <c r="K168" i="3"/>
  <c r="CR36" i="7"/>
  <c r="CS35" i="7"/>
  <c r="CJ31" i="7"/>
  <c r="CK30" i="7"/>
  <c r="A30" i="4"/>
  <c r="I29" i="4"/>
  <c r="M29" i="4"/>
  <c r="CL31" i="7"/>
  <c r="CM30" i="7"/>
  <c r="CN138" i="7"/>
  <c r="CO137" i="7"/>
  <c r="CK137" i="7"/>
  <c r="CJ138" i="7"/>
  <c r="CM138" i="7"/>
  <c r="CL139" i="7"/>
  <c r="CK84" i="7"/>
  <c r="CJ85" i="7"/>
  <c r="CS87" i="7"/>
  <c r="CR88" i="7"/>
  <c r="CU87" i="7"/>
  <c r="CT88" i="7"/>
  <c r="CP87" i="7"/>
  <c r="CQ86" i="7"/>
  <c r="CN85" i="7"/>
  <c r="CO84" i="7"/>
  <c r="CL86" i="7"/>
  <c r="CM85" i="7"/>
  <c r="CU34" i="7"/>
  <c r="CT35" i="7"/>
  <c r="K116" i="5"/>
  <c r="M116" i="5"/>
  <c r="A117" i="5"/>
  <c r="G116" i="5"/>
  <c r="I116" i="5"/>
  <c r="K72" i="5"/>
  <c r="M72" i="5"/>
  <c r="A73" i="5"/>
  <c r="G72" i="5"/>
  <c r="I72" i="5"/>
  <c r="A29" i="5"/>
  <c r="G28" i="5"/>
  <c r="M28" i="5"/>
  <c r="K28" i="5"/>
  <c r="I28" i="5"/>
  <c r="A161" i="4"/>
  <c r="A116" i="4"/>
  <c r="A72" i="4"/>
  <c r="J31" i="4"/>
  <c r="K30" i="4"/>
  <c r="L171" i="3"/>
  <c r="M170" i="3"/>
  <c r="F167" i="3"/>
  <c r="G166" i="3"/>
  <c r="I167" i="3"/>
  <c r="H168" i="3"/>
  <c r="F354" i="2"/>
  <c r="G354" i="2" s="1"/>
  <c r="H356" i="2"/>
  <c r="I356" i="2" s="1"/>
  <c r="H268" i="2"/>
  <c r="I268" i="2" s="1"/>
  <c r="J268" i="2"/>
  <c r="K268" i="2" s="1"/>
  <c r="F268" i="2"/>
  <c r="G268" i="2" s="1"/>
  <c r="O123" i="2"/>
  <c r="N124" i="2"/>
  <c r="J189" i="2"/>
  <c r="K189" i="2" s="1"/>
  <c r="H185" i="2"/>
  <c r="I185" i="2" s="1"/>
  <c r="F183" i="2"/>
  <c r="G183" i="2" s="1"/>
  <c r="D182" i="2"/>
  <c r="E182" i="2" s="1"/>
  <c r="D103" i="2"/>
  <c r="E103" i="2" s="1"/>
  <c r="F105" i="2"/>
  <c r="G105" i="2" s="1"/>
  <c r="J110" i="2"/>
  <c r="K110" i="2" s="1"/>
  <c r="H106" i="2"/>
  <c r="I106" i="2" s="1"/>
  <c r="K27" i="2"/>
  <c r="I25" i="2"/>
  <c r="E25" i="2"/>
  <c r="O30" i="2"/>
  <c r="G167" i="3" l="1"/>
  <c r="F168" i="3"/>
  <c r="G168" i="3" s="1"/>
  <c r="K116" i="4"/>
  <c r="M116" i="4"/>
  <c r="G116" i="4"/>
  <c r="I116" i="4"/>
  <c r="CS36" i="7"/>
  <c r="CR37" i="7"/>
  <c r="CR142" i="7"/>
  <c r="CS141" i="7"/>
  <c r="CP141" i="7"/>
  <c r="CQ140" i="7"/>
  <c r="CT142" i="7"/>
  <c r="CU141" i="7"/>
  <c r="G161" i="4"/>
  <c r="E161" i="4"/>
  <c r="K161" i="4"/>
  <c r="M161" i="4"/>
  <c r="C161" i="4"/>
  <c r="I161" i="4"/>
  <c r="A31" i="4"/>
  <c r="I30" i="4"/>
  <c r="M30" i="4"/>
  <c r="J170" i="3"/>
  <c r="K170" i="3" s="1"/>
  <c r="K169" i="3"/>
  <c r="E167" i="3"/>
  <c r="D168" i="3"/>
  <c r="E168" i="3" s="1"/>
  <c r="K31" i="4"/>
  <c r="CJ32" i="7"/>
  <c r="CK31" i="7"/>
  <c r="CP35" i="7"/>
  <c r="CQ34" i="7"/>
  <c r="CN34" i="7"/>
  <c r="CO33" i="7"/>
  <c r="E72" i="4"/>
  <c r="G72" i="4"/>
  <c r="M72" i="4"/>
  <c r="K72" i="4"/>
  <c r="I72" i="4"/>
  <c r="CL32" i="7"/>
  <c r="CM31" i="7"/>
  <c r="CN139" i="7"/>
  <c r="CO138" i="7"/>
  <c r="CJ139" i="7"/>
  <c r="CK138" i="7"/>
  <c r="CL140" i="7"/>
  <c r="CM139" i="7"/>
  <c r="CK85" i="7"/>
  <c r="CJ86" i="7"/>
  <c r="CR89" i="7"/>
  <c r="CS88" i="7"/>
  <c r="CT89" i="7"/>
  <c r="CU88" i="7"/>
  <c r="CP88" i="7"/>
  <c r="CQ87" i="7"/>
  <c r="CN86" i="7"/>
  <c r="CO85" i="7"/>
  <c r="CL87" i="7"/>
  <c r="CM86" i="7"/>
  <c r="CU35" i="7"/>
  <c r="CT36" i="7"/>
  <c r="I117" i="5"/>
  <c r="K117" i="5"/>
  <c r="M117" i="5"/>
  <c r="A118" i="5"/>
  <c r="G117" i="5"/>
  <c r="I73" i="5"/>
  <c r="K73" i="5"/>
  <c r="M73" i="5"/>
  <c r="A74" i="5"/>
  <c r="G73" i="5"/>
  <c r="A30" i="5"/>
  <c r="G29" i="5"/>
  <c r="M29" i="5"/>
  <c r="K29" i="5"/>
  <c r="I29" i="5"/>
  <c r="A162" i="4"/>
  <c r="A117" i="4"/>
  <c r="A73" i="4"/>
  <c r="M171" i="3"/>
  <c r="L172" i="3"/>
  <c r="M172" i="3" s="1"/>
  <c r="H169" i="3"/>
  <c r="I169" i="3" s="1"/>
  <c r="I168" i="3"/>
  <c r="F355" i="2"/>
  <c r="G355" i="2" s="1"/>
  <c r="H357" i="2"/>
  <c r="I357" i="2" s="1"/>
  <c r="H269" i="2"/>
  <c r="I269" i="2" s="1"/>
  <c r="F269" i="2"/>
  <c r="G269" i="2" s="1"/>
  <c r="J269" i="2"/>
  <c r="K269" i="2" s="1"/>
  <c r="O124" i="2"/>
  <c r="N125" i="2"/>
  <c r="F184" i="2"/>
  <c r="G184" i="2" s="1"/>
  <c r="J190" i="2"/>
  <c r="K190" i="2" s="1"/>
  <c r="H186" i="2"/>
  <c r="I186" i="2" s="1"/>
  <c r="D104" i="2"/>
  <c r="E104" i="2" s="1"/>
  <c r="F106" i="2"/>
  <c r="G106" i="2" s="1"/>
  <c r="J111" i="2"/>
  <c r="K111" i="2" s="1"/>
  <c r="H107" i="2"/>
  <c r="I107" i="2" s="1"/>
  <c r="K28" i="2"/>
  <c r="I26" i="2"/>
  <c r="E26" i="2"/>
  <c r="O31" i="2"/>
  <c r="G73" i="4" l="1"/>
  <c r="M73" i="4"/>
  <c r="K73" i="4"/>
  <c r="I73" i="4"/>
  <c r="CK32" i="7"/>
  <c r="CJ33" i="7"/>
  <c r="CP142" i="7"/>
  <c r="CQ141" i="7"/>
  <c r="G117" i="4"/>
  <c r="M117" i="4"/>
  <c r="I117" i="4"/>
  <c r="K117" i="4"/>
  <c r="CL33" i="7"/>
  <c r="CM32" i="7"/>
  <c r="I162" i="4"/>
  <c r="G162" i="4"/>
  <c r="E162" i="4"/>
  <c r="M162" i="4"/>
  <c r="C162" i="4"/>
  <c r="K162" i="4"/>
  <c r="CN35" i="7"/>
  <c r="CO34" i="7"/>
  <c r="A32" i="4"/>
  <c r="A33" i="4" s="1"/>
  <c r="A34" i="4" s="1"/>
  <c r="A35" i="4" s="1"/>
  <c r="A36" i="4" s="1"/>
  <c r="A37" i="4" s="1"/>
  <c r="M31" i="4"/>
  <c r="CR143" i="7"/>
  <c r="CS142" i="7"/>
  <c r="CR38" i="7"/>
  <c r="CS37" i="7"/>
  <c r="CP36" i="7"/>
  <c r="CQ35" i="7"/>
  <c r="CT143" i="7"/>
  <c r="CU142" i="7"/>
  <c r="CN140" i="7"/>
  <c r="CO139" i="7"/>
  <c r="CK139" i="7"/>
  <c r="CJ140" i="7"/>
  <c r="CL141" i="7"/>
  <c r="CM140" i="7"/>
  <c r="CK86" i="7"/>
  <c r="CJ87" i="7"/>
  <c r="CR90" i="7"/>
  <c r="CS89" i="7"/>
  <c r="CU89" i="7"/>
  <c r="CT90" i="7"/>
  <c r="CU90" i="7" s="1"/>
  <c r="CQ88" i="7"/>
  <c r="CP89" i="7"/>
  <c r="CN87" i="7"/>
  <c r="CO86" i="7"/>
  <c r="CL88" i="7"/>
  <c r="CM87" i="7"/>
  <c r="CT37" i="7"/>
  <c r="CU36" i="7"/>
  <c r="A119" i="5"/>
  <c r="G118" i="5"/>
  <c r="I118" i="5"/>
  <c r="K118" i="5"/>
  <c r="M118" i="5"/>
  <c r="A75" i="5"/>
  <c r="G74" i="5"/>
  <c r="I74" i="5"/>
  <c r="K74" i="5"/>
  <c r="M74" i="5"/>
  <c r="A31" i="5"/>
  <c r="G30" i="5"/>
  <c r="M30" i="5"/>
  <c r="K30" i="5"/>
  <c r="I30" i="5"/>
  <c r="A163" i="4"/>
  <c r="A118" i="4"/>
  <c r="A74" i="4"/>
  <c r="F356" i="2"/>
  <c r="G356" i="2" s="1"/>
  <c r="H358" i="2"/>
  <c r="I358" i="2" s="1"/>
  <c r="H270" i="2"/>
  <c r="I270" i="2" s="1"/>
  <c r="J270" i="2"/>
  <c r="K270" i="2" s="1"/>
  <c r="N126" i="2"/>
  <c r="O125" i="2"/>
  <c r="J191" i="2"/>
  <c r="K191" i="2" s="1"/>
  <c r="F185" i="2"/>
  <c r="G185" i="2" s="1"/>
  <c r="H187" i="2"/>
  <c r="I187" i="2" s="1"/>
  <c r="J112" i="2"/>
  <c r="K112" i="2" s="1"/>
  <c r="F107" i="2"/>
  <c r="G107" i="2" s="1"/>
  <c r="D105" i="2"/>
  <c r="E105" i="2" s="1"/>
  <c r="H108" i="2"/>
  <c r="I108" i="2" s="1"/>
  <c r="K29" i="2"/>
  <c r="I27" i="2"/>
  <c r="E27" i="2"/>
  <c r="O32" i="2"/>
  <c r="M163" i="4" l="1"/>
  <c r="I163" i="4"/>
  <c r="G163" i="4"/>
  <c r="K163" i="4"/>
  <c r="E163" i="4"/>
  <c r="CJ34" i="7"/>
  <c r="CK33" i="7"/>
  <c r="CP37" i="7"/>
  <c r="CQ36" i="7"/>
  <c r="CR39" i="7"/>
  <c r="CS38" i="7"/>
  <c r="CN36" i="7"/>
  <c r="CO35" i="7"/>
  <c r="G74" i="4"/>
  <c r="M74" i="4"/>
  <c r="K74" i="4"/>
  <c r="I74" i="4"/>
  <c r="M118" i="4"/>
  <c r="G118" i="4"/>
  <c r="I118" i="4"/>
  <c r="K118" i="4"/>
  <c r="CT144" i="7"/>
  <c r="CU143" i="7"/>
  <c r="CR144" i="7"/>
  <c r="CS143" i="7"/>
  <c r="CL34" i="7"/>
  <c r="CM33" i="7"/>
  <c r="CP143" i="7"/>
  <c r="CQ142" i="7"/>
  <c r="CN141" i="7"/>
  <c r="CO140" i="7"/>
  <c r="CK140" i="7"/>
  <c r="CJ141" i="7"/>
  <c r="CL142" i="7"/>
  <c r="CM141" i="7"/>
  <c r="CK87" i="7"/>
  <c r="CJ88" i="7"/>
  <c r="CR91" i="7"/>
  <c r="CS90" i="7"/>
  <c r="CQ89" i="7"/>
  <c r="CP90" i="7"/>
  <c r="CN88" i="7"/>
  <c r="CO87" i="7"/>
  <c r="CM88" i="7"/>
  <c r="CL89" i="7"/>
  <c r="CU37" i="7"/>
  <c r="CT38" i="7"/>
  <c r="K119" i="5"/>
  <c r="M119" i="5"/>
  <c r="A120" i="5"/>
  <c r="K75" i="5"/>
  <c r="M75" i="5"/>
  <c r="A76" i="5"/>
  <c r="A32" i="5"/>
  <c r="M31" i="5"/>
  <c r="K31" i="5"/>
  <c r="A164" i="4"/>
  <c r="A119" i="4"/>
  <c r="A75" i="4"/>
  <c r="H359" i="2"/>
  <c r="I359" i="2" s="1"/>
  <c r="J271" i="2"/>
  <c r="K271" i="2" s="1"/>
  <c r="H271" i="2"/>
  <c r="I271" i="2" s="1"/>
  <c r="N127" i="2"/>
  <c r="O126" i="2"/>
  <c r="F186" i="2"/>
  <c r="G186" i="2" s="1"/>
  <c r="J192" i="2"/>
  <c r="K192" i="2" s="1"/>
  <c r="H188" i="2"/>
  <c r="I188" i="2" s="1"/>
  <c r="D106" i="2"/>
  <c r="J113" i="2"/>
  <c r="K113" i="2" s="1"/>
  <c r="H109" i="2"/>
  <c r="I109" i="2" s="1"/>
  <c r="F108" i="2"/>
  <c r="G108" i="2" s="1"/>
  <c r="K30" i="2"/>
  <c r="I28" i="2"/>
  <c r="E28" i="2"/>
  <c r="O33" i="2"/>
  <c r="A33" i="5" l="1"/>
  <c r="M32" i="5"/>
  <c r="CR145" i="7"/>
  <c r="CS144" i="7"/>
  <c r="CN37" i="7"/>
  <c r="CO36" i="7"/>
  <c r="CK34" i="7"/>
  <c r="CJ35" i="7"/>
  <c r="K119" i="4"/>
  <c r="M119" i="4"/>
  <c r="CP144" i="7"/>
  <c r="CQ143" i="7"/>
  <c r="CT145" i="7"/>
  <c r="CU144" i="7"/>
  <c r="CR40" i="7"/>
  <c r="CS39" i="7"/>
  <c r="G75" i="4"/>
  <c r="M75" i="4"/>
  <c r="K75" i="4"/>
  <c r="I75" i="4"/>
  <c r="M164" i="4"/>
  <c r="K164" i="4"/>
  <c r="E164" i="4"/>
  <c r="G164" i="4"/>
  <c r="I164" i="4"/>
  <c r="CL35" i="7"/>
  <c r="CM34" i="7"/>
  <c r="CP38" i="7"/>
  <c r="CQ37" i="7"/>
  <c r="CN142" i="7"/>
  <c r="CO141" i="7"/>
  <c r="CK141" i="7"/>
  <c r="CJ142" i="7"/>
  <c r="CL143" i="7"/>
  <c r="CM142" i="7"/>
  <c r="CJ89" i="7"/>
  <c r="CK88" i="7"/>
  <c r="CR92" i="7"/>
  <c r="CS92" i="7" s="1"/>
  <c r="CS91" i="7"/>
  <c r="CP91" i="7"/>
  <c r="CQ90" i="7"/>
  <c r="CO88" i="7"/>
  <c r="CN89" i="7"/>
  <c r="CM89" i="7"/>
  <c r="CL90" i="7"/>
  <c r="CT39" i="7"/>
  <c r="CU38" i="7"/>
  <c r="M120" i="5"/>
  <c r="A121" i="5"/>
  <c r="M76" i="5"/>
  <c r="A77" i="5"/>
  <c r="A165" i="4"/>
  <c r="A120" i="4"/>
  <c r="A76" i="4"/>
  <c r="H360" i="2"/>
  <c r="I360" i="2" s="1"/>
  <c r="H272" i="2"/>
  <c r="I272" i="2" s="1"/>
  <c r="J272" i="2"/>
  <c r="K272" i="2" s="1"/>
  <c r="N128" i="2"/>
  <c r="O127" i="2"/>
  <c r="J193" i="2"/>
  <c r="K193" i="2" s="1"/>
  <c r="F187" i="2"/>
  <c r="G187" i="2" s="1"/>
  <c r="H189" i="2"/>
  <c r="I189" i="2" s="1"/>
  <c r="D107" i="2"/>
  <c r="E106" i="2"/>
  <c r="H110" i="2"/>
  <c r="I110" i="2" s="1"/>
  <c r="J114" i="2"/>
  <c r="K114" i="2" s="1"/>
  <c r="F109" i="2"/>
  <c r="G109" i="2" s="1"/>
  <c r="K31" i="2"/>
  <c r="I29" i="2"/>
  <c r="E29" i="2"/>
  <c r="O34" i="2"/>
  <c r="A77" i="4" l="1"/>
  <c r="G76" i="4"/>
  <c r="M76" i="4"/>
  <c r="K76" i="4"/>
  <c r="I76" i="4"/>
  <c r="A121" i="4"/>
  <c r="M120" i="4"/>
  <c r="CP145" i="7"/>
  <c r="CQ144" i="7"/>
  <c r="CN38" i="7"/>
  <c r="CO37" i="7"/>
  <c r="G165" i="4"/>
  <c r="I165" i="4"/>
  <c r="M165" i="4"/>
  <c r="K165" i="4"/>
  <c r="CP39" i="7"/>
  <c r="CQ38" i="7"/>
  <c r="CR41" i="7"/>
  <c r="CS40" i="7"/>
  <c r="CR146" i="7"/>
  <c r="CS145" i="7"/>
  <c r="CL36" i="7"/>
  <c r="CM35" i="7"/>
  <c r="CK35" i="7"/>
  <c r="CJ36" i="7"/>
  <c r="CT146" i="7"/>
  <c r="CU145" i="7"/>
  <c r="A34" i="5"/>
  <c r="M33" i="5"/>
  <c r="CN143" i="7"/>
  <c r="CO142" i="7"/>
  <c r="CJ143" i="7"/>
  <c r="CK142" i="7"/>
  <c r="CL144" i="7"/>
  <c r="CM143" i="7"/>
  <c r="CK89" i="7"/>
  <c r="CJ90" i="7"/>
  <c r="CP92" i="7"/>
  <c r="CQ91" i="7"/>
  <c r="CO89" i="7"/>
  <c r="CN90" i="7"/>
  <c r="CL91" i="7"/>
  <c r="CM90" i="7"/>
  <c r="CT40" i="7"/>
  <c r="CU39" i="7"/>
  <c r="M121" i="5"/>
  <c r="A122" i="5"/>
  <c r="M77" i="5"/>
  <c r="A78" i="5"/>
  <c r="A166" i="4"/>
  <c r="H361" i="2"/>
  <c r="I361" i="2" s="1"/>
  <c r="J273" i="2"/>
  <c r="K273" i="2" s="1"/>
  <c r="H273" i="2"/>
  <c r="I273" i="2" s="1"/>
  <c r="N129" i="2"/>
  <c r="O128" i="2"/>
  <c r="J194" i="2"/>
  <c r="K194" i="2" s="1"/>
  <c r="H190" i="2"/>
  <c r="I190" i="2" s="1"/>
  <c r="F188" i="2"/>
  <c r="G188" i="2" s="1"/>
  <c r="D108" i="2"/>
  <c r="E107" i="2"/>
  <c r="J115" i="2"/>
  <c r="K115" i="2" s="1"/>
  <c r="F110" i="2"/>
  <c r="G110" i="2" s="1"/>
  <c r="H111" i="2"/>
  <c r="I111" i="2" s="1"/>
  <c r="K32" i="2"/>
  <c r="I30" i="2"/>
  <c r="O35" i="2"/>
  <c r="CR42" i="7" l="1"/>
  <c r="CS41" i="7"/>
  <c r="A122" i="4"/>
  <c r="M121" i="4"/>
  <c r="A35" i="5"/>
  <c r="A36" i="5" s="1"/>
  <c r="A37" i="5" s="1"/>
  <c r="M34" i="5"/>
  <c r="CL37" i="7"/>
  <c r="CM36" i="7"/>
  <c r="CP40" i="7"/>
  <c r="CQ39" i="7"/>
  <c r="CN39" i="7"/>
  <c r="CO38" i="7"/>
  <c r="K166" i="4"/>
  <c r="I166" i="4"/>
  <c r="G166" i="4"/>
  <c r="M166" i="4"/>
  <c r="CU146" i="7"/>
  <c r="CT147" i="7"/>
  <c r="CR147" i="7"/>
  <c r="CS146" i="7"/>
  <c r="CP146" i="7"/>
  <c r="CQ145" i="7"/>
  <c r="CJ37" i="7"/>
  <c r="CK36" i="7"/>
  <c r="A78" i="4"/>
  <c r="G77" i="4"/>
  <c r="M77" i="4"/>
  <c r="I77" i="4"/>
  <c r="K77" i="4"/>
  <c r="CN144" i="7"/>
  <c r="CO143" i="7"/>
  <c r="CJ144" i="7"/>
  <c r="CK143" i="7"/>
  <c r="CL145" i="7"/>
  <c r="CM144" i="7"/>
  <c r="CJ91" i="7"/>
  <c r="CK90" i="7"/>
  <c r="CP93" i="7"/>
  <c r="CQ92" i="7"/>
  <c r="CN91" i="7"/>
  <c r="CO90" i="7"/>
  <c r="CL92" i="7"/>
  <c r="CM91" i="7"/>
  <c r="CT41" i="7"/>
  <c r="CU40" i="7"/>
  <c r="M122" i="5"/>
  <c r="A123" i="5"/>
  <c r="A124" i="5" s="1"/>
  <c r="A125" i="5" s="1"/>
  <c r="M78" i="5"/>
  <c r="A79" i="5"/>
  <c r="A80" i="5" s="1"/>
  <c r="A81" i="5" s="1"/>
  <c r="A167" i="4"/>
  <c r="H362" i="2"/>
  <c r="I362" i="2" s="1"/>
  <c r="H274" i="2"/>
  <c r="I274" i="2" s="1"/>
  <c r="J274" i="2"/>
  <c r="K274" i="2" s="1"/>
  <c r="N130" i="2"/>
  <c r="O129" i="2"/>
  <c r="J195" i="2"/>
  <c r="K195" i="2" s="1"/>
  <c r="F189" i="2"/>
  <c r="G189" i="2" s="1"/>
  <c r="H191" i="2"/>
  <c r="I191" i="2" s="1"/>
  <c r="D109" i="2"/>
  <c r="E109" i="2" s="1"/>
  <c r="E108" i="2"/>
  <c r="H112" i="2"/>
  <c r="I112" i="2" s="1"/>
  <c r="J116" i="2"/>
  <c r="K116" i="2" s="1"/>
  <c r="F111" i="2"/>
  <c r="G111" i="2" s="1"/>
  <c r="K33" i="2"/>
  <c r="I31" i="2"/>
  <c r="O36" i="2"/>
  <c r="CT148" i="7" l="1"/>
  <c r="CU147" i="7"/>
  <c r="CJ38" i="7"/>
  <c r="CK37" i="7"/>
  <c r="CN40" i="7"/>
  <c r="CO39" i="7"/>
  <c r="CP147" i="7"/>
  <c r="CQ146" i="7"/>
  <c r="CP41" i="7"/>
  <c r="CQ40" i="7"/>
  <c r="A123" i="4"/>
  <c r="A124" i="4" s="1"/>
  <c r="A125" i="4" s="1"/>
  <c r="M122" i="4"/>
  <c r="K167" i="4"/>
  <c r="M167" i="4"/>
  <c r="I167" i="4"/>
  <c r="G167" i="4"/>
  <c r="A79" i="4"/>
  <c r="I78" i="4"/>
  <c r="M78" i="4"/>
  <c r="K78" i="4"/>
  <c r="CR148" i="7"/>
  <c r="CS147" i="7"/>
  <c r="CL38" i="7"/>
  <c r="CM37" i="7"/>
  <c r="CR43" i="7"/>
  <c r="CS42" i="7"/>
  <c r="CN145" i="7"/>
  <c r="CO144" i="7"/>
  <c r="CK144" i="7"/>
  <c r="CJ145" i="7"/>
  <c r="CL146" i="7"/>
  <c r="CM145" i="7"/>
  <c r="CK91" i="7"/>
  <c r="CJ92" i="7"/>
  <c r="CP94" i="7"/>
  <c r="CQ94" i="7" s="1"/>
  <c r="CQ93" i="7"/>
  <c r="CN92" i="7"/>
  <c r="CO91" i="7"/>
  <c r="CL93" i="7"/>
  <c r="CM92" i="7"/>
  <c r="CU41" i="7"/>
  <c r="CT42" i="7"/>
  <c r="A168" i="4"/>
  <c r="H363" i="2"/>
  <c r="I363" i="2" s="1"/>
  <c r="J275" i="2"/>
  <c r="K275" i="2" s="1"/>
  <c r="H275" i="2"/>
  <c r="I275" i="2" s="1"/>
  <c r="N131" i="2"/>
  <c r="O130" i="2"/>
  <c r="H192" i="2"/>
  <c r="I192" i="2" s="1"/>
  <c r="J196" i="2"/>
  <c r="K196" i="2" s="1"/>
  <c r="F190" i="2"/>
  <c r="G190" i="2" s="1"/>
  <c r="H113" i="2"/>
  <c r="I113" i="2" s="1"/>
  <c r="F112" i="2"/>
  <c r="G112" i="2" s="1"/>
  <c r="J117" i="2"/>
  <c r="K117" i="2" s="1"/>
  <c r="K34" i="2"/>
  <c r="I32" i="2"/>
  <c r="O37" i="2"/>
  <c r="CL39" i="7" l="1"/>
  <c r="CM38" i="7"/>
  <c r="A80" i="4"/>
  <c r="K79" i="4"/>
  <c r="M79" i="4"/>
  <c r="CN41" i="7"/>
  <c r="CO40" i="7"/>
  <c r="CR149" i="7"/>
  <c r="CS148" i="7"/>
  <c r="CP42" i="7"/>
  <c r="CQ41" i="7"/>
  <c r="CK38" i="7"/>
  <c r="CJ39" i="7"/>
  <c r="A169" i="4"/>
  <c r="I168" i="4"/>
  <c r="M168" i="4"/>
  <c r="K168" i="4"/>
  <c r="CS43" i="7"/>
  <c r="CR44" i="7"/>
  <c r="CP148" i="7"/>
  <c r="CQ147" i="7"/>
  <c r="CT149" i="7"/>
  <c r="CU148" i="7"/>
  <c r="CN146" i="7"/>
  <c r="CO145" i="7"/>
  <c r="CK145" i="7"/>
  <c r="CJ146" i="7"/>
  <c r="CL147" i="7"/>
  <c r="CM146" i="7"/>
  <c r="CK92" i="7"/>
  <c r="CJ93" i="7"/>
  <c r="CN93" i="7"/>
  <c r="CO92" i="7"/>
  <c r="CL94" i="7"/>
  <c r="CM94" i="7" s="1"/>
  <c r="CM93" i="7"/>
  <c r="CT43" i="7"/>
  <c r="CU42" i="7"/>
  <c r="J276" i="2"/>
  <c r="K276" i="2" s="1"/>
  <c r="H276" i="2"/>
  <c r="I276" i="2" s="1"/>
  <c r="N132" i="2"/>
  <c r="O131" i="2"/>
  <c r="F191" i="2"/>
  <c r="G191" i="2" s="1"/>
  <c r="J197" i="2"/>
  <c r="K197" i="2" s="1"/>
  <c r="H193" i="2"/>
  <c r="I193" i="2" s="1"/>
  <c r="J118" i="2"/>
  <c r="K118" i="2" s="1"/>
  <c r="H114" i="2"/>
  <c r="I114" i="2" s="1"/>
  <c r="K35" i="2"/>
  <c r="I33" i="2"/>
  <c r="O38" i="2"/>
  <c r="CN42" i="7" l="1"/>
  <c r="CO41" i="7"/>
  <c r="CT150" i="7"/>
  <c r="CU149" i="7"/>
  <c r="CP43" i="7"/>
  <c r="CQ42" i="7"/>
  <c r="A81" i="4"/>
  <c r="M80" i="4"/>
  <c r="CP149" i="7"/>
  <c r="CQ148" i="7"/>
  <c r="I169" i="4"/>
  <c r="K169" i="4"/>
  <c r="M169" i="4"/>
  <c r="CS149" i="7"/>
  <c r="CR150" i="7"/>
  <c r="CS44" i="7"/>
  <c r="CR45" i="7"/>
  <c r="CK39" i="7"/>
  <c r="CJ40" i="7"/>
  <c r="CL40" i="7"/>
  <c r="CM39" i="7"/>
  <c r="CN147" i="7"/>
  <c r="CO146" i="7"/>
  <c r="CK146" i="7"/>
  <c r="CJ147" i="7"/>
  <c r="CL148" i="7"/>
  <c r="CM147" i="7"/>
  <c r="CK93" i="7"/>
  <c r="CJ94" i="7"/>
  <c r="CK94" i="7" s="1"/>
  <c r="CN94" i="7"/>
  <c r="CO94" i="7" s="1"/>
  <c r="CO93" i="7"/>
  <c r="CT44" i="7"/>
  <c r="CU44" i="7" s="1"/>
  <c r="CU43" i="7"/>
  <c r="J277" i="2"/>
  <c r="K277" i="2" s="1"/>
  <c r="N133" i="2"/>
  <c r="O132" i="2"/>
  <c r="H194" i="2"/>
  <c r="I194" i="2" s="1"/>
  <c r="J198" i="2"/>
  <c r="K198" i="2" s="1"/>
  <c r="J119" i="2"/>
  <c r="K119" i="2" s="1"/>
  <c r="H115" i="2"/>
  <c r="I115" i="2" s="1"/>
  <c r="K36" i="2"/>
  <c r="I34" i="2"/>
  <c r="O39" i="2"/>
  <c r="CS45" i="7" l="1"/>
  <c r="CR46" i="7"/>
  <c r="CS46" i="7" s="1"/>
  <c r="CP44" i="7"/>
  <c r="CQ43" i="7"/>
  <c r="CR151" i="7"/>
  <c r="CS150" i="7"/>
  <c r="CP150" i="7"/>
  <c r="CQ149" i="7"/>
  <c r="CT151" i="7"/>
  <c r="CU150" i="7"/>
  <c r="CL41" i="7"/>
  <c r="CM40" i="7"/>
  <c r="CJ41" i="7"/>
  <c r="CK40" i="7"/>
  <c r="CN43" i="7"/>
  <c r="CO42" i="7"/>
  <c r="CN148" i="7"/>
  <c r="CO147" i="7"/>
  <c r="CK147" i="7"/>
  <c r="CJ148" i="7"/>
  <c r="CL149" i="7"/>
  <c r="CM148" i="7"/>
  <c r="N134" i="2"/>
  <c r="O133" i="2"/>
  <c r="H195" i="2"/>
  <c r="I195" i="2" s="1"/>
  <c r="J199" i="2"/>
  <c r="K199" i="2" s="1"/>
  <c r="J120" i="2"/>
  <c r="K120" i="2" s="1"/>
  <c r="H116" i="2"/>
  <c r="I116" i="2" s="1"/>
  <c r="K37" i="2"/>
  <c r="I35" i="2"/>
  <c r="O40" i="2"/>
  <c r="CM41" i="7" l="1"/>
  <c r="CL42" i="7"/>
  <c r="CR152" i="7"/>
  <c r="CS152" i="7" s="1"/>
  <c r="CS151" i="7"/>
  <c r="CO43" i="7"/>
  <c r="CN44" i="7"/>
  <c r="CT152" i="7"/>
  <c r="CU152" i="7" s="1"/>
  <c r="CU151" i="7"/>
  <c r="CP45" i="7"/>
  <c r="CQ44" i="7"/>
  <c r="CJ42" i="7"/>
  <c r="CK41" i="7"/>
  <c r="CP151" i="7"/>
  <c r="CQ150" i="7"/>
  <c r="CN149" i="7"/>
  <c r="CO148" i="7"/>
  <c r="CK148" i="7"/>
  <c r="CJ149" i="7"/>
  <c r="CL150" i="7"/>
  <c r="CM149" i="7"/>
  <c r="N135" i="2"/>
  <c r="O134" i="2"/>
  <c r="H196" i="2"/>
  <c r="I196" i="2" s="1"/>
  <c r="H117" i="2"/>
  <c r="I117" i="2" s="1"/>
  <c r="K38" i="2"/>
  <c r="I36" i="2"/>
  <c r="O41" i="2"/>
  <c r="CN45" i="7" l="1"/>
  <c r="CO44" i="7"/>
  <c r="CL43" i="7"/>
  <c r="CM42" i="7"/>
  <c r="CJ43" i="7"/>
  <c r="CK42" i="7"/>
  <c r="CP46" i="7"/>
  <c r="CQ46" i="7" s="1"/>
  <c r="CQ45" i="7"/>
  <c r="CP152" i="7"/>
  <c r="CQ152" i="7" s="1"/>
  <c r="CQ151" i="7"/>
  <c r="CN150" i="7"/>
  <c r="CO149" i="7"/>
  <c r="CK149" i="7"/>
  <c r="CJ150" i="7"/>
  <c r="CL151" i="7"/>
  <c r="CM150" i="7"/>
  <c r="O294" i="2"/>
  <c r="N136" i="2"/>
  <c r="O135" i="2"/>
  <c r="H197" i="2"/>
  <c r="I197" i="2" s="1"/>
  <c r="H118" i="2"/>
  <c r="I118" i="2" s="1"/>
  <c r="K39" i="2"/>
  <c r="I37" i="2"/>
  <c r="O42" i="2"/>
  <c r="CJ44" i="7" l="1"/>
  <c r="CK43" i="7"/>
  <c r="CM43" i="7"/>
  <c r="CL44" i="7"/>
  <c r="CO45" i="7"/>
  <c r="CN46" i="7"/>
  <c r="CO46" i="7" s="1"/>
  <c r="CN151" i="7"/>
  <c r="CO150" i="7"/>
  <c r="CK150" i="7"/>
  <c r="CJ151" i="7"/>
  <c r="CL152" i="7"/>
  <c r="CM152" i="7" s="1"/>
  <c r="CM151" i="7"/>
  <c r="N137" i="2"/>
  <c r="O136" i="2"/>
  <c r="H119" i="2"/>
  <c r="I119" i="2" s="1"/>
  <c r="K40" i="2"/>
  <c r="I38" i="2"/>
  <c r="O43" i="2"/>
  <c r="CM44" i="7" l="1"/>
  <c r="CL45" i="7"/>
  <c r="CJ45" i="7"/>
  <c r="CK44" i="7"/>
  <c r="CN152" i="7"/>
  <c r="CO152" i="7" s="1"/>
  <c r="CO151" i="7"/>
  <c r="CJ152" i="7"/>
  <c r="CK152" i="7" s="1"/>
  <c r="CK151" i="7"/>
  <c r="O295" i="2"/>
  <c r="N138" i="2"/>
  <c r="O138" i="2" s="1"/>
  <c r="O137" i="2"/>
  <c r="K41" i="2"/>
  <c r="I39" i="2"/>
  <c r="O44" i="2"/>
  <c r="CJ46" i="7" l="1"/>
  <c r="CK46" i="7" s="1"/>
  <c r="CK45" i="7"/>
  <c r="CM45" i="7"/>
  <c r="CL46" i="7"/>
  <c r="CM46" i="7" s="1"/>
  <c r="O296" i="2"/>
  <c r="K42" i="2"/>
  <c r="I40" i="2"/>
  <c r="O45" i="2"/>
  <c r="O297" i="2" l="1"/>
  <c r="K44" i="2"/>
  <c r="K43" i="2"/>
  <c r="I41" i="2"/>
  <c r="O46" i="2"/>
  <c r="O298" i="2" l="1"/>
  <c r="I42" i="2"/>
  <c r="O47" i="2"/>
  <c r="O299" i="2" l="1"/>
  <c r="I43" i="2"/>
  <c r="O48" i="2"/>
  <c r="O300" i="2" l="1"/>
  <c r="I44" i="2"/>
  <c r="O49" i="2"/>
  <c r="O301" i="2" l="1"/>
  <c r="I45" i="2"/>
  <c r="O50" i="2"/>
  <c r="O302" i="2" l="1"/>
  <c r="I46" i="2"/>
  <c r="O51" i="2"/>
  <c r="O303" i="2" l="1"/>
  <c r="I47" i="2"/>
  <c r="O52" i="2"/>
  <c r="O304" i="2" l="1"/>
  <c r="I48" i="2"/>
  <c r="O53" i="2"/>
  <c r="O305" i="2" l="1"/>
  <c r="I50" i="2"/>
  <c r="I49" i="2"/>
  <c r="O54" i="2"/>
  <c r="O306" i="2" l="1"/>
  <c r="O55" i="2"/>
  <c r="O307" i="2" l="1"/>
  <c r="O56" i="2"/>
  <c r="O308" i="2" l="1"/>
  <c r="O58" i="2"/>
  <c r="O57" i="2"/>
  <c r="G5" i="2"/>
  <c r="O310" i="2" l="1"/>
  <c r="O309" i="2"/>
  <c r="G6" i="4"/>
  <c r="F7" i="4"/>
  <c r="G7" i="4" s="1"/>
  <c r="F8" i="4" l="1"/>
  <c r="G8" i="4" l="1"/>
  <c r="F9" i="4"/>
  <c r="F10" i="4" s="1"/>
  <c r="F11" i="4" s="1"/>
  <c r="F12" i="4" s="1"/>
  <c r="F13" i="4" s="1"/>
  <c r="F14" i="4" s="1"/>
  <c r="F15" i="4" s="1"/>
  <c r="F16" i="4" s="1"/>
  <c r="F17" i="4" s="1"/>
  <c r="F18" i="4" s="1"/>
  <c r="G9" i="4" l="1"/>
  <c r="G10" i="4" l="1"/>
  <c r="G11" i="4" l="1"/>
  <c r="G12" i="4" l="1"/>
  <c r="G13" i="4" l="1"/>
  <c r="G14" i="4" l="1"/>
  <c r="G15" i="4" l="1"/>
  <c r="G16" i="4" l="1"/>
  <c r="G17" i="4" l="1"/>
  <c r="F19" i="4" l="1"/>
  <c r="G18" i="4"/>
  <c r="G19" i="4" l="1"/>
  <c r="F20" i="4"/>
  <c r="F21" i="4" s="1"/>
  <c r="F22" i="4" s="1"/>
  <c r="F23" i="4" s="1"/>
  <c r="G21" i="4" l="1"/>
  <c r="G20" i="4"/>
  <c r="G22" i="4" l="1"/>
  <c r="F24" i="4" l="1"/>
  <c r="G23" i="4"/>
  <c r="F25" i="4" l="1"/>
  <c r="G24" i="4"/>
  <c r="F26" i="4" l="1"/>
  <c r="F27" i="4" s="1"/>
  <c r="F28" i="4" s="1"/>
  <c r="F29" i="4" s="1"/>
  <c r="F30" i="4" s="1"/>
  <c r="G25" i="4"/>
  <c r="G26" i="4" l="1"/>
  <c r="G27" i="4" l="1"/>
  <c r="G28" i="4" l="1"/>
  <c r="G29" i="4" l="1"/>
  <c r="G30" i="4"/>
</calcChain>
</file>

<file path=xl/sharedStrings.xml><?xml version="1.0" encoding="utf-8"?>
<sst xmlns="http://schemas.openxmlformats.org/spreadsheetml/2006/main" count="1374" uniqueCount="136">
  <si>
    <t>Distancia a recorrer Kms.</t>
  </si>
  <si>
    <t>Tvuelo +Tdesp seg.</t>
  </si>
  <si>
    <t>D/T</t>
  </si>
  <si>
    <t>Diferencia de distancia</t>
  </si>
  <si>
    <t>Diferencia de tiempo</t>
  </si>
  <si>
    <t>D1/T1</t>
  </si>
  <si>
    <t>Diferencia de Velocidad</t>
  </si>
  <si>
    <t>aceleración promedio</t>
  </si>
  <si>
    <t>15 mts/seg2</t>
  </si>
  <si>
    <t>Comprobar fórmula</t>
  </si>
  <si>
    <t>Aceleración del cohete mts/seg*seg</t>
  </si>
  <si>
    <t xml:space="preserve"> </t>
  </si>
  <si>
    <t>Dist Detec</t>
  </si>
  <si>
    <t>V coh</t>
  </si>
  <si>
    <t>Vsumat</t>
  </si>
  <si>
    <t>Denc</t>
  </si>
  <si>
    <t>Tiempo vuelo en seg</t>
  </si>
  <si>
    <t>Aplicable para alturas de blanco &lt; 1000 mts</t>
  </si>
  <si>
    <t>Hb (Kms.)</t>
  </si>
  <si>
    <t>Vb=300 mts/seg</t>
  </si>
  <si>
    <r>
      <t xml:space="preserve"> Parámetro  P </t>
    </r>
    <r>
      <rPr>
        <sz val="11"/>
        <color theme="1"/>
        <rFont val="Calibri"/>
        <family val="2"/>
      </rPr>
      <t>≤ 10</t>
    </r>
  </si>
  <si>
    <t>D destrucción</t>
  </si>
  <si>
    <t>D lanzamiento</t>
  </si>
  <si>
    <t>&lt; 1</t>
  </si>
  <si>
    <t>1 _5</t>
  </si>
  <si>
    <t>6_10</t>
  </si>
  <si>
    <t>&gt; 10</t>
  </si>
  <si>
    <t>≤ 10</t>
  </si>
  <si>
    <t>D detección Ttrab = 25 seg</t>
  </si>
  <si>
    <t>Otra tabla</t>
  </si>
  <si>
    <t>D lanz</t>
  </si>
  <si>
    <t>Vcoh</t>
  </si>
  <si>
    <t>Dzdr</t>
  </si>
  <si>
    <t>Para Hb = 2000</t>
  </si>
  <si>
    <t>Para Hb = 4000</t>
  </si>
  <si>
    <t>Para Hb = 6000</t>
  </si>
  <si>
    <t>Para Hb = 10000</t>
  </si>
  <si>
    <t>Para Hb = 17000</t>
  </si>
  <si>
    <t>Para Hb = 30000</t>
  </si>
  <si>
    <t>Distancia de Lanzamiento</t>
  </si>
  <si>
    <t>Vcoh m/seg</t>
  </si>
  <si>
    <t>Dzdr mts.</t>
  </si>
  <si>
    <t>Hb de 100 a 1000 mts.</t>
  </si>
  <si>
    <t>Hb = 2000 mts.</t>
  </si>
  <si>
    <t>Hb = 4000 mts.</t>
  </si>
  <si>
    <t>Hb = 6000 mts.</t>
  </si>
  <si>
    <t>Hb = 10000 mts.</t>
  </si>
  <si>
    <t>Hb = 17000 mts.</t>
  </si>
  <si>
    <t>Hb = 30000 mts.</t>
  </si>
  <si>
    <r>
      <t xml:space="preserve">Tabla de velocidades del cohete C-75, para diferentes alturas de vuelo del blanco, en dependencia de la distancia de lanzamiento.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</si>
  <si>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t>Dlanz máx</t>
  </si>
  <si>
    <t>Dlanz mín</t>
  </si>
  <si>
    <t>Dzdr mín</t>
  </si>
  <si>
    <t>Dzdr máx</t>
  </si>
  <si>
    <r>
      <t xml:space="preserve">Tabla de velocidades del cohete C-75, para diferentes alturas de vuelo del blanco, en dependencia de la distancia de lanzamiento.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</si>
  <si>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t>Dvdp ecc mín para Ttrab = 25 seg</t>
  </si>
  <si>
    <t>Dvdp ecc mín para Ttrab = 14 seg</t>
  </si>
  <si>
    <t>Dvdp ecc mín para Ttrab = 35 seg</t>
  </si>
  <si>
    <t>Dvdp ecc mín para Ttrab = 0 seg</t>
  </si>
  <si>
    <r>
      <t xml:space="preserve">Tabla de velocidades del cohete C-75, para diferentes alturas de vuelo del blanco, en dependencia de la distancia de lanzamiento.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</si>
  <si>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C-75, para diferentes alturas de vuelo del blanco, en dependencia de la distancia de lanzamiento. Para Vb = 950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</si>
  <si>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C-75, para diferentes alturas de vuelo del blanco, en dependencia de la distancia de lanzamiento. Para Vb = 640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</si>
  <si>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C-125, para diferentes alturas de vuelo del blanco, en dependencia de la distancia de lanzamiento.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</si>
  <si>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t>Hb de 500 a 1000 mts.</t>
  </si>
  <si>
    <t>Hb de 25 a 400 mts.</t>
  </si>
  <si>
    <t>Dvdp ecc mín para Ttrab = 15 seg</t>
  </si>
  <si>
    <r>
      <t xml:space="preserve">Tabla de velocidades del cohete C-125, para diferentes alturas de vuelo del blanco, en dependencia de la distancia de lanzamiento.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</si>
  <si>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C-125, para diferentes alturas de vuelo del blanco, en dependencia de la distancia de lanzamiento.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</si>
  <si>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C-125, para diferentes alturas de vuelo del blanco, en dependencia de la distancia de lanzamiento. Para Vb = 640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</si>
  <si>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Cuadrado, para diferentes alturas de vuelo del blanco, en dependencia de la distancia de lanzamiento.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</si>
  <si>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t>Hb de 25 a 300 mts.</t>
  </si>
  <si>
    <t>Hb de 400 a 1000 mts.</t>
  </si>
  <si>
    <t>Dvdp ecc mín para Ttrab = 28 seg</t>
  </si>
  <si>
    <r>
      <t xml:space="preserve">Tabla de velocidades del cohete Cuadrado, para diferentes alturas de vuelo del blanco, en dependencia de la distancia de lanzamiento.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</si>
  <si>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Cuadrado, para diferentes alturas de vuelo del blanco, en dependencia de la distancia de lanzamiento.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</si>
  <si>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Cuadrado, para diferentes alturas de vuelo del blanco, en dependencia de la distancia de lanzamiento. Para Vb = 640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</si>
  <si>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OSA-AKM, para diferentes alturas de vuelo del blanco, en dependencia de la distancia de lanzamiento.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</si>
  <si>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t>Dvdp ecc mín para Ttrab = 16 seg</t>
  </si>
  <si>
    <r>
      <t xml:space="preserve">Tabla de velocidades del cohete OSA-AKM, para diferentes alturas de vuelo del blanco, en dependencia de la distancia de lanzamiento.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</si>
  <si>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OSA-AKM, para diferentes alturas de vuelo del blanco, en dependencia de la distancia de lanzamiento.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</si>
  <si>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C-10, para diferentes alturas de vuelo del blanco, en dependencia de la distancia de lanzamiento.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</si>
  <si>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C-1, para diferentes alturas de vuelo del blanco, en dependencia de la distancia de lanzamiento.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</si>
  <si>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t>Dvdp ecc mín para Ttrab = 5 seg</t>
  </si>
  <si>
    <r>
      <t xml:space="preserve">Tabla de velocidades del cohete C-10, para diferentes alturas de vuelo del blanco, en dependencia de la distancia de lanzamiento.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</si>
  <si>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C-1, para diferentes alturas de vuelo del blanco, en dependencia de la distancia de lanzamiento.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</si>
  <si>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C-10, para diferentes alturas de vuelo del blanco, en dependencia de la distancia de lanzamiento.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</si>
  <si>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C-1, para diferentes alturas de vuelo del blanco, en dependencia de la distancia de lanzamiento.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</si>
  <si>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C-2, para diferentes alturas de vuelo del blanco, en dependencia de la distancia de lanzamiento.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</si>
  <si>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C-3, para diferentes alturas de vuelo del blanco, en dependencia de la distancia de lanzamiento.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</si>
  <si>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Igla, para diferentes alturas de vuelo del blanco, en dependencia de la distancia de lanzamiento.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</si>
  <si>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C-2, para diferentes alturas de vuelo del blanco, en dependencia de la distancia de lanzamiento.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</si>
  <si>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C-3, para diferentes alturas de vuelo del blanco, en dependencia de la distancia de lanzamiento.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</si>
  <si>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Igla, para diferentes alturas de vuelo del blanco, en dependencia de la distancia de lanzamiento.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</si>
  <si>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C-2, para diferentes alturas de vuelo del blanco, en dependencia de la distancia de lanzamiento.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</si>
  <si>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C-3, para diferentes alturas de vuelo del blanco, en dependencia de la distancia de lanzamiento.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</si>
  <si>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cohete Igla, para diferentes alturas de vuelo del blanco, en dependencia de la distancia de lanzamiento.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</si>
  <si>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12,7 mm, para diferentes alturas de vuelo del blanco, en dependencia de la distancia de apertura de fuego.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</si>
  <si>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t>Distancia de Apertura de fuego</t>
  </si>
  <si>
    <t>Hb de 25 a 100 mts.</t>
  </si>
  <si>
    <t>Hb = 1000 mts.</t>
  </si>
  <si>
    <t>Hb de200 a 500 mts.</t>
  </si>
  <si>
    <t>Hb = 2000 mts</t>
  </si>
  <si>
    <t>Vproy m/seg</t>
  </si>
  <si>
    <t>Dzfr mts.</t>
  </si>
  <si>
    <t>Hb = 4000 mts</t>
  </si>
  <si>
    <r>
      <t xml:space="preserve">Tabla de velocidades del proyectil de 12,7 mm, para diferentes alturas de vuelo del blanco, en dependencia de la distancia de apertura de fuego.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</si>
  <si>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t>Dapert mín</t>
  </si>
  <si>
    <t>Dapert máx</t>
  </si>
  <si>
    <t>Dzfr mín</t>
  </si>
  <si>
    <t>Dzfr máx</t>
  </si>
  <si>
    <t>Dvdp mín para Ttrab = 5 seg</t>
  </si>
  <si>
    <t>Dvdp mín para Ttrab = 0 seg</t>
  </si>
  <si>
    <r>
      <t xml:space="preserve">Tabla de velocidades del proyectil de 14,5 mm, para diferentes alturas de vuelo del blanco, en dependencia de la distancia de apertura de fuego.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</si>
  <si>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14,5 mm, para diferentes alturas de vuelo del blanco, en dependencia de la distancia de apertura de fuego.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</si>
  <si>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23 mm, para diferentes alturas de vuelo del blanco, en dependencia de la distancia de apertura de fuego.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</si>
  <si>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23 mm, para diferentes alturas de vuelo del blanco, en dependencia de la distancia de apertura de fuego.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</si>
  <si>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30 mm, para diferentes alturas de vuelo del blanco, en dependencia de la distancia de apertura de fuego.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</si>
  <si>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30 mm, para diferentes alturas de vuelo del blanco, en dependencia de la distancia de apertura de fuego.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</si>
  <si>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30 mm, para diferentes alturas de vuelo del blanco, en dependencia de la distancia de apertura de fuego.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</si>
  <si>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23 mm, para diferentes alturas de vuelo del blanco, en dependencia de la distancia de apertura de fuego.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</si>
  <si>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14,5 mm, para diferentes alturas de vuelo del blanco, en dependencia de la distancia de apertura de fuego.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</si>
  <si>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12,7 mm, para diferentes alturas de vuelo del blanco, en dependencia de la distancia de apertura de fuego.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</si>
  <si>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37 mm, para diferentes alturas de vuelo del blanco, en dependencia de la distancia de apertura de fuego.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</si>
  <si>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37 mm, para diferentes alturas de vuelo del blanco, en dependencia de la distancia de apertura de fuego.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</si>
  <si>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37 mm, para diferentes alturas de vuelo del blanco, en dependencia de la distancia de apertura de fuego.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</si>
  <si>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23 mm (Chilca), para diferentes alturas de vuelo del blanco, en dependencia de la distancia de apertura de fuego.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</si>
  <si>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t>Dvdp mín para Ttrab = 10 seg</t>
  </si>
  <si>
    <r>
      <t xml:space="preserve">Tabla de velocidades del proyectil de 23 mm (Chilca), para diferentes alturas de vuelo del blanco, en dependencia de la distancia de apertura de fuego.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</si>
  <si>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23 mm (Chilca), para diferentes alturas de vuelo del blanco, en dependencia de la distancia de apertura de fuego.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</si>
  <si>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57 mm, para diferentes alturas de vuelo del blanco, en dependencia de la distancia de apertura de fuego.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</si>
  <si>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t>Hb = 6000 mts</t>
  </si>
  <si>
    <r>
      <t xml:space="preserve">Tabla de velocidades del proyectil de 57 mm, para diferentes alturas de vuelo del blanco, en dependencia de la distancia de apertura de fuego.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</si>
  <si>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100 mm, para diferentes alturas de vuelo del blanco, en dependencia de la distancia de apertura de fuego. Para Vb = 300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</si>
  <si>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t>Hb = 10000 mts</t>
  </si>
  <si>
    <r>
      <t xml:space="preserve">Tabla de velocidades del proyectil de 100 mm, para diferentes alturas de vuelo del blanco, en dependencia de la distancia de apertura de fuego. Para Vb = 150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</si>
  <si>
    <r>
      <t xml:space="preserve">Tabla de velocidades del proyectil de 100 mm, para diferentes alturas de vuelo del blanco, en dependencia de la distancia de apertura de fuego. Para Vb = 420 mts/seg, con P = 0, q </t>
    </r>
    <r>
      <rPr>
        <sz val="11"/>
        <color theme="1"/>
        <rFont val="Calibri"/>
        <family val="2"/>
      </rPr>
      <t xml:space="preserve">≤ 90º </t>
    </r>
    <r>
      <rPr>
        <sz val="11"/>
        <color theme="1"/>
        <rFont val="Calibri"/>
        <family val="2"/>
        <scheme val="minor"/>
      </rPr>
      <t xml:space="preserve"> y que son blancos que no maniobran  ni por velocidad ni por altura.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</si>
</sst>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/>
    <xf numFmtId="1" fontId="0" fillId="3" borderId="0" xfId="0" applyNumberFormat="1" applyFill="1"/>
    <xf numFmtId="0" fontId="0" fillId="0" borderId="0" xfId="0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2"/>
  <sheetViews>
    <sheetView workbookViewId="0">
      <selection activeCell="R20" sqref="R20"/>
    </sheetView>
  </sheetViews>
  <sheetFormatPr baseColWidth="10" defaultRowHeight="15" x14ac:dyDescent="0.25"/>
  <cols>
    <col min="28" max="29" width="12.140625" customWidth="1"/>
    <col min="31" max="31" width="12.140625" customWidth="1"/>
    <col min="35" max="35" width="12" bestFit="1" customWidth="1"/>
  </cols>
  <sheetData>
    <row r="1" spans="1:32" ht="44.2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9</v>
      </c>
      <c r="K1" s="1" t="s">
        <v>9</v>
      </c>
      <c r="M1" s="3" t="s">
        <v>10</v>
      </c>
      <c r="R1" t="s">
        <v>12</v>
      </c>
      <c r="S1" t="s">
        <v>13</v>
      </c>
      <c r="T1" t="s">
        <v>14</v>
      </c>
      <c r="U1" t="s">
        <v>15</v>
      </c>
      <c r="V1" s="1" t="s">
        <v>16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28</v>
      </c>
      <c r="AD1" s="1" t="s">
        <v>21</v>
      </c>
      <c r="AE1" s="1" t="s">
        <v>22</v>
      </c>
      <c r="AF1" s="1" t="s">
        <v>28</v>
      </c>
    </row>
    <row r="2" spans="1:32" x14ac:dyDescent="0.25">
      <c r="A2">
        <v>7000</v>
      </c>
      <c r="B2">
        <v>16</v>
      </c>
      <c r="C2">
        <f>PRODUCT(A2,1/B2)</f>
        <v>437.5</v>
      </c>
      <c r="D2">
        <v>0</v>
      </c>
      <c r="E2">
        <v>0</v>
      </c>
      <c r="F2">
        <v>0</v>
      </c>
      <c r="G2">
        <v>0</v>
      </c>
      <c r="I2">
        <f>PRODUCT(C2,B2)</f>
        <v>7000</v>
      </c>
      <c r="J2">
        <f>PRODUCT(B2,C2)</f>
        <v>7000</v>
      </c>
      <c r="K2">
        <f>SUM(C2*B2,0)</f>
        <v>7000</v>
      </c>
      <c r="L2">
        <f>SUM(400*B2,1/2*7*B2*B2)</f>
        <v>7296</v>
      </c>
      <c r="M2" s="4">
        <v>7</v>
      </c>
      <c r="R2">
        <v>12000</v>
      </c>
      <c r="S2">
        <v>420</v>
      </c>
      <c r="T2">
        <f>SUM(300,S2)</f>
        <v>720</v>
      </c>
      <c r="U2" s="10">
        <f>PRODUCT(R2,S2,1/T2)</f>
        <v>7000</v>
      </c>
      <c r="V2">
        <v>16</v>
      </c>
      <c r="X2" s="2" t="s">
        <v>23</v>
      </c>
      <c r="Y2">
        <v>300</v>
      </c>
      <c r="Z2" s="7" t="s">
        <v>27</v>
      </c>
      <c r="AA2" s="2">
        <v>14000</v>
      </c>
      <c r="AB2" s="2">
        <v>18000</v>
      </c>
      <c r="AC2" s="2">
        <f>SUM(AB2,25*300)</f>
        <v>25500</v>
      </c>
      <c r="AD2" s="2">
        <v>20000</v>
      </c>
      <c r="AE2" s="2">
        <v>28000</v>
      </c>
      <c r="AF2" s="2">
        <f>SUM(AE2,300*25)</f>
        <v>35500</v>
      </c>
    </row>
    <row r="3" spans="1:32" x14ac:dyDescent="0.25">
      <c r="A3">
        <v>8000</v>
      </c>
      <c r="B3">
        <v>17.5</v>
      </c>
      <c r="C3">
        <f t="shared" ref="C3:C19" si="0">PRODUCT(A3,1/B3)</f>
        <v>457.14285714285711</v>
      </c>
      <c r="D3">
        <v>1000</v>
      </c>
      <c r="E3">
        <v>1.5</v>
      </c>
      <c r="F3">
        <f>PRODUCT(D3,1/E3)</f>
        <v>666.66666666666663</v>
      </c>
      <c r="G3">
        <f>SUM(C3,-C2)</f>
        <v>19.64285714285711</v>
      </c>
      <c r="H3">
        <f t="shared" ref="H3:H19" si="1">PRODUCT(G3,2,1/1.5)</f>
        <v>26.190476190476147</v>
      </c>
      <c r="I3">
        <f>SUM(C2*B2,2*15*1.5*1.5)</f>
        <v>7067.5</v>
      </c>
      <c r="J3">
        <f>SUM(B2*C2,2*16*1.5*1.5)</f>
        <v>7072</v>
      </c>
      <c r="K3">
        <f>SUM(B3*C2,1/2*7*1.5*1.5)</f>
        <v>7664.125</v>
      </c>
      <c r="L3">
        <f>SUM(400*B3,1/2*7*B3*B3)</f>
        <v>8071.875</v>
      </c>
      <c r="M3" s="4">
        <v>7</v>
      </c>
      <c r="R3">
        <v>13000</v>
      </c>
      <c r="S3">
        <v>430</v>
      </c>
      <c r="T3">
        <f t="shared" ref="T3:T64" si="2">SUM(300,S3)</f>
        <v>730</v>
      </c>
      <c r="U3" s="10">
        <f t="shared" ref="U3:U64" si="3">PRODUCT(R3,S3,1/T3)</f>
        <v>7657.5342465753429</v>
      </c>
      <c r="V3">
        <f>SUM(V2,1)</f>
        <v>17</v>
      </c>
      <c r="X3" s="6" t="s">
        <v>24</v>
      </c>
      <c r="Y3">
        <v>300</v>
      </c>
      <c r="Z3" s="7" t="s">
        <v>27</v>
      </c>
      <c r="AA3" s="2">
        <v>16000</v>
      </c>
      <c r="AB3" s="2">
        <v>21000</v>
      </c>
      <c r="AC3" s="2">
        <f t="shared" ref="AC3:AC5" si="4">SUM(AB3,25*300)</f>
        <v>28500</v>
      </c>
      <c r="AD3" s="2">
        <v>22000</v>
      </c>
      <c r="AE3" s="2">
        <v>33000</v>
      </c>
      <c r="AF3" s="2">
        <f t="shared" ref="AF3:AF5" si="5">SUM(AE3,300*25)</f>
        <v>40500</v>
      </c>
    </row>
    <row r="4" spans="1:32" x14ac:dyDescent="0.25">
      <c r="A4">
        <v>9000</v>
      </c>
      <c r="B4">
        <v>19</v>
      </c>
      <c r="C4">
        <f t="shared" si="0"/>
        <v>473.68421052631578</v>
      </c>
      <c r="D4">
        <v>1000</v>
      </c>
      <c r="E4">
        <v>1.5</v>
      </c>
      <c r="F4">
        <f t="shared" ref="F4:F19" si="6">PRODUCT(D4,1/E4)</f>
        <v>666.66666666666663</v>
      </c>
      <c r="G4">
        <f t="shared" ref="G4:G19" si="7">SUM(C4,-C3)</f>
        <v>16.54135338345867</v>
      </c>
      <c r="H4">
        <f t="shared" si="1"/>
        <v>22.055137844611558</v>
      </c>
      <c r="I4">
        <f>SUM(C2*B2,2*15*3*3)</f>
        <v>7270</v>
      </c>
      <c r="J4">
        <f>SUM(B2*C2,2*16*3*3)</f>
        <v>7288</v>
      </c>
      <c r="K4">
        <f>SUM(B4*C2,1/2*7*3*3)</f>
        <v>8344</v>
      </c>
      <c r="L4">
        <f>SUM(400*B4,1/2*7*B4*B4)</f>
        <v>8863.5</v>
      </c>
      <c r="M4" s="4">
        <v>7</v>
      </c>
      <c r="R4">
        <v>14000</v>
      </c>
      <c r="S4">
        <v>440</v>
      </c>
      <c r="T4">
        <f t="shared" si="2"/>
        <v>740</v>
      </c>
      <c r="U4" s="10">
        <f t="shared" si="3"/>
        <v>8324.3243243243251</v>
      </c>
      <c r="V4">
        <f t="shared" ref="V4:V64" si="8">SUM(V3,1)</f>
        <v>18</v>
      </c>
      <c r="X4" s="2" t="s">
        <v>25</v>
      </c>
      <c r="Y4">
        <v>300</v>
      </c>
      <c r="Z4" s="7" t="s">
        <v>27</v>
      </c>
      <c r="AA4" s="2">
        <v>19000</v>
      </c>
      <c r="AB4" s="2">
        <v>25000</v>
      </c>
      <c r="AC4" s="2">
        <f t="shared" si="4"/>
        <v>32500</v>
      </c>
      <c r="AD4" s="2">
        <v>27000</v>
      </c>
      <c r="AE4" s="2">
        <v>39000</v>
      </c>
      <c r="AF4" s="2">
        <f t="shared" si="5"/>
        <v>46500</v>
      </c>
    </row>
    <row r="5" spans="1:32" x14ac:dyDescent="0.25">
      <c r="A5">
        <v>10000</v>
      </c>
      <c r="B5">
        <v>20.5</v>
      </c>
      <c r="C5">
        <f t="shared" si="0"/>
        <v>487.80487804878049</v>
      </c>
      <c r="D5">
        <v>1000</v>
      </c>
      <c r="E5">
        <v>1.5</v>
      </c>
      <c r="F5">
        <f t="shared" si="6"/>
        <v>666.66666666666663</v>
      </c>
      <c r="G5">
        <f t="shared" si="7"/>
        <v>14.120667522464714</v>
      </c>
      <c r="H5">
        <f t="shared" si="1"/>
        <v>18.827556696619617</v>
      </c>
      <c r="I5">
        <f>SUM(C2*B2,2*15*4.5*4.5)</f>
        <v>7607.5</v>
      </c>
      <c r="J5">
        <f>SUM(B2*C2,2*16*4.5*4.5)</f>
        <v>7648</v>
      </c>
      <c r="K5">
        <f>SUM(B5*C2,1/2*7*4.5*4.5)</f>
        <v>9039.625</v>
      </c>
      <c r="L5">
        <f>SUM(400*B5,1/2*7*B5*B5)</f>
        <v>9670.875</v>
      </c>
      <c r="M5" s="4">
        <v>7</v>
      </c>
      <c r="R5">
        <v>15000</v>
      </c>
      <c r="S5">
        <v>450</v>
      </c>
      <c r="T5">
        <f t="shared" si="2"/>
        <v>750</v>
      </c>
      <c r="U5" s="10">
        <f t="shared" si="3"/>
        <v>9000</v>
      </c>
      <c r="V5">
        <f t="shared" si="8"/>
        <v>19</v>
      </c>
      <c r="X5" s="2" t="s">
        <v>26</v>
      </c>
      <c r="Y5">
        <v>300</v>
      </c>
      <c r="Z5" s="7" t="s">
        <v>27</v>
      </c>
      <c r="AA5" s="2">
        <v>24000</v>
      </c>
      <c r="AB5" s="2">
        <v>33000</v>
      </c>
      <c r="AC5" s="2">
        <f t="shared" si="4"/>
        <v>40500</v>
      </c>
      <c r="AD5" s="2">
        <v>34000</v>
      </c>
      <c r="AE5" s="2">
        <v>51000</v>
      </c>
      <c r="AF5" s="2">
        <f t="shared" si="5"/>
        <v>58500</v>
      </c>
    </row>
    <row r="6" spans="1:32" x14ac:dyDescent="0.25">
      <c r="A6">
        <v>11000</v>
      </c>
      <c r="B6">
        <v>22</v>
      </c>
      <c r="C6">
        <f t="shared" si="0"/>
        <v>500</v>
      </c>
      <c r="D6">
        <v>1000</v>
      </c>
      <c r="E6">
        <v>1.5</v>
      </c>
      <c r="F6">
        <f t="shared" si="6"/>
        <v>666.66666666666663</v>
      </c>
      <c r="G6">
        <f t="shared" si="7"/>
        <v>12.195121951219505</v>
      </c>
      <c r="H6">
        <f t="shared" si="1"/>
        <v>16.260162601626007</v>
      </c>
      <c r="I6">
        <f>SUM(C2*B2,2*15*6*6)</f>
        <v>8080</v>
      </c>
      <c r="J6">
        <f>SUM(B2*C2,2*16*6*6)</f>
        <v>8152</v>
      </c>
      <c r="K6">
        <f>SUM(B6*C2,1/2*7*6*6)</f>
        <v>9751</v>
      </c>
      <c r="L6">
        <f>SUM(400*B6,1/2*8*B6*B6)</f>
        <v>10736</v>
      </c>
      <c r="M6" s="5">
        <v>8</v>
      </c>
      <c r="R6">
        <v>16000</v>
      </c>
      <c r="S6">
        <v>460</v>
      </c>
      <c r="T6">
        <f t="shared" si="2"/>
        <v>760</v>
      </c>
      <c r="U6" s="10">
        <f t="shared" si="3"/>
        <v>9684.21052631579</v>
      </c>
      <c r="V6">
        <f t="shared" si="8"/>
        <v>20</v>
      </c>
    </row>
    <row r="7" spans="1:32" x14ac:dyDescent="0.25">
      <c r="A7">
        <v>12000</v>
      </c>
      <c r="B7">
        <v>23.5</v>
      </c>
      <c r="C7">
        <f t="shared" si="0"/>
        <v>510.63829787234039</v>
      </c>
      <c r="D7">
        <v>1000</v>
      </c>
      <c r="E7">
        <v>1.5</v>
      </c>
      <c r="F7">
        <f t="shared" si="6"/>
        <v>666.66666666666663</v>
      </c>
      <c r="G7">
        <f t="shared" si="7"/>
        <v>10.638297872340388</v>
      </c>
      <c r="H7">
        <f t="shared" si="1"/>
        <v>14.184397163120517</v>
      </c>
      <c r="I7">
        <f>SUM(C2*B2,2*15*7.5*7.5)</f>
        <v>8687.5</v>
      </c>
      <c r="J7">
        <f>SUM(B2*C2,2*16*7.5*7.5)</f>
        <v>8800</v>
      </c>
      <c r="K7">
        <f>SUM(B7*C2,1/2*7*7.5*7.5)</f>
        <v>10478.125</v>
      </c>
      <c r="L7">
        <f>SUM(400*B7,1/2*8*B7*B7)</f>
        <v>11609</v>
      </c>
      <c r="M7" s="5">
        <v>8</v>
      </c>
      <c r="R7">
        <v>17000</v>
      </c>
      <c r="S7">
        <v>470</v>
      </c>
      <c r="T7">
        <f t="shared" si="2"/>
        <v>770</v>
      </c>
      <c r="U7" s="10">
        <f t="shared" si="3"/>
        <v>10376.623376623376</v>
      </c>
      <c r="V7">
        <f t="shared" si="8"/>
        <v>21</v>
      </c>
      <c r="X7" s="24" t="s">
        <v>29</v>
      </c>
      <c r="Y7" s="24"/>
      <c r="Z7" s="24"/>
      <c r="AA7" s="24"/>
      <c r="AB7" s="24"/>
      <c r="AC7" s="24"/>
      <c r="AD7" s="24"/>
      <c r="AE7" s="24"/>
      <c r="AF7" s="24"/>
    </row>
    <row r="8" spans="1:32" x14ac:dyDescent="0.25">
      <c r="A8">
        <v>13000</v>
      </c>
      <c r="B8">
        <v>25</v>
      </c>
      <c r="C8">
        <f t="shared" si="0"/>
        <v>520</v>
      </c>
      <c r="D8">
        <v>1000</v>
      </c>
      <c r="E8">
        <v>1.5</v>
      </c>
      <c r="F8">
        <f t="shared" si="6"/>
        <v>666.66666666666663</v>
      </c>
      <c r="G8">
        <f t="shared" si="7"/>
        <v>9.361702127659612</v>
      </c>
      <c r="H8">
        <f t="shared" si="1"/>
        <v>12.482269503546149</v>
      </c>
      <c r="I8">
        <f>SUM(C2*B2,2*15*9*9)</f>
        <v>9430</v>
      </c>
      <c r="J8">
        <f>SUM(B2*C2,2*16*9*9)</f>
        <v>9592</v>
      </c>
      <c r="K8">
        <f>SUM(C2*B8,1/2*7*9*9)</f>
        <v>11221</v>
      </c>
      <c r="L8">
        <f>SUM(400*B8,1/2*8*B8*B8)</f>
        <v>12500</v>
      </c>
      <c r="M8" s="5">
        <v>8</v>
      </c>
      <c r="R8">
        <v>18000</v>
      </c>
      <c r="S8">
        <v>480</v>
      </c>
      <c r="T8">
        <f t="shared" si="2"/>
        <v>780</v>
      </c>
      <c r="U8" s="10">
        <f t="shared" si="3"/>
        <v>11076.923076923076</v>
      </c>
      <c r="V8">
        <f t="shared" si="8"/>
        <v>22</v>
      </c>
      <c r="X8">
        <v>500</v>
      </c>
      <c r="AA8" s="8">
        <v>12000</v>
      </c>
      <c r="AB8" s="8">
        <v>15000</v>
      </c>
      <c r="AC8">
        <f>SUM(AB8,300*25)</f>
        <v>22500</v>
      </c>
      <c r="AD8" s="8">
        <v>19000</v>
      </c>
      <c r="AE8" s="8">
        <v>26000</v>
      </c>
      <c r="AF8">
        <f>SUM(AE8,300*25)</f>
        <v>33500</v>
      </c>
    </row>
    <row r="9" spans="1:32" x14ac:dyDescent="0.25">
      <c r="A9">
        <v>14000</v>
      </c>
      <c r="B9">
        <v>26.5</v>
      </c>
      <c r="C9">
        <f t="shared" si="0"/>
        <v>528.30188679245282</v>
      </c>
      <c r="D9">
        <v>1000</v>
      </c>
      <c r="E9">
        <v>1.5</v>
      </c>
      <c r="F9">
        <f t="shared" si="6"/>
        <v>666.66666666666663</v>
      </c>
      <c r="G9">
        <f t="shared" si="7"/>
        <v>8.3018867924528195</v>
      </c>
      <c r="H9">
        <f t="shared" si="1"/>
        <v>11.069182389937092</v>
      </c>
      <c r="I9">
        <f>SUM(C2*B2,2*15*10.5*10.5)</f>
        <v>10307.5</v>
      </c>
      <c r="J9">
        <f>SUM(B2*C2,2*16*10.5*10.5)</f>
        <v>10528</v>
      </c>
      <c r="K9">
        <f>SUM(C2*B9,1/2*6*10.5*10.5)</f>
        <v>11924.5</v>
      </c>
      <c r="L9">
        <f>SUM(400*B9,1/2*9*B9*B9)</f>
        <v>13760.125</v>
      </c>
      <c r="M9" s="5">
        <v>9</v>
      </c>
      <c r="R9">
        <v>19000</v>
      </c>
      <c r="S9">
        <v>490</v>
      </c>
      <c r="T9">
        <f t="shared" si="2"/>
        <v>790</v>
      </c>
      <c r="U9" s="10">
        <f t="shared" si="3"/>
        <v>11784.810126582279</v>
      </c>
      <c r="V9">
        <f t="shared" si="8"/>
        <v>23</v>
      </c>
      <c r="X9">
        <v>1000</v>
      </c>
      <c r="AA9" s="8">
        <v>12000</v>
      </c>
      <c r="AB9" s="8">
        <v>24000</v>
      </c>
      <c r="AC9">
        <f t="shared" ref="AC9:AC18" si="9">SUM(AB9,300*25)</f>
        <v>31500</v>
      </c>
      <c r="AD9" s="8">
        <v>19000</v>
      </c>
      <c r="AE9" s="8">
        <v>33000</v>
      </c>
      <c r="AF9">
        <f t="shared" ref="AF9:AF18" si="10">SUM(AE9,300*25)</f>
        <v>40500</v>
      </c>
    </row>
    <row r="10" spans="1:32" x14ac:dyDescent="0.25">
      <c r="A10">
        <v>15000</v>
      </c>
      <c r="B10">
        <v>28</v>
      </c>
      <c r="C10">
        <f t="shared" si="0"/>
        <v>535.71428571428567</v>
      </c>
      <c r="D10">
        <v>1000</v>
      </c>
      <c r="E10">
        <v>1.5</v>
      </c>
      <c r="F10">
        <f t="shared" si="6"/>
        <v>666.66666666666663</v>
      </c>
      <c r="G10">
        <f t="shared" si="7"/>
        <v>7.4123989218328461</v>
      </c>
      <c r="H10">
        <f t="shared" si="1"/>
        <v>9.8831985624437948</v>
      </c>
      <c r="I10">
        <f>SUM(C2*B2,2*15*12*12)</f>
        <v>11320</v>
      </c>
      <c r="J10">
        <f>SUM(B2*C2,2*16*12*12)</f>
        <v>11608</v>
      </c>
      <c r="K10">
        <f>SUM(C2*B10,1/2*7*12*12)</f>
        <v>12754</v>
      </c>
      <c r="L10">
        <f>SUM(400*B10,1/2*9*B10*B10)</f>
        <v>14728</v>
      </c>
      <c r="M10" s="5">
        <v>9</v>
      </c>
      <c r="R10">
        <v>20000</v>
      </c>
      <c r="S10">
        <v>500</v>
      </c>
      <c r="T10">
        <f t="shared" si="2"/>
        <v>800</v>
      </c>
      <c r="U10" s="10">
        <f t="shared" si="3"/>
        <v>12500</v>
      </c>
      <c r="V10">
        <f t="shared" si="8"/>
        <v>24</v>
      </c>
      <c r="X10">
        <v>2000</v>
      </c>
      <c r="AA10" s="8">
        <v>12000</v>
      </c>
      <c r="AB10" s="8">
        <v>26000</v>
      </c>
      <c r="AC10">
        <f t="shared" si="9"/>
        <v>33500</v>
      </c>
      <c r="AD10" s="8">
        <v>19000</v>
      </c>
      <c r="AE10" s="8">
        <v>37000</v>
      </c>
      <c r="AF10">
        <f t="shared" si="10"/>
        <v>44500</v>
      </c>
    </row>
    <row r="11" spans="1:32" x14ac:dyDescent="0.25">
      <c r="A11">
        <v>16000</v>
      </c>
      <c r="B11">
        <v>29.2</v>
      </c>
      <c r="C11">
        <f t="shared" si="0"/>
        <v>547.94520547945206</v>
      </c>
      <c r="D11">
        <v>1000</v>
      </c>
      <c r="E11">
        <v>1.2</v>
      </c>
      <c r="F11">
        <f t="shared" si="6"/>
        <v>833.33333333333337</v>
      </c>
      <c r="G11">
        <f t="shared" si="7"/>
        <v>12.230919765166391</v>
      </c>
      <c r="H11">
        <f t="shared" si="1"/>
        <v>16.307893020221854</v>
      </c>
      <c r="I11">
        <f>SUM(C2*B2,2*15*13.2*13.2)</f>
        <v>12227.2</v>
      </c>
      <c r="J11">
        <f>SUM(B2*C2,2*16*13.2*13.2)</f>
        <v>12575.68</v>
      </c>
      <c r="K11">
        <f>SUM(C2*B11,1/2*7*13.2*13.2)</f>
        <v>13384.84</v>
      </c>
      <c r="L11">
        <f>SUM(400*B11,1/2*9*B11*B11)</f>
        <v>15516.880000000001</v>
      </c>
      <c r="M11" s="5">
        <v>9</v>
      </c>
      <c r="O11" t="s">
        <v>11</v>
      </c>
      <c r="R11">
        <v>21000</v>
      </c>
      <c r="S11">
        <v>510</v>
      </c>
      <c r="T11">
        <f t="shared" si="2"/>
        <v>810</v>
      </c>
      <c r="U11" s="10">
        <f t="shared" si="3"/>
        <v>13222.222222222223</v>
      </c>
      <c r="V11">
        <f t="shared" si="8"/>
        <v>25</v>
      </c>
      <c r="X11">
        <v>3000</v>
      </c>
      <c r="AA11" s="8">
        <v>12000</v>
      </c>
      <c r="AB11" s="8">
        <v>27000</v>
      </c>
      <c r="AC11">
        <f t="shared" si="9"/>
        <v>34500</v>
      </c>
      <c r="AD11" s="8">
        <v>19000</v>
      </c>
      <c r="AE11" s="8">
        <v>40000</v>
      </c>
      <c r="AF11">
        <f t="shared" si="10"/>
        <v>47500</v>
      </c>
    </row>
    <row r="12" spans="1:32" x14ac:dyDescent="0.25">
      <c r="A12">
        <v>17000</v>
      </c>
      <c r="B12">
        <v>30.5</v>
      </c>
      <c r="C12">
        <f t="shared" si="0"/>
        <v>557.37704918032784</v>
      </c>
      <c r="D12">
        <v>1000</v>
      </c>
      <c r="E12">
        <v>1.3</v>
      </c>
      <c r="F12">
        <f t="shared" si="6"/>
        <v>769.23076923076917</v>
      </c>
      <c r="G12">
        <f t="shared" si="7"/>
        <v>9.4318437008757883</v>
      </c>
      <c r="H12">
        <f t="shared" si="1"/>
        <v>12.575791601167717</v>
      </c>
      <c r="I12">
        <f>SUM(C2*B2,2*15*14.5*14.5)</f>
        <v>13307.5</v>
      </c>
      <c r="J12">
        <f>SUM(B2*C2,2*16*14.5*14.5)</f>
        <v>13728</v>
      </c>
      <c r="K12">
        <f>SUM(C2*B12,1/2*7*14.5*14.5)</f>
        <v>14079.625</v>
      </c>
      <c r="L12">
        <f>SUM(400*B12,1/2*9*B12*B12)</f>
        <v>16386.125</v>
      </c>
      <c r="M12" s="5">
        <v>9</v>
      </c>
      <c r="R12">
        <v>22000</v>
      </c>
      <c r="S12">
        <v>520</v>
      </c>
      <c r="T12">
        <f t="shared" si="2"/>
        <v>820</v>
      </c>
      <c r="U12" s="10">
        <f t="shared" si="3"/>
        <v>13951.219512195123</v>
      </c>
      <c r="V12">
        <f t="shared" si="8"/>
        <v>26</v>
      </c>
      <c r="X12">
        <v>5000</v>
      </c>
      <c r="AA12" s="8">
        <v>12000</v>
      </c>
      <c r="AB12" s="8">
        <v>29000</v>
      </c>
      <c r="AC12">
        <f t="shared" si="9"/>
        <v>36500</v>
      </c>
      <c r="AD12" s="8">
        <v>19000</v>
      </c>
      <c r="AE12" s="8">
        <v>43000</v>
      </c>
      <c r="AF12">
        <f t="shared" si="10"/>
        <v>50500</v>
      </c>
    </row>
    <row r="13" spans="1:32" x14ac:dyDescent="0.25">
      <c r="A13">
        <v>18000</v>
      </c>
      <c r="B13">
        <v>32</v>
      </c>
      <c r="C13">
        <f t="shared" si="0"/>
        <v>562.5</v>
      </c>
      <c r="D13">
        <v>1000</v>
      </c>
      <c r="E13">
        <v>1.5</v>
      </c>
      <c r="F13">
        <f t="shared" si="6"/>
        <v>666.66666666666663</v>
      </c>
      <c r="G13">
        <f t="shared" si="7"/>
        <v>5.1229508196721554</v>
      </c>
      <c r="H13">
        <f t="shared" si="1"/>
        <v>6.8306010928962069</v>
      </c>
      <c r="I13">
        <f>SUM(C2*B2,2*15*16*16)</f>
        <v>14680</v>
      </c>
      <c r="J13">
        <f>SUM(B2*C2,2*16*16*16)</f>
        <v>15192</v>
      </c>
      <c r="K13">
        <f>SUM(C2*B13,1/2*7*16*16)</f>
        <v>14896</v>
      </c>
      <c r="L13">
        <f>SUM(400*B13,1/2*10*B13*B13)</f>
        <v>17920</v>
      </c>
      <c r="M13" s="5">
        <v>10</v>
      </c>
      <c r="R13">
        <v>23000</v>
      </c>
      <c r="S13">
        <v>530</v>
      </c>
      <c r="T13">
        <f t="shared" si="2"/>
        <v>830</v>
      </c>
      <c r="U13" s="10">
        <f t="shared" si="3"/>
        <v>14686.746987951808</v>
      </c>
      <c r="V13">
        <f t="shared" si="8"/>
        <v>27</v>
      </c>
      <c r="X13">
        <v>10000</v>
      </c>
      <c r="AA13" s="8">
        <v>12000</v>
      </c>
      <c r="AB13" s="8">
        <v>33000</v>
      </c>
      <c r="AC13">
        <f t="shared" si="9"/>
        <v>40500</v>
      </c>
      <c r="AD13" s="8">
        <v>19000</v>
      </c>
      <c r="AE13" s="8">
        <v>48000</v>
      </c>
      <c r="AF13">
        <f t="shared" si="10"/>
        <v>55500</v>
      </c>
    </row>
    <row r="14" spans="1:32" x14ac:dyDescent="0.25">
      <c r="A14">
        <v>19000</v>
      </c>
      <c r="B14">
        <v>33.200000000000003</v>
      </c>
      <c r="C14">
        <f t="shared" si="0"/>
        <v>572.28915662650593</v>
      </c>
      <c r="D14">
        <v>1000</v>
      </c>
      <c r="E14">
        <v>1.2</v>
      </c>
      <c r="F14">
        <f t="shared" si="6"/>
        <v>833.33333333333337</v>
      </c>
      <c r="G14">
        <f t="shared" si="7"/>
        <v>9.7891566265059282</v>
      </c>
      <c r="H14">
        <f t="shared" si="1"/>
        <v>13.052208835341236</v>
      </c>
      <c r="I14">
        <f>SUM(C2*B2,2*15*17.2*17.2)</f>
        <v>15875.199999999999</v>
      </c>
      <c r="J14">
        <f>SUM(B2*C2,2*16*17.2*17.2)</f>
        <v>16466.879999999997</v>
      </c>
      <c r="K14">
        <f>SUM(C2*B14,1/2*7*17.2*17.2)</f>
        <v>15560.440000000002</v>
      </c>
      <c r="L14">
        <f>SUM(400*B14,1/2*10*B14*B14)</f>
        <v>18791.200000000004</v>
      </c>
      <c r="M14" s="5">
        <v>10</v>
      </c>
      <c r="R14">
        <v>24000</v>
      </c>
      <c r="S14">
        <v>540</v>
      </c>
      <c r="T14">
        <f t="shared" si="2"/>
        <v>840</v>
      </c>
      <c r="U14" s="10">
        <f t="shared" si="3"/>
        <v>15428.571428571429</v>
      </c>
      <c r="V14">
        <f t="shared" si="8"/>
        <v>28</v>
      </c>
      <c r="X14">
        <v>15000</v>
      </c>
      <c r="AA14" s="8">
        <v>17000</v>
      </c>
      <c r="AB14" s="8">
        <v>40000</v>
      </c>
      <c r="AC14">
        <f t="shared" si="9"/>
        <v>47500</v>
      </c>
      <c r="AD14" s="8">
        <v>26000</v>
      </c>
      <c r="AE14" s="8">
        <v>58000</v>
      </c>
      <c r="AF14">
        <f t="shared" si="10"/>
        <v>65500</v>
      </c>
    </row>
    <row r="15" spans="1:32" x14ac:dyDescent="0.25">
      <c r="A15">
        <v>20000</v>
      </c>
      <c r="B15">
        <v>34.5</v>
      </c>
      <c r="C15">
        <f t="shared" si="0"/>
        <v>579.71014492753625</v>
      </c>
      <c r="D15">
        <v>1000</v>
      </c>
      <c r="E15">
        <v>1.3</v>
      </c>
      <c r="F15">
        <f t="shared" si="6"/>
        <v>769.23076923076917</v>
      </c>
      <c r="G15">
        <f t="shared" si="7"/>
        <v>7.4209883010303201</v>
      </c>
      <c r="H15">
        <f t="shared" si="1"/>
        <v>9.8946510680404263</v>
      </c>
      <c r="I15">
        <f>SUM(C2*B2,2*15*18.5*18.5)</f>
        <v>17267.5</v>
      </c>
      <c r="J15">
        <f>SUM(B2*C2,2*16*18.5*18.5)</f>
        <v>17952</v>
      </c>
      <c r="K15">
        <f>SUM(C2*B15,1/2*7*18.5*18.5)</f>
        <v>16291.625</v>
      </c>
      <c r="L15">
        <f>SUM(400*B15,1/2*10*B15*B15)</f>
        <v>19751.25</v>
      </c>
      <c r="M15" s="5">
        <v>10</v>
      </c>
      <c r="R15">
        <v>25000</v>
      </c>
      <c r="S15">
        <v>550</v>
      </c>
      <c r="T15">
        <f t="shared" si="2"/>
        <v>850</v>
      </c>
      <c r="U15" s="10">
        <f t="shared" si="3"/>
        <v>16176.470588235292</v>
      </c>
      <c r="V15">
        <f t="shared" si="8"/>
        <v>29</v>
      </c>
      <c r="X15">
        <v>20000</v>
      </c>
      <c r="AA15" s="8">
        <v>23000</v>
      </c>
      <c r="AB15" s="8">
        <v>43000</v>
      </c>
      <c r="AC15">
        <f t="shared" si="9"/>
        <v>50500</v>
      </c>
      <c r="AD15" s="8">
        <v>34000</v>
      </c>
      <c r="AE15" s="8">
        <v>62000</v>
      </c>
      <c r="AF15">
        <f t="shared" si="10"/>
        <v>69500</v>
      </c>
    </row>
    <row r="16" spans="1:32" x14ac:dyDescent="0.25">
      <c r="A16">
        <v>21000</v>
      </c>
      <c r="B16">
        <v>35.799999999999997</v>
      </c>
      <c r="C16">
        <f t="shared" si="0"/>
        <v>586.59217877094977</v>
      </c>
      <c r="D16">
        <v>1000</v>
      </c>
      <c r="E16">
        <v>1.3</v>
      </c>
      <c r="F16">
        <f t="shared" si="6"/>
        <v>769.23076923076917</v>
      </c>
      <c r="G16">
        <f t="shared" si="7"/>
        <v>6.8820338434135238</v>
      </c>
      <c r="H16">
        <f t="shared" si="1"/>
        <v>9.176045124551365</v>
      </c>
      <c r="I16">
        <f>SUM(C2*B2,2*15*19.8*19.8)</f>
        <v>18761.2</v>
      </c>
      <c r="J16">
        <f>SUM(B2*C2,2*16*19.8*19.8)</f>
        <v>19545.28</v>
      </c>
      <c r="K16">
        <f>SUM(C2*B16,1/2*7*19.8*19.8)</f>
        <v>17034.64</v>
      </c>
      <c r="L16">
        <f>SUM(400*B16,1/2*10*B16*B16)</f>
        <v>20728.199999999997</v>
      </c>
      <c r="M16" s="5">
        <v>10</v>
      </c>
      <c r="R16">
        <v>26000</v>
      </c>
      <c r="S16">
        <v>560</v>
      </c>
      <c r="T16">
        <f t="shared" si="2"/>
        <v>860</v>
      </c>
      <c r="U16" s="10">
        <f t="shared" si="3"/>
        <v>16930.232558139534</v>
      </c>
      <c r="V16">
        <f t="shared" si="8"/>
        <v>30</v>
      </c>
      <c r="X16">
        <v>23000</v>
      </c>
      <c r="AA16" s="8">
        <v>26000</v>
      </c>
      <c r="AB16" s="8">
        <v>43000</v>
      </c>
      <c r="AC16">
        <f t="shared" si="9"/>
        <v>50500</v>
      </c>
      <c r="AD16" s="8">
        <v>37000</v>
      </c>
      <c r="AE16" s="8">
        <v>62000</v>
      </c>
      <c r="AF16">
        <f t="shared" si="10"/>
        <v>69500</v>
      </c>
    </row>
    <row r="17" spans="1:41" x14ac:dyDescent="0.25">
      <c r="A17">
        <v>22000</v>
      </c>
      <c r="B17">
        <v>37</v>
      </c>
      <c r="C17">
        <f t="shared" si="0"/>
        <v>594.59459459459458</v>
      </c>
      <c r="D17">
        <v>1000</v>
      </c>
      <c r="E17">
        <v>1.2</v>
      </c>
      <c r="F17">
        <f t="shared" si="6"/>
        <v>833.33333333333337</v>
      </c>
      <c r="G17">
        <f t="shared" si="7"/>
        <v>8.0024158236448102</v>
      </c>
      <c r="H17">
        <f t="shared" si="1"/>
        <v>10.669887764859746</v>
      </c>
      <c r="I17">
        <f>SUM(C2*B2,2*15*21*21)</f>
        <v>20230</v>
      </c>
      <c r="J17">
        <f>SUM(B2*C2,2*16*21*21)</f>
        <v>21112</v>
      </c>
      <c r="K17">
        <f>SUM(C2*B17,1/2*7*21*21)</f>
        <v>17731</v>
      </c>
      <c r="L17">
        <f t="shared" ref="L17:L21" si="11">SUM(400*B17,1/2*10*B17*B17)</f>
        <v>21645</v>
      </c>
      <c r="M17" s="5">
        <v>10</v>
      </c>
      <c r="R17">
        <v>27000</v>
      </c>
      <c r="S17">
        <v>570</v>
      </c>
      <c r="T17">
        <f t="shared" si="2"/>
        <v>870</v>
      </c>
      <c r="U17" s="10">
        <f t="shared" si="3"/>
        <v>17689.655172413793</v>
      </c>
      <c r="V17">
        <f t="shared" si="8"/>
        <v>31</v>
      </c>
      <c r="X17">
        <v>25000</v>
      </c>
      <c r="AA17" s="8">
        <v>28000</v>
      </c>
      <c r="AB17" s="8">
        <v>43000</v>
      </c>
      <c r="AC17">
        <f t="shared" si="9"/>
        <v>50500</v>
      </c>
      <c r="AD17" s="8">
        <v>41000</v>
      </c>
      <c r="AE17" s="8">
        <v>62000</v>
      </c>
      <c r="AF17">
        <f t="shared" si="10"/>
        <v>69500</v>
      </c>
    </row>
    <row r="18" spans="1:41" x14ac:dyDescent="0.25">
      <c r="A18">
        <v>23000</v>
      </c>
      <c r="B18">
        <v>38.5</v>
      </c>
      <c r="C18">
        <f t="shared" si="0"/>
        <v>597.40259740259739</v>
      </c>
      <c r="D18">
        <v>1000</v>
      </c>
      <c r="E18">
        <v>1.5</v>
      </c>
      <c r="F18">
        <f t="shared" si="6"/>
        <v>666.66666666666663</v>
      </c>
      <c r="G18">
        <f t="shared" si="7"/>
        <v>2.8080028080028114</v>
      </c>
      <c r="H18">
        <f t="shared" si="1"/>
        <v>3.7440037440037486</v>
      </c>
      <c r="I18">
        <f>SUM(C2*B2,2*15*22.5*22.5)</f>
        <v>22187.5</v>
      </c>
      <c r="J18">
        <f>SUM(B2*C2,2*16*22.5*22.5)</f>
        <v>23200</v>
      </c>
      <c r="K18">
        <f>SUM(C2*B18,1/2*7*22.5*22.5)</f>
        <v>18615.625</v>
      </c>
      <c r="L18">
        <f t="shared" si="11"/>
        <v>22811.25</v>
      </c>
      <c r="M18" s="5">
        <v>10</v>
      </c>
      <c r="R18">
        <v>28000</v>
      </c>
      <c r="S18">
        <v>580</v>
      </c>
      <c r="T18">
        <f t="shared" si="2"/>
        <v>880</v>
      </c>
      <c r="U18" s="10">
        <f t="shared" si="3"/>
        <v>18454.545454545452</v>
      </c>
      <c r="V18">
        <f t="shared" si="8"/>
        <v>32</v>
      </c>
      <c r="X18">
        <v>30000</v>
      </c>
      <c r="AA18" s="8">
        <v>35000</v>
      </c>
      <c r="AB18" s="8">
        <v>43000</v>
      </c>
      <c r="AC18">
        <f t="shared" si="9"/>
        <v>50500</v>
      </c>
      <c r="AD18" s="8">
        <v>54000</v>
      </c>
      <c r="AE18" s="8">
        <v>70000</v>
      </c>
      <c r="AF18">
        <f t="shared" si="10"/>
        <v>77500</v>
      </c>
    </row>
    <row r="19" spans="1:41" x14ac:dyDescent="0.25">
      <c r="A19">
        <v>24000</v>
      </c>
      <c r="B19">
        <v>40</v>
      </c>
      <c r="C19">
        <f t="shared" si="0"/>
        <v>600</v>
      </c>
      <c r="D19">
        <v>1000</v>
      </c>
      <c r="E19">
        <v>1.5</v>
      </c>
      <c r="F19">
        <f t="shared" si="6"/>
        <v>666.66666666666663</v>
      </c>
      <c r="G19">
        <f t="shared" si="7"/>
        <v>2.5974025974026063</v>
      </c>
      <c r="H19">
        <f t="shared" si="1"/>
        <v>3.4632034632034747</v>
      </c>
      <c r="I19">
        <f>SUM(C2*B2,2*15*24*24)</f>
        <v>24280</v>
      </c>
      <c r="J19">
        <f>SUM(B2*C2,2*16*24*24)</f>
        <v>25432</v>
      </c>
      <c r="K19">
        <f>SUM(C2*B19,1/2*7*24*24)</f>
        <v>19516</v>
      </c>
      <c r="L19">
        <f t="shared" si="11"/>
        <v>24000</v>
      </c>
      <c r="M19" s="5">
        <v>10</v>
      </c>
      <c r="R19">
        <v>29000</v>
      </c>
      <c r="S19">
        <v>582</v>
      </c>
      <c r="T19">
        <f t="shared" si="2"/>
        <v>882</v>
      </c>
      <c r="U19" s="10">
        <f t="shared" si="3"/>
        <v>19136.054421768709</v>
      </c>
      <c r="V19">
        <f t="shared" si="8"/>
        <v>33</v>
      </c>
    </row>
    <row r="20" spans="1:41" x14ac:dyDescent="0.25">
      <c r="A20">
        <v>25000</v>
      </c>
      <c r="B20">
        <f>SUM(B19,1)</f>
        <v>41</v>
      </c>
      <c r="H20" t="s">
        <v>8</v>
      </c>
      <c r="L20">
        <f t="shared" si="11"/>
        <v>24805</v>
      </c>
      <c r="M20" s="5">
        <v>10</v>
      </c>
      <c r="R20">
        <v>30000</v>
      </c>
      <c r="S20">
        <v>584</v>
      </c>
      <c r="T20">
        <f t="shared" si="2"/>
        <v>884</v>
      </c>
      <c r="U20" s="10">
        <f t="shared" si="3"/>
        <v>19819.004524886881</v>
      </c>
      <c r="V20">
        <f t="shared" si="8"/>
        <v>34</v>
      </c>
    </row>
    <row r="21" spans="1:41" x14ac:dyDescent="0.25">
      <c r="A21">
        <v>26000</v>
      </c>
      <c r="B21">
        <f t="shared" ref="B21:B37" si="12">SUM(B20,1)</f>
        <v>42</v>
      </c>
      <c r="L21">
        <f t="shared" si="11"/>
        <v>25620</v>
      </c>
      <c r="M21" s="5">
        <v>10</v>
      </c>
      <c r="R21">
        <v>31000</v>
      </c>
      <c r="S21">
        <v>586</v>
      </c>
      <c r="T21">
        <f t="shared" si="2"/>
        <v>886</v>
      </c>
      <c r="U21" s="10">
        <f t="shared" si="3"/>
        <v>20503.386004514672</v>
      </c>
      <c r="V21">
        <f t="shared" si="8"/>
        <v>35</v>
      </c>
    </row>
    <row r="22" spans="1:41" x14ac:dyDescent="0.25">
      <c r="A22">
        <v>27000</v>
      </c>
      <c r="B22">
        <f t="shared" si="12"/>
        <v>43</v>
      </c>
      <c r="L22">
        <f t="shared" ref="L22:L37" si="13">SUM(400*B22,1/2*11*B22*B22)</f>
        <v>27369.5</v>
      </c>
      <c r="M22" s="5">
        <v>11</v>
      </c>
      <c r="R22">
        <v>32000</v>
      </c>
      <c r="S22">
        <v>588</v>
      </c>
      <c r="T22">
        <f t="shared" si="2"/>
        <v>888</v>
      </c>
      <c r="U22" s="10">
        <f t="shared" si="3"/>
        <v>21189.18918918919</v>
      </c>
      <c r="V22">
        <f t="shared" si="8"/>
        <v>36</v>
      </c>
      <c r="X22" s="24" t="s">
        <v>33</v>
      </c>
      <c r="Y22" s="24"/>
      <c r="Z22" s="24"/>
      <c r="AA22" s="24" t="s">
        <v>34</v>
      </c>
      <c r="AB22" s="24"/>
      <c r="AC22" s="24"/>
      <c r="AD22" s="24" t="s">
        <v>35</v>
      </c>
      <c r="AE22" s="24"/>
      <c r="AF22" s="24"/>
      <c r="AG22" s="24" t="s">
        <v>36</v>
      </c>
      <c r="AH22" s="24"/>
      <c r="AI22" s="24"/>
      <c r="AJ22" s="24" t="s">
        <v>37</v>
      </c>
      <c r="AK22" s="24"/>
      <c r="AL22" s="24"/>
      <c r="AM22" s="24" t="s">
        <v>38</v>
      </c>
      <c r="AN22" s="24"/>
      <c r="AO22" s="24"/>
    </row>
    <row r="23" spans="1:41" x14ac:dyDescent="0.25">
      <c r="A23">
        <v>28000</v>
      </c>
      <c r="B23">
        <f t="shared" si="12"/>
        <v>44</v>
      </c>
      <c r="L23">
        <f t="shared" si="13"/>
        <v>28248</v>
      </c>
      <c r="M23" s="5">
        <v>11</v>
      </c>
      <c r="R23">
        <v>33000</v>
      </c>
      <c r="S23">
        <v>590</v>
      </c>
      <c r="T23">
        <f t="shared" si="2"/>
        <v>890</v>
      </c>
      <c r="U23" s="10">
        <f t="shared" si="3"/>
        <v>21876.404494382023</v>
      </c>
      <c r="V23">
        <f t="shared" si="8"/>
        <v>37</v>
      </c>
      <c r="X23" t="s">
        <v>30</v>
      </c>
      <c r="Y23" t="s">
        <v>31</v>
      </c>
      <c r="Z23" t="s">
        <v>32</v>
      </c>
      <c r="AA23" t="s">
        <v>30</v>
      </c>
      <c r="AB23" t="s">
        <v>31</v>
      </c>
      <c r="AC23" t="s">
        <v>32</v>
      </c>
      <c r="AD23" t="s">
        <v>30</v>
      </c>
      <c r="AE23" t="s">
        <v>31</v>
      </c>
      <c r="AF23" t="s">
        <v>32</v>
      </c>
      <c r="AG23" t="s">
        <v>30</v>
      </c>
      <c r="AH23" t="s">
        <v>31</v>
      </c>
      <c r="AI23" t="s">
        <v>32</v>
      </c>
      <c r="AJ23" t="s">
        <v>30</v>
      </c>
      <c r="AK23" t="s">
        <v>31</v>
      </c>
      <c r="AL23" t="s">
        <v>32</v>
      </c>
      <c r="AM23" t="s">
        <v>30</v>
      </c>
      <c r="AN23" t="s">
        <v>31</v>
      </c>
      <c r="AO23" t="s">
        <v>32</v>
      </c>
    </row>
    <row r="24" spans="1:41" x14ac:dyDescent="0.25">
      <c r="A24">
        <v>29000</v>
      </c>
      <c r="B24">
        <f t="shared" si="12"/>
        <v>45</v>
      </c>
      <c r="L24">
        <f t="shared" si="13"/>
        <v>29137.5</v>
      </c>
      <c r="M24" s="5">
        <v>11</v>
      </c>
      <c r="R24">
        <v>34000</v>
      </c>
      <c r="S24">
        <v>592</v>
      </c>
      <c r="T24">
        <f t="shared" si="2"/>
        <v>892</v>
      </c>
      <c r="U24" s="10">
        <f t="shared" si="3"/>
        <v>22565.022421524664</v>
      </c>
      <c r="V24">
        <f t="shared" si="8"/>
        <v>38</v>
      </c>
      <c r="X24">
        <v>12000</v>
      </c>
      <c r="Y24">
        <v>410</v>
      </c>
      <c r="Z24">
        <f>PRODUCT(X24*410,1/(410+300))</f>
        <v>6929.5774647887329</v>
      </c>
      <c r="AA24">
        <v>12000</v>
      </c>
      <c r="AB24">
        <f>SUM(Y24,-10)</f>
        <v>400</v>
      </c>
      <c r="AC24">
        <f>PRODUCT(AA24*400,1/(400+300))</f>
        <v>6857.1428571428569</v>
      </c>
      <c r="AD24">
        <v>12000</v>
      </c>
      <c r="AE24">
        <v>390</v>
      </c>
      <c r="AF24">
        <f>PRODUCT(AD24*390,1/(390+300))</f>
        <v>6782.608695652174</v>
      </c>
      <c r="AG24">
        <v>12000</v>
      </c>
      <c r="AH24">
        <v>360</v>
      </c>
      <c r="AI24">
        <f>PRODUCT(AG24*360,1/(360+300))</f>
        <v>6545.454545454545</v>
      </c>
      <c r="AJ24">
        <v>12000</v>
      </c>
      <c r="AK24">
        <v>330</v>
      </c>
      <c r="AM24">
        <v>12000</v>
      </c>
      <c r="AN24">
        <v>300</v>
      </c>
    </row>
    <row r="25" spans="1:41" x14ac:dyDescent="0.25">
      <c r="A25">
        <v>30000</v>
      </c>
      <c r="B25">
        <f t="shared" si="12"/>
        <v>46</v>
      </c>
      <c r="L25">
        <f t="shared" si="13"/>
        <v>30038</v>
      </c>
      <c r="M25" s="5">
        <v>11</v>
      </c>
      <c r="P25">
        <f>SUM(C19,-C2)*1/24</f>
        <v>6.770833333333333</v>
      </c>
      <c r="Q25">
        <f>PRODUCT(30,300)</f>
        <v>9000</v>
      </c>
      <c r="R25">
        <v>35000</v>
      </c>
      <c r="S25">
        <v>594</v>
      </c>
      <c r="T25">
        <f t="shared" si="2"/>
        <v>894</v>
      </c>
      <c r="U25" s="10">
        <f t="shared" si="3"/>
        <v>23255.03355704698</v>
      </c>
      <c r="V25">
        <f t="shared" si="8"/>
        <v>39</v>
      </c>
      <c r="X25">
        <v>13000</v>
      </c>
      <c r="Y25">
        <v>420</v>
      </c>
      <c r="Z25">
        <f>PRODUCT(X25*410,1/(410+300))</f>
        <v>7507.0422535211273</v>
      </c>
      <c r="AA25">
        <v>13000</v>
      </c>
      <c r="AB25">
        <f t="shared" ref="AB25:AB41" si="14">SUM(Y25,-10)</f>
        <v>410</v>
      </c>
      <c r="AC25">
        <f>PRODUCT(AA25*400,1/(400+300))</f>
        <v>7428.5714285714284</v>
      </c>
      <c r="AD25">
        <v>13000</v>
      </c>
      <c r="AE25">
        <f>SUM(AE24,8)</f>
        <v>398</v>
      </c>
      <c r="AF25">
        <f>PRODUCT(AD25*398,1/(398+300))</f>
        <v>7412.6074498567332</v>
      </c>
      <c r="AG25">
        <v>13000</v>
      </c>
      <c r="AH25">
        <f>SUM(AH24,5)</f>
        <v>365</v>
      </c>
      <c r="AI25">
        <f>PRODUCT(AG25*365,1/(365+300))</f>
        <v>7135.3383458646622</v>
      </c>
      <c r="AJ25">
        <v>13000</v>
      </c>
      <c r="AK25">
        <f>SUM(AK24,4)</f>
        <v>334</v>
      </c>
      <c r="AL25">
        <f>PRODUCT(AJ25*334,1/(334+300))</f>
        <v>6848.580441640378</v>
      </c>
      <c r="AM25">
        <v>13000</v>
      </c>
      <c r="AN25">
        <f>SUM(AN24,5)</f>
        <v>305</v>
      </c>
    </row>
    <row r="26" spans="1:41" x14ac:dyDescent="0.25">
      <c r="A26">
        <v>31000</v>
      </c>
      <c r="B26">
        <f t="shared" si="12"/>
        <v>47</v>
      </c>
      <c r="L26">
        <f t="shared" si="13"/>
        <v>30949.5</v>
      </c>
      <c r="M26" s="5">
        <v>11</v>
      </c>
      <c r="P26">
        <f>SUM(C19,-C3)*1/22.5</f>
        <v>6.3492063492063506</v>
      </c>
      <c r="R26">
        <v>36000</v>
      </c>
      <c r="S26">
        <v>596</v>
      </c>
      <c r="T26">
        <f t="shared" si="2"/>
        <v>896</v>
      </c>
      <c r="U26" s="10">
        <f t="shared" si="3"/>
        <v>23946.428571428569</v>
      </c>
      <c r="V26">
        <f t="shared" si="8"/>
        <v>40</v>
      </c>
      <c r="X26">
        <v>14000</v>
      </c>
      <c r="Y26">
        <v>430</v>
      </c>
      <c r="AA26">
        <v>14000</v>
      </c>
      <c r="AB26">
        <f t="shared" si="14"/>
        <v>420</v>
      </c>
      <c r="AD26">
        <v>14000</v>
      </c>
      <c r="AE26">
        <f t="shared" ref="AE26:AE29" si="15">SUM(AE25,8)</f>
        <v>406</v>
      </c>
      <c r="AG26">
        <v>14000</v>
      </c>
      <c r="AH26">
        <f t="shared" ref="AH26:AH32" si="16">SUM(AH25,5)</f>
        <v>370</v>
      </c>
      <c r="AI26">
        <f>PRODUCT(AG26*370,1/(370+300))</f>
        <v>7731.3432835820895</v>
      </c>
      <c r="AJ26">
        <v>14000</v>
      </c>
      <c r="AK26">
        <f t="shared" ref="AK26:AK35" si="17">SUM(AK25,4)</f>
        <v>338</v>
      </c>
      <c r="AL26">
        <f>PRODUCT(AJ26*338,1/(338+300))</f>
        <v>7416.9278996865205</v>
      </c>
      <c r="AM26">
        <v>14000</v>
      </c>
      <c r="AN26">
        <f t="shared" ref="AN26:AN82" si="18">SUM(AN25,5)</f>
        <v>310</v>
      </c>
    </row>
    <row r="27" spans="1:41" x14ac:dyDescent="0.25">
      <c r="A27">
        <v>32000</v>
      </c>
      <c r="B27">
        <f t="shared" si="12"/>
        <v>48</v>
      </c>
      <c r="L27">
        <f t="shared" si="13"/>
        <v>31872</v>
      </c>
      <c r="M27" s="5">
        <v>11</v>
      </c>
      <c r="O27">
        <f>PRODUCT(570,58)</f>
        <v>33060</v>
      </c>
      <c r="R27">
        <v>37000</v>
      </c>
      <c r="S27">
        <v>598</v>
      </c>
      <c r="T27">
        <f t="shared" si="2"/>
        <v>898</v>
      </c>
      <c r="U27" s="10">
        <f t="shared" si="3"/>
        <v>24639.198218262805</v>
      </c>
      <c r="V27">
        <f t="shared" si="8"/>
        <v>41</v>
      </c>
      <c r="X27">
        <v>15000</v>
      </c>
      <c r="Y27">
        <v>440</v>
      </c>
      <c r="AA27">
        <v>15000</v>
      </c>
      <c r="AB27">
        <f t="shared" si="14"/>
        <v>430</v>
      </c>
      <c r="AD27">
        <v>15000</v>
      </c>
      <c r="AE27">
        <f t="shared" si="15"/>
        <v>414</v>
      </c>
      <c r="AG27">
        <v>15000</v>
      </c>
      <c r="AH27">
        <f t="shared" si="16"/>
        <v>375</v>
      </c>
      <c r="AJ27">
        <v>15000</v>
      </c>
      <c r="AK27">
        <f t="shared" si="17"/>
        <v>342</v>
      </c>
      <c r="AM27">
        <v>15000</v>
      </c>
      <c r="AN27">
        <f t="shared" si="18"/>
        <v>315</v>
      </c>
    </row>
    <row r="28" spans="1:41" x14ac:dyDescent="0.25">
      <c r="A28">
        <v>33000</v>
      </c>
      <c r="B28">
        <f t="shared" si="12"/>
        <v>49</v>
      </c>
      <c r="L28">
        <f t="shared" si="13"/>
        <v>32805.5</v>
      </c>
      <c r="M28" s="5">
        <v>11</v>
      </c>
      <c r="O28">
        <f>PRODUCT(700,58)</f>
        <v>40600</v>
      </c>
      <c r="R28">
        <v>38000</v>
      </c>
      <c r="S28">
        <v>600</v>
      </c>
      <c r="T28">
        <f t="shared" si="2"/>
        <v>900</v>
      </c>
      <c r="U28" s="9">
        <f t="shared" si="3"/>
        <v>25333.333333333332</v>
      </c>
      <c r="V28">
        <f t="shared" si="8"/>
        <v>42</v>
      </c>
      <c r="X28">
        <v>16000</v>
      </c>
      <c r="Y28">
        <v>450</v>
      </c>
      <c r="AA28">
        <v>16000</v>
      </c>
      <c r="AB28">
        <f t="shared" si="14"/>
        <v>440</v>
      </c>
      <c r="AD28">
        <v>16000</v>
      </c>
      <c r="AE28">
        <f t="shared" si="15"/>
        <v>422</v>
      </c>
      <c r="AG28">
        <v>16000</v>
      </c>
      <c r="AH28">
        <f t="shared" si="16"/>
        <v>380</v>
      </c>
      <c r="AJ28">
        <v>16000</v>
      </c>
      <c r="AK28">
        <f t="shared" si="17"/>
        <v>346</v>
      </c>
      <c r="AM28">
        <v>16000</v>
      </c>
      <c r="AN28">
        <f t="shared" si="18"/>
        <v>320</v>
      </c>
    </row>
    <row r="29" spans="1:41" x14ac:dyDescent="0.25">
      <c r="A29">
        <v>34000</v>
      </c>
      <c r="B29">
        <f t="shared" si="12"/>
        <v>50</v>
      </c>
      <c r="L29">
        <f t="shared" si="13"/>
        <v>33750</v>
      </c>
      <c r="M29" s="5">
        <v>11</v>
      </c>
      <c r="O29">
        <f>PRODUCT(750,58)</f>
        <v>43500</v>
      </c>
      <c r="X29">
        <v>17000</v>
      </c>
      <c r="Y29">
        <v>460</v>
      </c>
      <c r="AA29">
        <v>17000</v>
      </c>
      <c r="AB29">
        <f t="shared" si="14"/>
        <v>450</v>
      </c>
      <c r="AD29">
        <v>17000</v>
      </c>
      <c r="AE29">
        <f t="shared" si="15"/>
        <v>430</v>
      </c>
      <c r="AG29">
        <v>17000</v>
      </c>
      <c r="AH29">
        <f t="shared" si="16"/>
        <v>385</v>
      </c>
      <c r="AJ29">
        <v>17000</v>
      </c>
      <c r="AK29">
        <f t="shared" si="17"/>
        <v>350</v>
      </c>
      <c r="AL29">
        <f>PRODUCT(AJ29*350,1/(350+300))</f>
        <v>9153.8461538461543</v>
      </c>
      <c r="AM29">
        <v>17000</v>
      </c>
      <c r="AN29">
        <f t="shared" si="18"/>
        <v>325</v>
      </c>
    </row>
    <row r="30" spans="1:41" x14ac:dyDescent="0.25">
      <c r="A30">
        <v>35000</v>
      </c>
      <c r="B30">
        <f t="shared" si="12"/>
        <v>51</v>
      </c>
      <c r="L30">
        <f t="shared" si="13"/>
        <v>34705.5</v>
      </c>
      <c r="M30" s="5">
        <v>11</v>
      </c>
      <c r="O30">
        <f>PRODUCT(24000,1/40)</f>
        <v>600</v>
      </c>
      <c r="X30">
        <v>18000</v>
      </c>
      <c r="Y30">
        <v>470</v>
      </c>
      <c r="AA30">
        <v>18000</v>
      </c>
      <c r="AB30">
        <f t="shared" si="14"/>
        <v>460</v>
      </c>
      <c r="AD30">
        <v>18000</v>
      </c>
      <c r="AE30">
        <f>SUM(AE29,10)</f>
        <v>440</v>
      </c>
      <c r="AG30">
        <v>18000</v>
      </c>
      <c r="AH30">
        <f t="shared" si="16"/>
        <v>390</v>
      </c>
      <c r="AJ30">
        <v>18000</v>
      </c>
      <c r="AK30">
        <f t="shared" si="17"/>
        <v>354</v>
      </c>
      <c r="AM30">
        <v>18000</v>
      </c>
      <c r="AN30">
        <f t="shared" si="18"/>
        <v>330</v>
      </c>
    </row>
    <row r="31" spans="1:41" x14ac:dyDescent="0.25">
      <c r="A31">
        <v>36000</v>
      </c>
      <c r="B31">
        <f t="shared" si="12"/>
        <v>52</v>
      </c>
      <c r="L31">
        <f t="shared" si="13"/>
        <v>35672</v>
      </c>
      <c r="M31" s="5">
        <v>11</v>
      </c>
      <c r="O31">
        <f>SUM(400,10*58)</f>
        <v>980</v>
      </c>
      <c r="X31">
        <v>19000</v>
      </c>
      <c r="Y31">
        <v>480</v>
      </c>
      <c r="AA31">
        <v>19000</v>
      </c>
      <c r="AB31">
        <f t="shared" si="14"/>
        <v>470</v>
      </c>
      <c r="AD31">
        <v>19000</v>
      </c>
      <c r="AE31">
        <f t="shared" ref="AE31:AE44" si="19">SUM(AE30,10)</f>
        <v>450</v>
      </c>
      <c r="AG31">
        <v>19000</v>
      </c>
      <c r="AH31">
        <f t="shared" si="16"/>
        <v>395</v>
      </c>
      <c r="AJ31">
        <v>19000</v>
      </c>
      <c r="AK31">
        <f>SUM(AK30,4)</f>
        <v>358</v>
      </c>
      <c r="AM31">
        <v>19000</v>
      </c>
      <c r="AN31">
        <f t="shared" si="18"/>
        <v>335</v>
      </c>
    </row>
    <row r="32" spans="1:41" x14ac:dyDescent="0.25">
      <c r="A32">
        <v>37000</v>
      </c>
      <c r="B32">
        <f t="shared" si="12"/>
        <v>53</v>
      </c>
      <c r="L32">
        <f t="shared" si="13"/>
        <v>36649.5</v>
      </c>
      <c r="M32" s="5">
        <v>11</v>
      </c>
      <c r="X32">
        <v>20000</v>
      </c>
      <c r="Y32">
        <v>490</v>
      </c>
      <c r="AA32">
        <v>20000</v>
      </c>
      <c r="AB32">
        <f t="shared" si="14"/>
        <v>480</v>
      </c>
      <c r="AD32">
        <v>20000</v>
      </c>
      <c r="AE32">
        <f t="shared" si="19"/>
        <v>460</v>
      </c>
      <c r="AG32">
        <v>20000</v>
      </c>
      <c r="AH32">
        <f t="shared" si="16"/>
        <v>400</v>
      </c>
      <c r="AJ32">
        <v>20000</v>
      </c>
      <c r="AK32">
        <f t="shared" si="17"/>
        <v>362</v>
      </c>
      <c r="AM32">
        <v>20000</v>
      </c>
      <c r="AN32">
        <f t="shared" si="18"/>
        <v>340</v>
      </c>
    </row>
    <row r="33" spans="1:41" x14ac:dyDescent="0.25">
      <c r="A33">
        <v>38000</v>
      </c>
      <c r="B33">
        <f t="shared" si="12"/>
        <v>54</v>
      </c>
      <c r="L33">
        <f t="shared" si="13"/>
        <v>37638</v>
      </c>
      <c r="M33" s="5">
        <v>11</v>
      </c>
      <c r="R33">
        <v>29000</v>
      </c>
      <c r="S33">
        <v>590</v>
      </c>
      <c r="T33">
        <f t="shared" si="2"/>
        <v>890</v>
      </c>
      <c r="U33">
        <f t="shared" si="3"/>
        <v>19224.719101123595</v>
      </c>
      <c r="V33">
        <v>33</v>
      </c>
      <c r="X33">
        <v>21000</v>
      </c>
      <c r="Y33">
        <v>500</v>
      </c>
      <c r="AA33">
        <v>21000</v>
      </c>
      <c r="AB33">
        <f t="shared" si="14"/>
        <v>490</v>
      </c>
      <c r="AD33">
        <v>21000</v>
      </c>
      <c r="AE33">
        <f t="shared" si="19"/>
        <v>470</v>
      </c>
      <c r="AG33">
        <v>21000</v>
      </c>
      <c r="AH33">
        <f>SUM(AH32,8)</f>
        <v>408</v>
      </c>
      <c r="AJ33">
        <v>21000</v>
      </c>
      <c r="AK33">
        <f t="shared" si="17"/>
        <v>366</v>
      </c>
      <c r="AM33">
        <v>21000</v>
      </c>
      <c r="AN33">
        <f t="shared" si="18"/>
        <v>345</v>
      </c>
    </row>
    <row r="34" spans="1:41" x14ac:dyDescent="0.25">
      <c r="A34">
        <v>39000</v>
      </c>
      <c r="B34">
        <f t="shared" si="12"/>
        <v>55</v>
      </c>
      <c r="L34">
        <f t="shared" si="13"/>
        <v>38637.5</v>
      </c>
      <c r="M34" s="5">
        <v>11</v>
      </c>
      <c r="R34">
        <v>30000</v>
      </c>
      <c r="S34">
        <v>600</v>
      </c>
      <c r="T34">
        <f t="shared" si="2"/>
        <v>900</v>
      </c>
      <c r="U34">
        <f t="shared" si="3"/>
        <v>20000</v>
      </c>
      <c r="V34">
        <f t="shared" si="8"/>
        <v>34</v>
      </c>
      <c r="X34">
        <v>22000</v>
      </c>
      <c r="Y34">
        <v>510</v>
      </c>
      <c r="AA34">
        <v>22000</v>
      </c>
      <c r="AB34">
        <f t="shared" si="14"/>
        <v>500</v>
      </c>
      <c r="AD34">
        <v>22000</v>
      </c>
      <c r="AE34">
        <f t="shared" si="19"/>
        <v>480</v>
      </c>
      <c r="AG34">
        <v>22000</v>
      </c>
      <c r="AH34">
        <f t="shared" ref="AH34:AH37" si="20">SUM(AH33,8)</f>
        <v>416</v>
      </c>
      <c r="AJ34">
        <v>22000</v>
      </c>
      <c r="AK34">
        <f t="shared" si="17"/>
        <v>370</v>
      </c>
      <c r="AM34">
        <v>22000</v>
      </c>
      <c r="AN34">
        <f t="shared" si="18"/>
        <v>350</v>
      </c>
      <c r="AO34">
        <f>PRODUCT(AM34*350,1/(350+300))</f>
        <v>11846.153846153846</v>
      </c>
    </row>
    <row r="35" spans="1:41" x14ac:dyDescent="0.25">
      <c r="A35">
        <v>40000</v>
      </c>
      <c r="B35">
        <f t="shared" si="12"/>
        <v>56</v>
      </c>
      <c r="L35">
        <f t="shared" si="13"/>
        <v>39648</v>
      </c>
      <c r="M35" s="5">
        <v>11</v>
      </c>
      <c r="R35">
        <v>31000</v>
      </c>
      <c r="S35">
        <v>610</v>
      </c>
      <c r="T35">
        <f t="shared" si="2"/>
        <v>910</v>
      </c>
      <c r="U35">
        <f t="shared" si="3"/>
        <v>20780.219780219781</v>
      </c>
      <c r="V35">
        <f t="shared" si="8"/>
        <v>35</v>
      </c>
      <c r="X35">
        <v>23000</v>
      </c>
      <c r="Y35">
        <v>520</v>
      </c>
      <c r="AA35">
        <v>23000</v>
      </c>
      <c r="AB35">
        <f t="shared" si="14"/>
        <v>510</v>
      </c>
      <c r="AD35">
        <v>23000</v>
      </c>
      <c r="AE35">
        <f t="shared" si="19"/>
        <v>490</v>
      </c>
      <c r="AG35">
        <v>23000</v>
      </c>
      <c r="AH35">
        <f t="shared" si="20"/>
        <v>424</v>
      </c>
      <c r="AJ35">
        <v>23000</v>
      </c>
      <c r="AK35">
        <f t="shared" si="17"/>
        <v>374</v>
      </c>
      <c r="AM35">
        <v>23000</v>
      </c>
      <c r="AN35">
        <f t="shared" si="18"/>
        <v>355</v>
      </c>
    </row>
    <row r="36" spans="1:41" x14ac:dyDescent="0.25">
      <c r="A36">
        <v>41000</v>
      </c>
      <c r="B36">
        <f t="shared" si="12"/>
        <v>57</v>
      </c>
      <c r="L36">
        <f t="shared" si="13"/>
        <v>40669.5</v>
      </c>
      <c r="M36" s="5">
        <v>11</v>
      </c>
      <c r="R36">
        <v>32000</v>
      </c>
      <c r="S36">
        <v>620</v>
      </c>
      <c r="T36">
        <f t="shared" si="2"/>
        <v>920</v>
      </c>
      <c r="U36">
        <f t="shared" si="3"/>
        <v>21565.217391304348</v>
      </c>
      <c r="V36">
        <f t="shared" si="8"/>
        <v>36</v>
      </c>
      <c r="X36">
        <v>24000</v>
      </c>
      <c r="Y36">
        <v>530</v>
      </c>
      <c r="AA36">
        <v>24000</v>
      </c>
      <c r="AB36">
        <f t="shared" si="14"/>
        <v>520</v>
      </c>
      <c r="AD36">
        <v>24000</v>
      </c>
      <c r="AE36">
        <f t="shared" si="19"/>
        <v>500</v>
      </c>
      <c r="AG36">
        <v>24000</v>
      </c>
      <c r="AH36">
        <f t="shared" si="20"/>
        <v>432</v>
      </c>
      <c r="AJ36">
        <v>24000</v>
      </c>
      <c r="AK36">
        <f>SUM(AK35,4)</f>
        <v>378</v>
      </c>
      <c r="AL36">
        <f>PRODUCT(AJ36*378,1/(378+300))</f>
        <v>13380.530973451327</v>
      </c>
      <c r="AM36">
        <v>24000</v>
      </c>
      <c r="AN36">
        <f t="shared" si="18"/>
        <v>360</v>
      </c>
    </row>
    <row r="37" spans="1:41" x14ac:dyDescent="0.25">
      <c r="A37">
        <v>42000</v>
      </c>
      <c r="B37">
        <f t="shared" si="12"/>
        <v>58</v>
      </c>
      <c r="L37">
        <f t="shared" si="13"/>
        <v>41702</v>
      </c>
      <c r="M37" s="5">
        <v>11</v>
      </c>
      <c r="R37">
        <v>33000</v>
      </c>
      <c r="S37">
        <v>630</v>
      </c>
      <c r="T37">
        <f t="shared" si="2"/>
        <v>930</v>
      </c>
      <c r="U37">
        <f t="shared" si="3"/>
        <v>22354.83870967742</v>
      </c>
      <c r="V37">
        <f t="shared" si="8"/>
        <v>37</v>
      </c>
      <c r="X37">
        <v>25000</v>
      </c>
      <c r="Y37">
        <v>540</v>
      </c>
      <c r="AA37">
        <v>25000</v>
      </c>
      <c r="AB37">
        <f t="shared" si="14"/>
        <v>530</v>
      </c>
      <c r="AD37">
        <v>25000</v>
      </c>
      <c r="AE37">
        <f t="shared" si="19"/>
        <v>510</v>
      </c>
      <c r="AG37">
        <v>25000</v>
      </c>
      <c r="AH37">
        <f t="shared" si="20"/>
        <v>440</v>
      </c>
      <c r="AJ37">
        <v>25000</v>
      </c>
      <c r="AK37">
        <f>SUM(AK36,6)</f>
        <v>384</v>
      </c>
      <c r="AM37">
        <v>25000</v>
      </c>
      <c r="AN37">
        <f t="shared" si="18"/>
        <v>365</v>
      </c>
    </row>
    <row r="38" spans="1:41" x14ac:dyDescent="0.25">
      <c r="A38">
        <v>43000</v>
      </c>
      <c r="B38">
        <v>59</v>
      </c>
      <c r="L38">
        <f t="shared" ref="L38:L39" si="21">SUM(400*B38,1/2*11*B38*B38)</f>
        <v>42745.5</v>
      </c>
      <c r="M38" s="5">
        <v>11</v>
      </c>
      <c r="R38">
        <v>34000</v>
      </c>
      <c r="S38">
        <v>640</v>
      </c>
      <c r="T38">
        <f t="shared" si="2"/>
        <v>940</v>
      </c>
      <c r="U38">
        <f t="shared" si="3"/>
        <v>23148.936170212768</v>
      </c>
      <c r="V38">
        <f t="shared" si="8"/>
        <v>38</v>
      </c>
      <c r="X38">
        <v>26000</v>
      </c>
      <c r="Y38">
        <v>550</v>
      </c>
      <c r="AA38">
        <v>26000</v>
      </c>
      <c r="AB38">
        <f t="shared" si="14"/>
        <v>540</v>
      </c>
      <c r="AD38">
        <v>26000</v>
      </c>
      <c r="AE38">
        <f t="shared" si="19"/>
        <v>520</v>
      </c>
      <c r="AG38">
        <v>26000</v>
      </c>
      <c r="AH38">
        <f>SUM(AH37,10)</f>
        <v>450</v>
      </c>
      <c r="AJ38">
        <v>26000</v>
      </c>
      <c r="AK38">
        <f t="shared" ref="AK38:AK42" si="22">SUM(AK37,6)</f>
        <v>390</v>
      </c>
      <c r="AM38">
        <v>26000</v>
      </c>
      <c r="AN38">
        <f t="shared" si="18"/>
        <v>370</v>
      </c>
    </row>
    <row r="39" spans="1:41" x14ac:dyDescent="0.25">
      <c r="A39">
        <v>44000</v>
      </c>
      <c r="B39">
        <v>60</v>
      </c>
      <c r="C39">
        <v>980</v>
      </c>
      <c r="L39">
        <f t="shared" si="21"/>
        <v>43800</v>
      </c>
      <c r="M39" s="5">
        <v>11</v>
      </c>
      <c r="R39">
        <v>35000</v>
      </c>
      <c r="S39">
        <v>650</v>
      </c>
      <c r="T39">
        <f t="shared" si="2"/>
        <v>950</v>
      </c>
      <c r="U39">
        <f t="shared" si="3"/>
        <v>23947.36842105263</v>
      </c>
      <c r="V39">
        <f t="shared" si="8"/>
        <v>39</v>
      </c>
      <c r="X39">
        <v>27000</v>
      </c>
      <c r="Y39">
        <v>560</v>
      </c>
      <c r="AA39">
        <v>27000</v>
      </c>
      <c r="AB39">
        <f t="shared" si="14"/>
        <v>550</v>
      </c>
      <c r="AD39">
        <v>27000</v>
      </c>
      <c r="AE39">
        <f t="shared" si="19"/>
        <v>530</v>
      </c>
      <c r="AG39">
        <v>27000</v>
      </c>
      <c r="AH39">
        <f t="shared" ref="AH39:AH42" si="23">SUM(AH38,10)</f>
        <v>460</v>
      </c>
      <c r="AJ39">
        <v>27000</v>
      </c>
      <c r="AK39">
        <f t="shared" si="22"/>
        <v>396</v>
      </c>
      <c r="AM39">
        <v>27000</v>
      </c>
      <c r="AN39">
        <f t="shared" si="18"/>
        <v>375</v>
      </c>
    </row>
    <row r="40" spans="1:41" x14ac:dyDescent="0.25">
      <c r="A40">
        <v>45000</v>
      </c>
      <c r="C40">
        <f>SUM(C39,-10)</f>
        <v>970</v>
      </c>
      <c r="M40" s="5"/>
      <c r="R40">
        <v>36000</v>
      </c>
      <c r="S40">
        <v>660</v>
      </c>
      <c r="T40">
        <f t="shared" si="2"/>
        <v>960</v>
      </c>
      <c r="U40">
        <f t="shared" si="3"/>
        <v>24750</v>
      </c>
      <c r="V40">
        <f t="shared" si="8"/>
        <v>40</v>
      </c>
      <c r="X40">
        <v>28000</v>
      </c>
      <c r="Y40">
        <v>570</v>
      </c>
      <c r="AA40">
        <v>28000</v>
      </c>
      <c r="AB40">
        <f t="shared" si="14"/>
        <v>560</v>
      </c>
      <c r="AD40">
        <v>28000</v>
      </c>
      <c r="AE40">
        <f t="shared" si="19"/>
        <v>540</v>
      </c>
      <c r="AG40">
        <v>28000</v>
      </c>
      <c r="AH40">
        <f t="shared" si="23"/>
        <v>470</v>
      </c>
      <c r="AJ40">
        <v>28000</v>
      </c>
      <c r="AK40">
        <f t="shared" si="22"/>
        <v>402</v>
      </c>
      <c r="AM40">
        <v>28000</v>
      </c>
      <c r="AN40">
        <f t="shared" si="18"/>
        <v>380</v>
      </c>
    </row>
    <row r="41" spans="1:41" x14ac:dyDescent="0.25">
      <c r="A41">
        <v>46000</v>
      </c>
      <c r="C41">
        <f>SUM(C40,-15)</f>
        <v>955</v>
      </c>
      <c r="M41" s="5"/>
      <c r="R41">
        <v>37000</v>
      </c>
      <c r="S41">
        <v>670</v>
      </c>
      <c r="T41">
        <f t="shared" si="2"/>
        <v>970</v>
      </c>
      <c r="U41">
        <f t="shared" si="3"/>
        <v>25556.701030927834</v>
      </c>
      <c r="V41">
        <f t="shared" si="8"/>
        <v>41</v>
      </c>
      <c r="X41">
        <v>29000</v>
      </c>
      <c r="Y41">
        <v>580</v>
      </c>
      <c r="AA41">
        <v>29000</v>
      </c>
      <c r="AB41">
        <f t="shared" si="14"/>
        <v>570</v>
      </c>
      <c r="AD41">
        <v>29000</v>
      </c>
      <c r="AE41">
        <f t="shared" si="19"/>
        <v>550</v>
      </c>
      <c r="AG41">
        <v>29000</v>
      </c>
      <c r="AH41">
        <f t="shared" si="23"/>
        <v>480</v>
      </c>
      <c r="AJ41">
        <v>29000</v>
      </c>
      <c r="AK41">
        <f t="shared" si="22"/>
        <v>408</v>
      </c>
      <c r="AM41">
        <v>29000</v>
      </c>
      <c r="AN41">
        <f t="shared" si="18"/>
        <v>385</v>
      </c>
    </row>
    <row r="42" spans="1:41" x14ac:dyDescent="0.25">
      <c r="A42">
        <v>47000</v>
      </c>
      <c r="C42">
        <f>SUM(C41,-20)</f>
        <v>935</v>
      </c>
      <c r="M42" s="5"/>
      <c r="R42">
        <v>38000</v>
      </c>
      <c r="S42">
        <v>680</v>
      </c>
      <c r="T42">
        <f t="shared" si="2"/>
        <v>980</v>
      </c>
      <c r="U42">
        <f t="shared" si="3"/>
        <v>26367.346938775514</v>
      </c>
      <c r="V42">
        <f t="shared" si="8"/>
        <v>42</v>
      </c>
      <c r="X42">
        <v>30000</v>
      </c>
      <c r="Y42">
        <v>583</v>
      </c>
      <c r="AA42">
        <v>30000</v>
      </c>
      <c r="AB42">
        <v>580</v>
      </c>
      <c r="AD42">
        <v>30000</v>
      </c>
      <c r="AE42">
        <f t="shared" si="19"/>
        <v>560</v>
      </c>
      <c r="AG42">
        <v>30000</v>
      </c>
      <c r="AH42">
        <f t="shared" si="23"/>
        <v>490</v>
      </c>
      <c r="AJ42">
        <v>30000</v>
      </c>
      <c r="AK42">
        <f t="shared" si="22"/>
        <v>414</v>
      </c>
      <c r="AM42">
        <v>30000</v>
      </c>
      <c r="AN42">
        <f t="shared" si="18"/>
        <v>390</v>
      </c>
    </row>
    <row r="43" spans="1:41" x14ac:dyDescent="0.25">
      <c r="A43">
        <v>48000</v>
      </c>
      <c r="C43">
        <f>SUM(C42,-25)</f>
        <v>910</v>
      </c>
      <c r="M43" s="5"/>
      <c r="R43">
        <v>39000</v>
      </c>
      <c r="S43">
        <v>690</v>
      </c>
      <c r="T43">
        <f t="shared" si="2"/>
        <v>990</v>
      </c>
      <c r="U43">
        <f t="shared" si="3"/>
        <v>27181.81818181818</v>
      </c>
      <c r="V43">
        <f t="shared" si="8"/>
        <v>43</v>
      </c>
      <c r="X43">
        <v>31000</v>
      </c>
      <c r="Y43">
        <v>586</v>
      </c>
      <c r="AA43">
        <v>31000</v>
      </c>
      <c r="AB43">
        <f>SUM(AB42,5)</f>
        <v>585</v>
      </c>
      <c r="AD43">
        <v>31000</v>
      </c>
      <c r="AE43">
        <f t="shared" si="19"/>
        <v>570</v>
      </c>
      <c r="AG43">
        <v>31000</v>
      </c>
      <c r="AH43">
        <f>SUM(AH42,10)</f>
        <v>500</v>
      </c>
      <c r="AJ43">
        <v>31000</v>
      </c>
      <c r="AK43">
        <f>SUM(AK42,8)</f>
        <v>422</v>
      </c>
      <c r="AM43">
        <v>31000</v>
      </c>
      <c r="AN43">
        <f t="shared" si="18"/>
        <v>395</v>
      </c>
    </row>
    <row r="44" spans="1:41" x14ac:dyDescent="0.25">
      <c r="A44">
        <v>49000</v>
      </c>
      <c r="C44">
        <f>SUM(C43,-30)</f>
        <v>880</v>
      </c>
      <c r="M44" s="5"/>
      <c r="R44">
        <v>40000</v>
      </c>
      <c r="S44">
        <v>700</v>
      </c>
      <c r="T44">
        <f t="shared" si="2"/>
        <v>1000</v>
      </c>
      <c r="U44">
        <f t="shared" si="3"/>
        <v>28000</v>
      </c>
      <c r="V44">
        <f t="shared" si="8"/>
        <v>44</v>
      </c>
      <c r="X44">
        <v>32000</v>
      </c>
      <c r="Y44">
        <v>589</v>
      </c>
      <c r="AA44">
        <v>32000</v>
      </c>
      <c r="AB44">
        <f>SUM(AB43,5)</f>
        <v>590</v>
      </c>
      <c r="AD44">
        <v>32000</v>
      </c>
      <c r="AE44">
        <f t="shared" si="19"/>
        <v>580</v>
      </c>
      <c r="AG44">
        <v>32000</v>
      </c>
      <c r="AH44">
        <f>SUM(AH43,10)</f>
        <v>510</v>
      </c>
      <c r="AJ44">
        <v>32000</v>
      </c>
      <c r="AK44">
        <f t="shared" ref="AK44:AK48" si="24">SUM(AK43,8)</f>
        <v>430</v>
      </c>
      <c r="AM44">
        <v>32000</v>
      </c>
      <c r="AN44">
        <f t="shared" si="18"/>
        <v>400</v>
      </c>
    </row>
    <row r="45" spans="1:41" x14ac:dyDescent="0.25">
      <c r="A45">
        <v>50000</v>
      </c>
      <c r="C45">
        <f>SUM(C44,-35)</f>
        <v>845</v>
      </c>
      <c r="M45" s="5"/>
      <c r="R45">
        <v>41000</v>
      </c>
      <c r="S45">
        <v>710</v>
      </c>
      <c r="T45">
        <f t="shared" si="2"/>
        <v>1010</v>
      </c>
      <c r="U45">
        <f t="shared" si="3"/>
        <v>28821.782178217822</v>
      </c>
      <c r="V45">
        <f t="shared" si="8"/>
        <v>45</v>
      </c>
      <c r="X45">
        <v>33000</v>
      </c>
      <c r="Y45">
        <v>572</v>
      </c>
      <c r="Z45">
        <f>PRODUCT(X45*572,1/(572+300))</f>
        <v>21646.788990825688</v>
      </c>
      <c r="AA45">
        <v>33000</v>
      </c>
      <c r="AB45">
        <f>SUM(AB44,5)</f>
        <v>595</v>
      </c>
      <c r="AC45">
        <f>PRODUCT(AA45*595,1/(595+300))</f>
        <v>21938.547486033516</v>
      </c>
      <c r="AD45">
        <v>33000</v>
      </c>
      <c r="AE45">
        <f>SUM(AE44,6)</f>
        <v>586</v>
      </c>
      <c r="AF45">
        <f>PRODUCT(AD45*586,1/(586+300))</f>
        <v>21826.185101580133</v>
      </c>
      <c r="AG45">
        <v>33000</v>
      </c>
      <c r="AH45">
        <f t="shared" ref="AH45:AH48" si="25">SUM(AH44,10)</f>
        <v>520</v>
      </c>
      <c r="AI45">
        <f>PRODUCT(AG45*520,1/(520+300))</f>
        <v>20926.829268292684</v>
      </c>
      <c r="AJ45">
        <v>33000</v>
      </c>
      <c r="AK45">
        <f t="shared" si="24"/>
        <v>438</v>
      </c>
      <c r="AL45">
        <f>PRODUCT(AJ45*438,1/(438+300))</f>
        <v>19585.365853658535</v>
      </c>
      <c r="AM45">
        <v>33000</v>
      </c>
      <c r="AN45">
        <f t="shared" si="18"/>
        <v>405</v>
      </c>
      <c r="AO45">
        <f>PRODUCT(AM45*405,1/(405+300))</f>
        <v>18957.446808510638</v>
      </c>
    </row>
    <row r="46" spans="1:41" x14ac:dyDescent="0.25">
      <c r="A46">
        <v>51000</v>
      </c>
      <c r="C46">
        <f>SUM(C45,-40)</f>
        <v>805</v>
      </c>
      <c r="M46" s="5"/>
      <c r="R46">
        <v>42000</v>
      </c>
      <c r="S46">
        <v>720</v>
      </c>
      <c r="T46">
        <f t="shared" si="2"/>
        <v>1020</v>
      </c>
      <c r="U46">
        <f t="shared" si="3"/>
        <v>29647.058823529413</v>
      </c>
      <c r="V46">
        <f t="shared" si="8"/>
        <v>46</v>
      </c>
      <c r="X46">
        <v>34000</v>
      </c>
      <c r="Y46">
        <v>575</v>
      </c>
      <c r="AA46">
        <v>34000</v>
      </c>
      <c r="AB46">
        <f t="shared" ref="AB46:AB76" si="26">SUM(AB45,5)</f>
        <v>600</v>
      </c>
      <c r="AD46">
        <v>34000</v>
      </c>
      <c r="AE46">
        <f t="shared" ref="AE46:AE71" si="27">SUM(AE45,6)</f>
        <v>592</v>
      </c>
      <c r="AG46">
        <v>34000</v>
      </c>
      <c r="AH46">
        <f t="shared" si="25"/>
        <v>530</v>
      </c>
      <c r="AJ46">
        <v>34000</v>
      </c>
      <c r="AK46">
        <f t="shared" si="24"/>
        <v>446</v>
      </c>
      <c r="AM46">
        <v>34000</v>
      </c>
      <c r="AN46">
        <f t="shared" si="18"/>
        <v>410</v>
      </c>
    </row>
    <row r="47" spans="1:41" x14ac:dyDescent="0.25">
      <c r="A47">
        <v>52000</v>
      </c>
      <c r="C47">
        <f>SUM(C46,-45)</f>
        <v>760</v>
      </c>
      <c r="M47" s="5"/>
      <c r="R47">
        <v>43000</v>
      </c>
      <c r="S47">
        <v>730</v>
      </c>
      <c r="T47">
        <f t="shared" si="2"/>
        <v>1030</v>
      </c>
      <c r="U47">
        <f t="shared" si="3"/>
        <v>30475.728155339806</v>
      </c>
      <c r="V47">
        <f t="shared" si="8"/>
        <v>47</v>
      </c>
      <c r="X47">
        <v>35000</v>
      </c>
      <c r="Y47">
        <v>578</v>
      </c>
      <c r="AA47">
        <v>35000</v>
      </c>
      <c r="AB47">
        <f t="shared" si="26"/>
        <v>605</v>
      </c>
      <c r="AD47">
        <v>35000</v>
      </c>
      <c r="AE47">
        <f t="shared" si="27"/>
        <v>598</v>
      </c>
      <c r="AG47">
        <v>35000</v>
      </c>
      <c r="AH47">
        <f t="shared" si="25"/>
        <v>540</v>
      </c>
      <c r="AJ47">
        <v>35000</v>
      </c>
      <c r="AK47">
        <f t="shared" si="24"/>
        <v>454</v>
      </c>
      <c r="AM47">
        <v>35000</v>
      </c>
      <c r="AN47">
        <f t="shared" si="18"/>
        <v>415</v>
      </c>
    </row>
    <row r="48" spans="1:41" x14ac:dyDescent="0.25">
      <c r="A48">
        <v>53000</v>
      </c>
      <c r="C48">
        <f>SUM(C47,-50)</f>
        <v>710</v>
      </c>
      <c r="M48" s="5"/>
      <c r="R48">
        <v>44000</v>
      </c>
      <c r="S48">
        <v>740</v>
      </c>
      <c r="T48">
        <f t="shared" si="2"/>
        <v>1040</v>
      </c>
      <c r="U48">
        <f t="shared" si="3"/>
        <v>31307.692307692309</v>
      </c>
      <c r="V48">
        <f t="shared" si="8"/>
        <v>48</v>
      </c>
      <c r="X48">
        <v>36000</v>
      </c>
      <c r="Y48">
        <v>581</v>
      </c>
      <c r="AA48">
        <v>36000</v>
      </c>
      <c r="AB48">
        <f t="shared" si="26"/>
        <v>610</v>
      </c>
      <c r="AD48">
        <v>36000</v>
      </c>
      <c r="AE48">
        <f t="shared" si="27"/>
        <v>604</v>
      </c>
      <c r="AG48">
        <v>36000</v>
      </c>
      <c r="AH48">
        <f t="shared" si="25"/>
        <v>550</v>
      </c>
      <c r="AJ48">
        <v>36000</v>
      </c>
      <c r="AK48">
        <f t="shared" si="24"/>
        <v>462</v>
      </c>
      <c r="AM48">
        <v>36000</v>
      </c>
      <c r="AN48">
        <f t="shared" si="18"/>
        <v>420</v>
      </c>
    </row>
    <row r="49" spans="1:41" x14ac:dyDescent="0.25">
      <c r="A49">
        <v>54000</v>
      </c>
      <c r="C49">
        <f>SUM(C48,-55)</f>
        <v>655</v>
      </c>
      <c r="M49" s="5"/>
      <c r="R49">
        <v>45000</v>
      </c>
      <c r="S49">
        <v>750</v>
      </c>
      <c r="T49">
        <f t="shared" si="2"/>
        <v>1050</v>
      </c>
      <c r="U49">
        <f t="shared" si="3"/>
        <v>32142.857142857141</v>
      </c>
      <c r="V49">
        <f t="shared" si="8"/>
        <v>49</v>
      </c>
      <c r="X49">
        <v>37000</v>
      </c>
      <c r="Y49">
        <v>584</v>
      </c>
      <c r="AA49">
        <v>37000</v>
      </c>
      <c r="AB49">
        <f t="shared" si="26"/>
        <v>615</v>
      </c>
      <c r="AD49">
        <v>37000</v>
      </c>
      <c r="AE49">
        <f t="shared" si="27"/>
        <v>610</v>
      </c>
      <c r="AG49">
        <v>37000</v>
      </c>
      <c r="AH49">
        <f t="shared" ref="AH49:AH51" si="28">SUM(AH48,12)</f>
        <v>562</v>
      </c>
      <c r="AJ49">
        <v>37000</v>
      </c>
      <c r="AK49">
        <f>SUM(AK48,10)</f>
        <v>472</v>
      </c>
      <c r="AM49">
        <v>37000</v>
      </c>
      <c r="AN49">
        <f t="shared" si="18"/>
        <v>425</v>
      </c>
    </row>
    <row r="50" spans="1:41" x14ac:dyDescent="0.25">
      <c r="R50">
        <v>46000</v>
      </c>
      <c r="S50">
        <v>750</v>
      </c>
      <c r="T50">
        <f t="shared" si="2"/>
        <v>1050</v>
      </c>
      <c r="U50">
        <f t="shared" si="3"/>
        <v>32857.142857142855</v>
      </c>
      <c r="V50">
        <f t="shared" si="8"/>
        <v>50</v>
      </c>
      <c r="X50">
        <v>38000</v>
      </c>
      <c r="Y50">
        <v>587</v>
      </c>
      <c r="AA50">
        <v>38000</v>
      </c>
      <c r="AB50">
        <f t="shared" si="26"/>
        <v>620</v>
      </c>
      <c r="AD50">
        <v>38000</v>
      </c>
      <c r="AE50">
        <f t="shared" si="27"/>
        <v>616</v>
      </c>
      <c r="AG50">
        <v>38000</v>
      </c>
      <c r="AH50">
        <f t="shared" si="28"/>
        <v>574</v>
      </c>
      <c r="AJ50">
        <v>38000</v>
      </c>
      <c r="AK50">
        <f t="shared" ref="AK50:AK54" si="29">SUM(AK49,10)</f>
        <v>482</v>
      </c>
      <c r="AM50">
        <v>38000</v>
      </c>
      <c r="AN50">
        <f t="shared" si="18"/>
        <v>430</v>
      </c>
    </row>
    <row r="51" spans="1:41" x14ac:dyDescent="0.25">
      <c r="R51">
        <v>47000</v>
      </c>
      <c r="S51">
        <v>750</v>
      </c>
      <c r="T51">
        <f t="shared" si="2"/>
        <v>1050</v>
      </c>
      <c r="U51">
        <f t="shared" si="3"/>
        <v>33571.428571428572</v>
      </c>
      <c r="V51">
        <f t="shared" si="8"/>
        <v>51</v>
      </c>
      <c r="X51">
        <v>39000</v>
      </c>
      <c r="Y51">
        <v>590</v>
      </c>
      <c r="AA51">
        <v>39000</v>
      </c>
      <c r="AB51">
        <f t="shared" si="26"/>
        <v>625</v>
      </c>
      <c r="AD51">
        <v>39000</v>
      </c>
      <c r="AE51">
        <f t="shared" si="27"/>
        <v>622</v>
      </c>
      <c r="AG51">
        <v>39000</v>
      </c>
      <c r="AH51">
        <f t="shared" si="28"/>
        <v>586</v>
      </c>
      <c r="AJ51">
        <v>39000</v>
      </c>
      <c r="AK51">
        <f t="shared" si="29"/>
        <v>492</v>
      </c>
      <c r="AM51">
        <v>39000</v>
      </c>
      <c r="AN51">
        <f t="shared" si="18"/>
        <v>435</v>
      </c>
    </row>
    <row r="52" spans="1:41" x14ac:dyDescent="0.25">
      <c r="R52">
        <v>48000</v>
      </c>
      <c r="S52">
        <v>750</v>
      </c>
      <c r="T52">
        <f t="shared" si="2"/>
        <v>1050</v>
      </c>
      <c r="U52">
        <f t="shared" si="3"/>
        <v>34285.714285714283</v>
      </c>
      <c r="V52">
        <f t="shared" si="8"/>
        <v>52</v>
      </c>
      <c r="X52">
        <v>40000</v>
      </c>
      <c r="Y52">
        <v>594</v>
      </c>
      <c r="AA52">
        <v>40000</v>
      </c>
      <c r="AB52">
        <f t="shared" si="26"/>
        <v>630</v>
      </c>
      <c r="AD52">
        <v>40000</v>
      </c>
      <c r="AE52">
        <f t="shared" si="27"/>
        <v>628</v>
      </c>
      <c r="AG52">
        <v>40000</v>
      </c>
      <c r="AH52">
        <f>SUM(AH51,12)</f>
        <v>598</v>
      </c>
      <c r="AJ52">
        <v>40000</v>
      </c>
      <c r="AK52">
        <f t="shared" si="29"/>
        <v>502</v>
      </c>
      <c r="AM52">
        <v>40000</v>
      </c>
      <c r="AN52">
        <f t="shared" si="18"/>
        <v>440</v>
      </c>
    </row>
    <row r="53" spans="1:41" x14ac:dyDescent="0.25">
      <c r="R53">
        <v>49000</v>
      </c>
      <c r="S53">
        <v>750</v>
      </c>
      <c r="T53">
        <f t="shared" si="2"/>
        <v>1050</v>
      </c>
      <c r="U53">
        <f t="shared" si="3"/>
        <v>35000</v>
      </c>
      <c r="V53">
        <f t="shared" si="8"/>
        <v>53</v>
      </c>
      <c r="X53">
        <v>41000</v>
      </c>
      <c r="Y53">
        <v>598</v>
      </c>
      <c r="AA53">
        <v>41000</v>
      </c>
      <c r="AB53">
        <f t="shared" si="26"/>
        <v>635</v>
      </c>
      <c r="AD53">
        <v>41000</v>
      </c>
      <c r="AE53">
        <f t="shared" si="27"/>
        <v>634</v>
      </c>
      <c r="AG53">
        <v>41000</v>
      </c>
      <c r="AH53">
        <f>SUM(AH52,12)</f>
        <v>610</v>
      </c>
      <c r="AJ53">
        <v>41000</v>
      </c>
      <c r="AK53">
        <f t="shared" si="29"/>
        <v>512</v>
      </c>
      <c r="AM53">
        <v>41000</v>
      </c>
      <c r="AN53">
        <f t="shared" si="18"/>
        <v>445</v>
      </c>
    </row>
    <row r="54" spans="1:41" x14ac:dyDescent="0.25">
      <c r="R54">
        <v>50000</v>
      </c>
      <c r="S54">
        <v>750</v>
      </c>
      <c r="T54">
        <f t="shared" si="2"/>
        <v>1050</v>
      </c>
      <c r="U54">
        <f t="shared" si="3"/>
        <v>35714.285714285717</v>
      </c>
      <c r="V54">
        <f t="shared" si="8"/>
        <v>54</v>
      </c>
      <c r="X54">
        <v>42000</v>
      </c>
      <c r="Y54">
        <v>602</v>
      </c>
      <c r="AA54">
        <v>42000</v>
      </c>
      <c r="AB54">
        <f t="shared" si="26"/>
        <v>640</v>
      </c>
      <c r="AD54">
        <v>42000</v>
      </c>
      <c r="AE54">
        <f t="shared" si="27"/>
        <v>640</v>
      </c>
      <c r="AG54">
        <v>42000</v>
      </c>
      <c r="AH54">
        <f>SUM(AH53,12)</f>
        <v>622</v>
      </c>
      <c r="AJ54">
        <v>42000</v>
      </c>
      <c r="AK54">
        <f t="shared" si="29"/>
        <v>522</v>
      </c>
      <c r="AM54">
        <v>42000</v>
      </c>
      <c r="AN54">
        <f t="shared" si="18"/>
        <v>450</v>
      </c>
    </row>
    <row r="55" spans="1:41" x14ac:dyDescent="0.25">
      <c r="R55">
        <v>51000</v>
      </c>
      <c r="S55">
        <v>750</v>
      </c>
      <c r="T55">
        <f t="shared" si="2"/>
        <v>1050</v>
      </c>
      <c r="U55">
        <f t="shared" si="3"/>
        <v>36428.571428571428</v>
      </c>
      <c r="V55">
        <f t="shared" si="8"/>
        <v>55</v>
      </c>
      <c r="X55">
        <v>43000</v>
      </c>
      <c r="Y55">
        <v>606</v>
      </c>
      <c r="AA55">
        <v>43000</v>
      </c>
      <c r="AB55">
        <f t="shared" si="26"/>
        <v>645</v>
      </c>
      <c r="AD55">
        <v>43000</v>
      </c>
      <c r="AE55">
        <f t="shared" si="27"/>
        <v>646</v>
      </c>
      <c r="AG55">
        <v>43000</v>
      </c>
      <c r="AH55">
        <f>SUM(AH54,12)</f>
        <v>634</v>
      </c>
      <c r="AJ55">
        <v>43000</v>
      </c>
      <c r="AK55">
        <f>SUM(AK54,12)</f>
        <v>534</v>
      </c>
      <c r="AM55">
        <v>43000</v>
      </c>
      <c r="AN55">
        <f t="shared" si="18"/>
        <v>455</v>
      </c>
    </row>
    <row r="56" spans="1:41" x14ac:dyDescent="0.25">
      <c r="R56">
        <v>52000</v>
      </c>
      <c r="S56">
        <v>750</v>
      </c>
      <c r="T56">
        <f t="shared" si="2"/>
        <v>1050</v>
      </c>
      <c r="U56">
        <f t="shared" si="3"/>
        <v>37142.857142857145</v>
      </c>
      <c r="V56">
        <f t="shared" si="8"/>
        <v>56</v>
      </c>
      <c r="X56">
        <v>44000</v>
      </c>
      <c r="Y56">
        <v>610</v>
      </c>
      <c r="AA56">
        <v>44000</v>
      </c>
      <c r="AB56">
        <f t="shared" si="26"/>
        <v>650</v>
      </c>
      <c r="AD56">
        <v>44000</v>
      </c>
      <c r="AE56">
        <f t="shared" si="27"/>
        <v>652</v>
      </c>
      <c r="AG56">
        <v>44000</v>
      </c>
      <c r="AH56">
        <f>SUM(AH55,12)</f>
        <v>646</v>
      </c>
      <c r="AJ56">
        <v>44000</v>
      </c>
      <c r="AK56">
        <f t="shared" ref="AK56:AK61" si="30">SUM(AK55,12)</f>
        <v>546</v>
      </c>
      <c r="AM56">
        <v>44000</v>
      </c>
      <c r="AN56">
        <f t="shared" si="18"/>
        <v>460</v>
      </c>
    </row>
    <row r="57" spans="1:41" x14ac:dyDescent="0.25">
      <c r="R57">
        <v>53000</v>
      </c>
      <c r="S57">
        <v>750</v>
      </c>
      <c r="T57">
        <f t="shared" si="2"/>
        <v>1050</v>
      </c>
      <c r="U57">
        <f t="shared" si="3"/>
        <v>37857.142857142855</v>
      </c>
      <c r="V57">
        <f t="shared" si="8"/>
        <v>57</v>
      </c>
      <c r="X57">
        <v>45000</v>
      </c>
      <c r="Y57">
        <v>614</v>
      </c>
      <c r="Z57">
        <f>PRODUCT(X57*614,1/(614+300))</f>
        <v>30229.759299781181</v>
      </c>
      <c r="AA57">
        <v>45000</v>
      </c>
      <c r="AB57">
        <f t="shared" si="26"/>
        <v>655</v>
      </c>
      <c r="AC57">
        <f>PRODUCT(AA57*655,1/(655+300))</f>
        <v>30863.874345549742</v>
      </c>
      <c r="AD57">
        <v>45000</v>
      </c>
      <c r="AE57">
        <f t="shared" si="27"/>
        <v>658</v>
      </c>
      <c r="AG57">
        <v>45000</v>
      </c>
      <c r="AH57">
        <f t="shared" ref="AH57:AH59" si="31">SUM(AH56,12)</f>
        <v>658</v>
      </c>
      <c r="AJ57">
        <v>45000</v>
      </c>
      <c r="AK57">
        <f t="shared" si="30"/>
        <v>558</v>
      </c>
      <c r="AM57">
        <v>45000</v>
      </c>
      <c r="AN57">
        <f t="shared" si="18"/>
        <v>465</v>
      </c>
      <c r="AO57">
        <f>PRODUCT(AM57*465,1/(465+300))</f>
        <v>27352.941176470587</v>
      </c>
    </row>
    <row r="58" spans="1:41" x14ac:dyDescent="0.25">
      <c r="R58">
        <v>54000</v>
      </c>
      <c r="S58">
        <v>750</v>
      </c>
      <c r="T58">
        <f t="shared" si="2"/>
        <v>1050</v>
      </c>
      <c r="U58">
        <f t="shared" si="3"/>
        <v>38571.428571428572</v>
      </c>
      <c r="V58">
        <f t="shared" si="8"/>
        <v>58</v>
      </c>
      <c r="X58">
        <v>46000</v>
      </c>
      <c r="Y58">
        <v>618</v>
      </c>
      <c r="AA58">
        <v>46000</v>
      </c>
      <c r="AB58">
        <f t="shared" si="26"/>
        <v>660</v>
      </c>
      <c r="AD58">
        <v>46000</v>
      </c>
      <c r="AE58">
        <f>SUM(AE57,6)</f>
        <v>664</v>
      </c>
      <c r="AG58">
        <v>46000</v>
      </c>
      <c r="AH58">
        <f t="shared" si="31"/>
        <v>670</v>
      </c>
      <c r="AJ58">
        <v>46000</v>
      </c>
      <c r="AK58">
        <f t="shared" si="30"/>
        <v>570</v>
      </c>
      <c r="AM58">
        <v>46000</v>
      </c>
      <c r="AN58">
        <f t="shared" si="18"/>
        <v>470</v>
      </c>
    </row>
    <row r="59" spans="1:41" x14ac:dyDescent="0.25">
      <c r="R59">
        <v>55000</v>
      </c>
      <c r="S59">
        <v>750</v>
      </c>
      <c r="T59">
        <f t="shared" si="2"/>
        <v>1050</v>
      </c>
      <c r="U59">
        <f t="shared" si="3"/>
        <v>39285.714285714283</v>
      </c>
      <c r="V59">
        <f t="shared" si="8"/>
        <v>59</v>
      </c>
      <c r="X59">
        <v>47000</v>
      </c>
      <c r="Y59">
        <v>622</v>
      </c>
      <c r="AA59">
        <v>47000</v>
      </c>
      <c r="AB59">
        <f t="shared" si="26"/>
        <v>665</v>
      </c>
      <c r="AD59">
        <v>47000</v>
      </c>
      <c r="AE59">
        <f t="shared" si="27"/>
        <v>670</v>
      </c>
      <c r="AG59">
        <v>47000</v>
      </c>
      <c r="AH59">
        <f t="shared" si="31"/>
        <v>682</v>
      </c>
      <c r="AJ59">
        <v>47000</v>
      </c>
      <c r="AK59">
        <f t="shared" si="30"/>
        <v>582</v>
      </c>
      <c r="AM59">
        <v>47000</v>
      </c>
      <c r="AN59">
        <f t="shared" si="18"/>
        <v>475</v>
      </c>
    </row>
    <row r="60" spans="1:41" x14ac:dyDescent="0.25">
      <c r="R60">
        <v>56000</v>
      </c>
      <c r="S60">
        <v>750</v>
      </c>
      <c r="T60">
        <f t="shared" si="2"/>
        <v>1050</v>
      </c>
      <c r="U60">
        <f t="shared" si="3"/>
        <v>40000</v>
      </c>
      <c r="V60">
        <f t="shared" si="8"/>
        <v>60</v>
      </c>
      <c r="X60">
        <v>48000</v>
      </c>
      <c r="Y60">
        <v>626</v>
      </c>
      <c r="AA60">
        <v>48000</v>
      </c>
      <c r="AB60">
        <f t="shared" si="26"/>
        <v>670</v>
      </c>
      <c r="AD60">
        <v>48000</v>
      </c>
      <c r="AE60">
        <f t="shared" si="27"/>
        <v>676</v>
      </c>
      <c r="AG60">
        <v>48000</v>
      </c>
      <c r="AH60">
        <f>SUM(AH59,12)</f>
        <v>694</v>
      </c>
      <c r="AJ60">
        <v>48000</v>
      </c>
      <c r="AK60">
        <f t="shared" si="30"/>
        <v>594</v>
      </c>
      <c r="AM60">
        <v>48000</v>
      </c>
      <c r="AN60">
        <f t="shared" si="18"/>
        <v>480</v>
      </c>
    </row>
    <row r="61" spans="1:41" x14ac:dyDescent="0.25">
      <c r="R61">
        <v>57000</v>
      </c>
      <c r="S61">
        <v>750</v>
      </c>
      <c r="T61">
        <f t="shared" si="2"/>
        <v>1050</v>
      </c>
      <c r="U61">
        <f t="shared" si="3"/>
        <v>40714.285714285717</v>
      </c>
      <c r="V61">
        <f t="shared" si="8"/>
        <v>61</v>
      </c>
      <c r="X61">
        <v>49000</v>
      </c>
      <c r="Y61">
        <v>630</v>
      </c>
      <c r="AA61">
        <v>49000</v>
      </c>
      <c r="AB61">
        <f t="shared" si="26"/>
        <v>675</v>
      </c>
      <c r="AD61">
        <v>49000</v>
      </c>
      <c r="AE61">
        <f t="shared" si="27"/>
        <v>682</v>
      </c>
      <c r="AG61">
        <v>49000</v>
      </c>
      <c r="AH61">
        <f>SUM(AH60,12)</f>
        <v>706</v>
      </c>
      <c r="AJ61">
        <v>49000</v>
      </c>
      <c r="AK61">
        <f t="shared" si="30"/>
        <v>606</v>
      </c>
      <c r="AM61">
        <v>49000</v>
      </c>
      <c r="AN61">
        <f t="shared" si="18"/>
        <v>485</v>
      </c>
    </row>
    <row r="62" spans="1:41" x14ac:dyDescent="0.25">
      <c r="R62">
        <v>58000</v>
      </c>
      <c r="S62">
        <v>750</v>
      </c>
      <c r="T62">
        <f t="shared" si="2"/>
        <v>1050</v>
      </c>
      <c r="U62">
        <f t="shared" si="3"/>
        <v>41428.571428571428</v>
      </c>
      <c r="V62">
        <f t="shared" si="8"/>
        <v>62</v>
      </c>
      <c r="X62">
        <v>50000</v>
      </c>
      <c r="Y62">
        <v>634</v>
      </c>
      <c r="AA62">
        <v>50000</v>
      </c>
      <c r="AB62">
        <f t="shared" si="26"/>
        <v>680</v>
      </c>
      <c r="AD62">
        <v>50000</v>
      </c>
      <c r="AE62">
        <f t="shared" si="27"/>
        <v>688</v>
      </c>
      <c r="AG62">
        <v>50000</v>
      </c>
      <c r="AH62">
        <f>SUM(AH61,12)</f>
        <v>718</v>
      </c>
      <c r="AJ62">
        <v>50000</v>
      </c>
      <c r="AK62">
        <f>SUM(AK61,15)</f>
        <v>621</v>
      </c>
      <c r="AM62">
        <v>50000</v>
      </c>
      <c r="AN62">
        <f t="shared" si="18"/>
        <v>490</v>
      </c>
    </row>
    <row r="63" spans="1:41" x14ac:dyDescent="0.25">
      <c r="R63">
        <v>59000</v>
      </c>
      <c r="S63">
        <v>750</v>
      </c>
      <c r="T63">
        <f t="shared" si="2"/>
        <v>1050</v>
      </c>
      <c r="U63">
        <f t="shared" si="3"/>
        <v>42142.857142857145</v>
      </c>
      <c r="V63">
        <f t="shared" si="8"/>
        <v>63</v>
      </c>
      <c r="X63">
        <v>51000</v>
      </c>
      <c r="Y63">
        <v>638</v>
      </c>
      <c r="Z63">
        <f>PRODUCT(X63*638,1/(638+300))</f>
        <v>34688.699360341154</v>
      </c>
      <c r="AA63">
        <v>51000</v>
      </c>
      <c r="AB63">
        <f t="shared" si="26"/>
        <v>685</v>
      </c>
      <c r="AC63">
        <f>PRODUCT(AA63*685,1/(685+300))</f>
        <v>35467.005076142137</v>
      </c>
      <c r="AD63">
        <v>51000</v>
      </c>
      <c r="AE63">
        <f t="shared" si="27"/>
        <v>694</v>
      </c>
      <c r="AF63">
        <f>PRODUCT(AD63*694,1/(694+300))</f>
        <v>35607.64587525151</v>
      </c>
      <c r="AG63">
        <v>51000</v>
      </c>
      <c r="AH63">
        <f t="shared" ref="AH63:AH64" si="32">SUM(AH62,12)</f>
        <v>730</v>
      </c>
      <c r="AI63">
        <f>PRODUCT(AG63*730,(730+300))</f>
        <v>38346900000</v>
      </c>
      <c r="AJ63">
        <v>51000</v>
      </c>
      <c r="AK63">
        <f t="shared" ref="AK63:AK70" si="33">SUM(AK62,15)</f>
        <v>636</v>
      </c>
      <c r="AL63">
        <f>PRODUCT(AJ63*636,1/(636+300))</f>
        <v>34653.846153846156</v>
      </c>
      <c r="AM63">
        <v>51000</v>
      </c>
      <c r="AN63">
        <f t="shared" si="18"/>
        <v>495</v>
      </c>
      <c r="AO63">
        <f>PRODUCT(AM63*495,1/(495+300))</f>
        <v>31754.716981132075</v>
      </c>
    </row>
    <row r="64" spans="1:41" x14ac:dyDescent="0.25">
      <c r="R64">
        <v>60000</v>
      </c>
      <c r="S64">
        <v>750</v>
      </c>
      <c r="T64">
        <f t="shared" si="2"/>
        <v>1050</v>
      </c>
      <c r="U64">
        <f t="shared" si="3"/>
        <v>42857.142857142855</v>
      </c>
      <c r="V64">
        <f t="shared" si="8"/>
        <v>64</v>
      </c>
      <c r="X64">
        <v>52000</v>
      </c>
      <c r="Y64">
        <v>642</v>
      </c>
      <c r="AA64">
        <v>52000</v>
      </c>
      <c r="AB64">
        <f t="shared" si="26"/>
        <v>690</v>
      </c>
      <c r="AD64">
        <v>52000</v>
      </c>
      <c r="AE64">
        <f t="shared" si="27"/>
        <v>700</v>
      </c>
      <c r="AG64">
        <v>52000</v>
      </c>
      <c r="AH64">
        <f t="shared" si="32"/>
        <v>742</v>
      </c>
      <c r="AJ64">
        <v>52000</v>
      </c>
      <c r="AK64">
        <f t="shared" si="33"/>
        <v>651</v>
      </c>
      <c r="AM64">
        <v>52000</v>
      </c>
      <c r="AN64">
        <f t="shared" si="18"/>
        <v>500</v>
      </c>
    </row>
    <row r="65" spans="18:41" x14ac:dyDescent="0.25">
      <c r="R65" s="24" t="s">
        <v>17</v>
      </c>
      <c r="S65" s="24"/>
      <c r="T65" s="24"/>
      <c r="U65" s="24"/>
      <c r="V65" s="24"/>
      <c r="X65">
        <v>53000</v>
      </c>
      <c r="Y65">
        <v>646</v>
      </c>
      <c r="AA65">
        <v>53000</v>
      </c>
      <c r="AB65">
        <f t="shared" si="26"/>
        <v>695</v>
      </c>
      <c r="AD65">
        <v>53000</v>
      </c>
      <c r="AE65">
        <f t="shared" si="27"/>
        <v>706</v>
      </c>
      <c r="AG65">
        <v>53000</v>
      </c>
      <c r="AH65">
        <v>750</v>
      </c>
      <c r="AJ65">
        <v>53000</v>
      </c>
      <c r="AK65">
        <f t="shared" si="33"/>
        <v>666</v>
      </c>
      <c r="AM65">
        <v>53000</v>
      </c>
      <c r="AN65">
        <f t="shared" si="18"/>
        <v>505</v>
      </c>
    </row>
    <row r="66" spans="18:41" x14ac:dyDescent="0.25">
      <c r="X66">
        <v>54000</v>
      </c>
      <c r="Y66">
        <v>650</v>
      </c>
      <c r="AA66">
        <v>54000</v>
      </c>
      <c r="AB66">
        <f t="shared" si="26"/>
        <v>700</v>
      </c>
      <c r="AD66">
        <v>54000</v>
      </c>
      <c r="AE66">
        <f t="shared" si="27"/>
        <v>712</v>
      </c>
      <c r="AG66">
        <v>54000</v>
      </c>
      <c r="AH66">
        <v>750</v>
      </c>
      <c r="AJ66">
        <v>54000</v>
      </c>
      <c r="AK66">
        <f t="shared" si="33"/>
        <v>681</v>
      </c>
      <c r="AM66">
        <v>54000</v>
      </c>
      <c r="AN66">
        <f t="shared" si="18"/>
        <v>510</v>
      </c>
    </row>
    <row r="67" spans="18:41" x14ac:dyDescent="0.25">
      <c r="X67">
        <v>55000</v>
      </c>
      <c r="Y67">
        <v>654</v>
      </c>
      <c r="AA67">
        <v>55000</v>
      </c>
      <c r="AB67">
        <f t="shared" si="26"/>
        <v>705</v>
      </c>
      <c r="AD67">
        <v>55000</v>
      </c>
      <c r="AE67">
        <f t="shared" si="27"/>
        <v>718</v>
      </c>
      <c r="AG67">
        <v>55000</v>
      </c>
      <c r="AH67">
        <v>750</v>
      </c>
      <c r="AJ67">
        <v>55000</v>
      </c>
      <c r="AK67">
        <f t="shared" si="33"/>
        <v>696</v>
      </c>
      <c r="AM67">
        <v>55000</v>
      </c>
      <c r="AN67">
        <f t="shared" si="18"/>
        <v>515</v>
      </c>
    </row>
    <row r="68" spans="18:41" x14ac:dyDescent="0.25">
      <c r="X68">
        <v>56000</v>
      </c>
      <c r="Y68">
        <v>658</v>
      </c>
      <c r="AA68">
        <v>56000</v>
      </c>
      <c r="AB68">
        <f t="shared" si="26"/>
        <v>710</v>
      </c>
      <c r="AD68">
        <v>56000</v>
      </c>
      <c r="AE68">
        <f t="shared" si="27"/>
        <v>724</v>
      </c>
      <c r="AG68">
        <v>56000</v>
      </c>
      <c r="AH68">
        <v>750</v>
      </c>
      <c r="AJ68">
        <v>56000</v>
      </c>
      <c r="AK68">
        <f t="shared" si="33"/>
        <v>711</v>
      </c>
      <c r="AM68">
        <v>56000</v>
      </c>
      <c r="AN68">
        <f t="shared" si="18"/>
        <v>520</v>
      </c>
    </row>
    <row r="69" spans="18:41" x14ac:dyDescent="0.25">
      <c r="X69">
        <v>57000</v>
      </c>
      <c r="Y69">
        <v>662</v>
      </c>
      <c r="AA69">
        <v>57000</v>
      </c>
      <c r="AB69">
        <f t="shared" si="26"/>
        <v>715</v>
      </c>
      <c r="AD69">
        <v>57000</v>
      </c>
      <c r="AE69">
        <f t="shared" si="27"/>
        <v>730</v>
      </c>
      <c r="AG69">
        <v>57000</v>
      </c>
      <c r="AH69">
        <v>750</v>
      </c>
      <c r="AJ69">
        <v>57000</v>
      </c>
      <c r="AK69">
        <f t="shared" si="33"/>
        <v>726</v>
      </c>
      <c r="AM69">
        <v>57000</v>
      </c>
      <c r="AN69">
        <f t="shared" si="18"/>
        <v>525</v>
      </c>
    </row>
    <row r="70" spans="18:41" x14ac:dyDescent="0.25">
      <c r="X70">
        <v>58000</v>
      </c>
      <c r="Y70">
        <v>666</v>
      </c>
      <c r="AA70">
        <v>58000</v>
      </c>
      <c r="AB70">
        <f t="shared" si="26"/>
        <v>720</v>
      </c>
      <c r="AD70">
        <v>58000</v>
      </c>
      <c r="AE70">
        <f>SUM(AE69,6)</f>
        <v>736</v>
      </c>
      <c r="AG70">
        <v>58000</v>
      </c>
      <c r="AH70">
        <v>750</v>
      </c>
      <c r="AJ70">
        <v>58000</v>
      </c>
      <c r="AK70">
        <f t="shared" si="33"/>
        <v>741</v>
      </c>
      <c r="AM70">
        <v>58000</v>
      </c>
      <c r="AN70">
        <f t="shared" si="18"/>
        <v>530</v>
      </c>
    </row>
    <row r="71" spans="18:41" x14ac:dyDescent="0.25">
      <c r="X71">
        <v>59000</v>
      </c>
      <c r="Y71">
        <v>670</v>
      </c>
      <c r="AA71">
        <v>59000</v>
      </c>
      <c r="AB71">
        <f t="shared" si="26"/>
        <v>725</v>
      </c>
      <c r="AD71">
        <v>59000</v>
      </c>
      <c r="AE71">
        <f t="shared" si="27"/>
        <v>742</v>
      </c>
      <c r="AG71">
        <v>59000</v>
      </c>
      <c r="AH71">
        <v>750</v>
      </c>
      <c r="AJ71">
        <v>59000</v>
      </c>
      <c r="AK71">
        <v>750</v>
      </c>
      <c r="AM71">
        <v>59000</v>
      </c>
      <c r="AN71">
        <f t="shared" si="18"/>
        <v>535</v>
      </c>
    </row>
    <row r="72" spans="18:41" x14ac:dyDescent="0.25">
      <c r="X72">
        <v>60000</v>
      </c>
      <c r="Y72">
        <v>674</v>
      </c>
      <c r="Z72">
        <f>PRODUCT(X72*674,1/(300+674))</f>
        <v>41519.507186858318</v>
      </c>
      <c r="AA72">
        <v>60000</v>
      </c>
      <c r="AB72">
        <f t="shared" si="26"/>
        <v>730</v>
      </c>
      <c r="AD72">
        <v>60000</v>
      </c>
      <c r="AE72">
        <f>SUM(AE71,6)</f>
        <v>748</v>
      </c>
      <c r="AF72">
        <f>PRODUCT(AD72*748,1/(748+300))</f>
        <v>42824.427480916027</v>
      </c>
      <c r="AG72">
        <v>60000</v>
      </c>
      <c r="AH72">
        <v>750</v>
      </c>
      <c r="AI72">
        <f>PRODUCT(AG72*750,1/(750+300))</f>
        <v>42857.142857142855</v>
      </c>
      <c r="AJ72">
        <v>60000</v>
      </c>
      <c r="AK72">
        <v>750</v>
      </c>
      <c r="AL72">
        <f>PRODUCT(AJ72*750,1/(750+300))</f>
        <v>42857.142857142855</v>
      </c>
      <c r="AM72">
        <v>60000</v>
      </c>
      <c r="AN72">
        <f t="shared" si="18"/>
        <v>540</v>
      </c>
      <c r="AO72">
        <f>PRODUCT(AM72*540,1/(540+300))</f>
        <v>38571.428571428572</v>
      </c>
    </row>
    <row r="73" spans="18:41" x14ac:dyDescent="0.25">
      <c r="X73">
        <v>61000</v>
      </c>
      <c r="Y73">
        <v>678</v>
      </c>
      <c r="AA73">
        <v>61000</v>
      </c>
      <c r="AB73">
        <f t="shared" si="26"/>
        <v>735</v>
      </c>
      <c r="AD73">
        <v>61000</v>
      </c>
      <c r="AE73">
        <v>750</v>
      </c>
      <c r="AG73">
        <v>61000</v>
      </c>
      <c r="AH73">
        <v>750</v>
      </c>
      <c r="AJ73">
        <v>61000</v>
      </c>
      <c r="AK73">
        <v>750</v>
      </c>
      <c r="AM73">
        <v>61000</v>
      </c>
      <c r="AN73">
        <f t="shared" si="18"/>
        <v>545</v>
      </c>
    </row>
    <row r="74" spans="18:41" x14ac:dyDescent="0.25">
      <c r="X74">
        <v>62000</v>
      </c>
      <c r="Y74">
        <v>682</v>
      </c>
      <c r="AA74">
        <v>62000</v>
      </c>
      <c r="AB74">
        <f t="shared" si="26"/>
        <v>740</v>
      </c>
      <c r="AD74">
        <v>62000</v>
      </c>
      <c r="AE74">
        <v>750</v>
      </c>
      <c r="AG74">
        <v>62000</v>
      </c>
      <c r="AH74">
        <v>750</v>
      </c>
      <c r="AJ74">
        <v>62000</v>
      </c>
      <c r="AK74">
        <v>750</v>
      </c>
      <c r="AM74">
        <v>62000</v>
      </c>
      <c r="AN74">
        <f t="shared" si="18"/>
        <v>550</v>
      </c>
    </row>
    <row r="75" spans="18:41" x14ac:dyDescent="0.25">
      <c r="X75">
        <v>63000</v>
      </c>
      <c r="Y75">
        <v>686</v>
      </c>
      <c r="AA75">
        <v>63000</v>
      </c>
      <c r="AB75">
        <f t="shared" si="26"/>
        <v>745</v>
      </c>
      <c r="AD75">
        <v>63000</v>
      </c>
      <c r="AE75">
        <v>750</v>
      </c>
      <c r="AG75">
        <v>63000</v>
      </c>
      <c r="AH75">
        <v>750</v>
      </c>
      <c r="AJ75">
        <v>63000</v>
      </c>
      <c r="AK75">
        <v>750</v>
      </c>
      <c r="AM75">
        <v>63000</v>
      </c>
      <c r="AN75">
        <f t="shared" si="18"/>
        <v>555</v>
      </c>
    </row>
    <row r="76" spans="18:41" x14ac:dyDescent="0.25">
      <c r="X76">
        <v>64000</v>
      </c>
      <c r="Y76">
        <v>690</v>
      </c>
      <c r="AA76">
        <v>64000</v>
      </c>
      <c r="AB76">
        <f t="shared" si="26"/>
        <v>750</v>
      </c>
      <c r="AD76">
        <v>64000</v>
      </c>
      <c r="AE76">
        <v>750</v>
      </c>
      <c r="AG76">
        <v>64000</v>
      </c>
      <c r="AH76">
        <v>750</v>
      </c>
      <c r="AJ76">
        <v>64000</v>
      </c>
      <c r="AK76">
        <v>750</v>
      </c>
      <c r="AM76">
        <v>64000</v>
      </c>
      <c r="AN76">
        <f t="shared" si="18"/>
        <v>560</v>
      </c>
    </row>
    <row r="77" spans="18:41" x14ac:dyDescent="0.25">
      <c r="X77">
        <v>65000</v>
      </c>
      <c r="Y77">
        <v>694</v>
      </c>
      <c r="AA77">
        <v>65000</v>
      </c>
      <c r="AB77">
        <f>750</f>
        <v>750</v>
      </c>
      <c r="AD77">
        <v>65000</v>
      </c>
      <c r="AE77">
        <v>750</v>
      </c>
      <c r="AG77">
        <v>65000</v>
      </c>
      <c r="AH77">
        <v>750</v>
      </c>
      <c r="AJ77">
        <v>65000</v>
      </c>
      <c r="AK77">
        <v>750</v>
      </c>
      <c r="AM77">
        <v>65000</v>
      </c>
      <c r="AN77">
        <f t="shared" si="18"/>
        <v>565</v>
      </c>
    </row>
    <row r="78" spans="18:41" x14ac:dyDescent="0.25">
      <c r="X78">
        <v>66000</v>
      </c>
      <c r="Y78">
        <v>698</v>
      </c>
      <c r="AA78">
        <v>66000</v>
      </c>
      <c r="AB78">
        <f>750</f>
        <v>750</v>
      </c>
      <c r="AD78">
        <v>66000</v>
      </c>
      <c r="AE78">
        <v>750</v>
      </c>
      <c r="AG78">
        <v>66000</v>
      </c>
      <c r="AH78">
        <v>750</v>
      </c>
      <c r="AJ78">
        <v>66000</v>
      </c>
      <c r="AK78">
        <v>750</v>
      </c>
      <c r="AM78">
        <v>66000</v>
      </c>
      <c r="AN78">
        <f t="shared" si="18"/>
        <v>570</v>
      </c>
    </row>
    <row r="79" spans="18:41" x14ac:dyDescent="0.25">
      <c r="X79">
        <v>67000</v>
      </c>
      <c r="Y79">
        <v>702</v>
      </c>
      <c r="AA79">
        <v>67000</v>
      </c>
      <c r="AB79">
        <f>750</f>
        <v>750</v>
      </c>
      <c r="AD79">
        <v>67000</v>
      </c>
      <c r="AE79">
        <v>750</v>
      </c>
      <c r="AG79">
        <v>67000</v>
      </c>
      <c r="AH79">
        <v>750</v>
      </c>
      <c r="AJ79">
        <v>67000</v>
      </c>
      <c r="AK79">
        <v>750</v>
      </c>
      <c r="AM79">
        <v>67000</v>
      </c>
      <c r="AN79">
        <f t="shared" si="18"/>
        <v>575</v>
      </c>
    </row>
    <row r="80" spans="18:41" x14ac:dyDescent="0.25">
      <c r="X80">
        <v>68000</v>
      </c>
      <c r="Y80">
        <v>706</v>
      </c>
      <c r="AA80">
        <v>68000</v>
      </c>
      <c r="AB80">
        <f>750</f>
        <v>750</v>
      </c>
      <c r="AD80">
        <v>68000</v>
      </c>
      <c r="AE80">
        <v>750</v>
      </c>
      <c r="AG80">
        <v>68000</v>
      </c>
      <c r="AH80">
        <v>750</v>
      </c>
      <c r="AJ80">
        <v>68000</v>
      </c>
      <c r="AK80">
        <v>750</v>
      </c>
      <c r="AM80">
        <v>68000</v>
      </c>
      <c r="AN80">
        <f t="shared" si="18"/>
        <v>580</v>
      </c>
    </row>
    <row r="81" spans="24:40" x14ac:dyDescent="0.25">
      <c r="X81">
        <v>69000</v>
      </c>
      <c r="Y81">
        <v>710</v>
      </c>
      <c r="AA81">
        <v>69000</v>
      </c>
      <c r="AB81">
        <f>750</f>
        <v>750</v>
      </c>
      <c r="AD81">
        <v>69000</v>
      </c>
      <c r="AE81">
        <v>750</v>
      </c>
      <c r="AG81">
        <v>69000</v>
      </c>
      <c r="AH81">
        <v>750</v>
      </c>
      <c r="AJ81">
        <v>69000</v>
      </c>
      <c r="AK81">
        <v>750</v>
      </c>
      <c r="AM81">
        <v>69000</v>
      </c>
      <c r="AN81">
        <f t="shared" si="18"/>
        <v>585</v>
      </c>
    </row>
    <row r="82" spans="24:40" x14ac:dyDescent="0.25">
      <c r="X82">
        <v>70000</v>
      </c>
      <c r="Y82">
        <v>715</v>
      </c>
      <c r="Z82">
        <f>PRODUCT(X82*715,1/(300+715))</f>
        <v>49310.344827586203</v>
      </c>
      <c r="AA82">
        <v>70000</v>
      </c>
      <c r="AB82">
        <f>750</f>
        <v>750</v>
      </c>
      <c r="AC82">
        <f>PRODUCT(AA82*750,1/(750+300))</f>
        <v>50000</v>
      </c>
      <c r="AD82">
        <v>70000</v>
      </c>
      <c r="AE82">
        <v>750</v>
      </c>
      <c r="AG82">
        <v>70000</v>
      </c>
      <c r="AH82">
        <v>750</v>
      </c>
      <c r="AI82">
        <f>PRODUCT(AG82*750,1/(750+300))</f>
        <v>50000</v>
      </c>
      <c r="AJ82">
        <v>70000</v>
      </c>
      <c r="AK82">
        <v>750</v>
      </c>
      <c r="AM82">
        <v>70000</v>
      </c>
      <c r="AN82">
        <f t="shared" si="18"/>
        <v>590</v>
      </c>
    </row>
  </sheetData>
  <mergeCells count="8">
    <mergeCell ref="AJ22:AL22"/>
    <mergeCell ref="AM22:AO22"/>
    <mergeCell ref="R65:V65"/>
    <mergeCell ref="X7:AF7"/>
    <mergeCell ref="X22:Z22"/>
    <mergeCell ref="AA22:AC22"/>
    <mergeCell ref="AD22:AF22"/>
    <mergeCell ref="AG22:AI22"/>
  </mergeCells>
  <pageMargins left="0.7" right="0.7" top="0.75" bottom="0.75" header="0.3" footer="0.3"/>
  <pageSetup paperSize="9"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7"/>
  <sheetViews>
    <sheetView tabSelected="1" topLeftCell="A52" workbookViewId="0">
      <selection activeCell="Q153" sqref="Q153"/>
    </sheetView>
  </sheetViews>
  <sheetFormatPr baseColWidth="10" defaultRowHeight="15" x14ac:dyDescent="0.25"/>
  <cols>
    <col min="1" max="1" width="12.42578125" customWidth="1"/>
  </cols>
  <sheetData>
    <row r="1" spans="1:26" ht="30" customHeight="1" x14ac:dyDescent="0.25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25">
      <c r="A2" s="25" t="s">
        <v>39</v>
      </c>
      <c r="B2" s="24" t="s">
        <v>42</v>
      </c>
      <c r="C2" s="24"/>
      <c r="D2" s="24" t="s">
        <v>43</v>
      </c>
      <c r="E2" s="24"/>
      <c r="F2" s="24" t="s">
        <v>44</v>
      </c>
      <c r="G2" s="24"/>
      <c r="H2" s="24" t="s">
        <v>45</v>
      </c>
      <c r="I2" s="24"/>
      <c r="J2" s="24" t="s">
        <v>46</v>
      </c>
      <c r="K2" s="24"/>
      <c r="L2" s="24" t="s">
        <v>47</v>
      </c>
      <c r="M2" s="24"/>
      <c r="N2" s="24" t="s">
        <v>48</v>
      </c>
      <c r="O2" s="24"/>
    </row>
    <row r="3" spans="1:26" x14ac:dyDescent="0.25">
      <c r="A3" s="25"/>
      <c r="B3" t="s">
        <v>40</v>
      </c>
      <c r="C3" t="s">
        <v>41</v>
      </c>
      <c r="D3" t="s">
        <v>40</v>
      </c>
      <c r="E3" t="s">
        <v>41</v>
      </c>
      <c r="F3" t="s">
        <v>40</v>
      </c>
      <c r="G3" t="s">
        <v>41</v>
      </c>
      <c r="H3" t="s">
        <v>40</v>
      </c>
      <c r="I3" t="s">
        <v>41</v>
      </c>
      <c r="J3" t="s">
        <v>40</v>
      </c>
      <c r="K3" t="s">
        <v>41</v>
      </c>
      <c r="L3" t="s">
        <v>40</v>
      </c>
      <c r="M3" t="s">
        <v>41</v>
      </c>
      <c r="N3" t="s">
        <v>40</v>
      </c>
      <c r="O3" t="s">
        <v>41</v>
      </c>
    </row>
    <row r="4" spans="1:26" x14ac:dyDescent="0.25">
      <c r="A4">
        <v>12000</v>
      </c>
      <c r="B4">
        <v>420</v>
      </c>
      <c r="C4" s="9">
        <f>PRODUCT(A4,B4,1/(300+B4))</f>
        <v>7000</v>
      </c>
      <c r="D4">
        <v>420</v>
      </c>
      <c r="E4" s="9">
        <f>PRODUCT(A4,D4,1/(300+D4))</f>
        <v>7000</v>
      </c>
      <c r="F4">
        <v>0</v>
      </c>
      <c r="G4" s="9">
        <v>0</v>
      </c>
      <c r="H4">
        <v>0</v>
      </c>
      <c r="I4" s="9">
        <v>0</v>
      </c>
      <c r="J4">
        <v>0</v>
      </c>
      <c r="K4" s="9">
        <v>0</v>
      </c>
      <c r="L4">
        <v>0</v>
      </c>
      <c r="M4" s="9">
        <v>0</v>
      </c>
      <c r="N4">
        <v>0</v>
      </c>
      <c r="O4" s="9">
        <v>0</v>
      </c>
    </row>
    <row r="5" spans="1:26" x14ac:dyDescent="0.25">
      <c r="A5">
        <v>13000</v>
      </c>
      <c r="B5">
        <v>430</v>
      </c>
      <c r="C5" s="9">
        <f t="shared" ref="C5:C65" si="0">PRODUCT(A5,B5,1/(300+B5))</f>
        <v>7657.5342465753429</v>
      </c>
      <c r="D5">
        <f>SUM(D4,10)</f>
        <v>430</v>
      </c>
      <c r="E5" s="9">
        <f t="shared" ref="E5:E29" si="1">PRODUCT(A5,D5,1/(300+D5))</f>
        <v>7657.5342465753429</v>
      </c>
      <c r="F5">
        <v>460</v>
      </c>
      <c r="G5" s="9">
        <f t="shared" ref="G5:G46" si="2">PRODUCT(A5,F5,1/(300+F5))</f>
        <v>7868.4210526315792</v>
      </c>
      <c r="H5">
        <v>0</v>
      </c>
      <c r="I5" s="9">
        <v>0</v>
      </c>
      <c r="J5">
        <v>0</v>
      </c>
      <c r="K5" s="9">
        <v>0</v>
      </c>
      <c r="L5">
        <v>0</v>
      </c>
      <c r="M5" s="9">
        <v>0</v>
      </c>
      <c r="N5">
        <v>0</v>
      </c>
      <c r="O5" s="9">
        <v>0</v>
      </c>
    </row>
    <row r="6" spans="1:26" x14ac:dyDescent="0.25">
      <c r="A6">
        <v>14000</v>
      </c>
      <c r="B6">
        <v>440</v>
      </c>
      <c r="C6" s="9">
        <f t="shared" si="0"/>
        <v>8324.3243243243251</v>
      </c>
      <c r="D6">
        <f t="shared" ref="D6:D20" si="3">SUM(D5,10)</f>
        <v>440</v>
      </c>
      <c r="E6" s="9">
        <f t="shared" si="1"/>
        <v>8324.3243243243251</v>
      </c>
      <c r="F6">
        <f>SUM(F5,8)</f>
        <v>468</v>
      </c>
      <c r="G6" s="9">
        <f t="shared" si="2"/>
        <v>8531.25</v>
      </c>
      <c r="H6">
        <v>0</v>
      </c>
      <c r="I6" s="9">
        <v>0</v>
      </c>
      <c r="J6">
        <v>0</v>
      </c>
      <c r="K6" s="9">
        <v>0</v>
      </c>
      <c r="L6">
        <v>0</v>
      </c>
      <c r="M6" s="9">
        <v>0</v>
      </c>
      <c r="N6">
        <v>0</v>
      </c>
      <c r="O6" s="9">
        <v>0</v>
      </c>
    </row>
    <row r="7" spans="1:26" x14ac:dyDescent="0.25">
      <c r="A7">
        <v>15000</v>
      </c>
      <c r="B7">
        <v>450</v>
      </c>
      <c r="C7" s="9">
        <f t="shared" si="0"/>
        <v>9000</v>
      </c>
      <c r="D7">
        <f t="shared" si="3"/>
        <v>450</v>
      </c>
      <c r="E7" s="9">
        <f t="shared" si="1"/>
        <v>9000</v>
      </c>
      <c r="F7">
        <f t="shared" ref="F7:F9" si="4">SUM(F6,8)</f>
        <v>476</v>
      </c>
      <c r="G7" s="9">
        <f t="shared" si="2"/>
        <v>9201.0309278350505</v>
      </c>
      <c r="H7">
        <v>0</v>
      </c>
      <c r="I7" s="9">
        <v>0</v>
      </c>
      <c r="J7">
        <v>0</v>
      </c>
      <c r="K7" s="9">
        <v>0</v>
      </c>
      <c r="L7">
        <v>0</v>
      </c>
      <c r="M7" s="9">
        <v>0</v>
      </c>
      <c r="N7">
        <v>0</v>
      </c>
      <c r="O7" s="9">
        <v>0</v>
      </c>
    </row>
    <row r="8" spans="1:26" x14ac:dyDescent="0.25">
      <c r="A8">
        <v>16000</v>
      </c>
      <c r="B8">
        <v>460</v>
      </c>
      <c r="C8" s="9">
        <f t="shared" si="0"/>
        <v>9684.21052631579</v>
      </c>
      <c r="D8">
        <f t="shared" si="3"/>
        <v>460</v>
      </c>
      <c r="E8" s="9">
        <f t="shared" si="1"/>
        <v>9684.21052631579</v>
      </c>
      <c r="F8">
        <f t="shared" si="4"/>
        <v>484</v>
      </c>
      <c r="G8" s="9">
        <f t="shared" si="2"/>
        <v>9877.551020408162</v>
      </c>
      <c r="H8">
        <v>440</v>
      </c>
      <c r="I8" s="9">
        <f t="shared" ref="I8:I50" si="5">PRODUCT(A8,H8,1/(300+H8))</f>
        <v>9513.5135135135133</v>
      </c>
      <c r="J8">
        <v>0</v>
      </c>
      <c r="K8" s="9">
        <v>0</v>
      </c>
      <c r="L8">
        <v>0</v>
      </c>
      <c r="M8" s="9">
        <v>0</v>
      </c>
      <c r="N8">
        <v>0</v>
      </c>
      <c r="O8" s="9">
        <v>0</v>
      </c>
    </row>
    <row r="9" spans="1:26" x14ac:dyDescent="0.25">
      <c r="A9">
        <v>17000</v>
      </c>
      <c r="B9">
        <v>470</v>
      </c>
      <c r="C9" s="9">
        <f t="shared" si="0"/>
        <v>10376.623376623376</v>
      </c>
      <c r="D9">
        <f t="shared" si="3"/>
        <v>470</v>
      </c>
      <c r="E9" s="9">
        <f t="shared" si="1"/>
        <v>10376.623376623376</v>
      </c>
      <c r="F9">
        <f t="shared" si="4"/>
        <v>492</v>
      </c>
      <c r="G9" s="9">
        <f t="shared" si="2"/>
        <v>10560.606060606062</v>
      </c>
      <c r="H9">
        <f t="shared" ref="H9" si="6">SUM(H8,8)</f>
        <v>448</v>
      </c>
      <c r="I9" s="9">
        <f t="shared" si="5"/>
        <v>10181.818181818182</v>
      </c>
      <c r="J9">
        <v>0</v>
      </c>
      <c r="K9" s="9">
        <v>0</v>
      </c>
      <c r="L9">
        <v>0</v>
      </c>
      <c r="M9" s="9">
        <v>0</v>
      </c>
      <c r="N9">
        <v>0</v>
      </c>
      <c r="O9" s="9">
        <v>0</v>
      </c>
    </row>
    <row r="10" spans="1:26" x14ac:dyDescent="0.25">
      <c r="A10">
        <v>18000</v>
      </c>
      <c r="B10">
        <v>480</v>
      </c>
      <c r="C10" s="9">
        <f t="shared" si="0"/>
        <v>11076.923076923076</v>
      </c>
      <c r="D10">
        <f t="shared" si="3"/>
        <v>480</v>
      </c>
      <c r="E10" s="9">
        <f t="shared" si="1"/>
        <v>11076.923076923076</v>
      </c>
      <c r="F10">
        <f>SUM(F9,9)</f>
        <v>501</v>
      </c>
      <c r="G10" s="9">
        <f t="shared" si="2"/>
        <v>11258.426966292134</v>
      </c>
      <c r="H10">
        <f>SUM(H9,9)</f>
        <v>457</v>
      </c>
      <c r="I10" s="9">
        <f t="shared" si="5"/>
        <v>10866.5785997358</v>
      </c>
      <c r="J10">
        <v>0</v>
      </c>
      <c r="K10" s="9">
        <v>0</v>
      </c>
      <c r="L10">
        <v>0</v>
      </c>
      <c r="M10" s="9">
        <v>0</v>
      </c>
      <c r="N10">
        <v>0</v>
      </c>
      <c r="O10" s="9">
        <v>0</v>
      </c>
    </row>
    <row r="11" spans="1:26" x14ac:dyDescent="0.25">
      <c r="A11">
        <v>19000</v>
      </c>
      <c r="B11">
        <v>490</v>
      </c>
      <c r="C11" s="9">
        <f t="shared" si="0"/>
        <v>11784.810126582279</v>
      </c>
      <c r="D11">
        <f t="shared" si="3"/>
        <v>490</v>
      </c>
      <c r="E11" s="9">
        <f t="shared" si="1"/>
        <v>11784.810126582279</v>
      </c>
      <c r="F11">
        <f t="shared" ref="F11:F13" si="7">SUM(F10,9)</f>
        <v>510</v>
      </c>
      <c r="G11" s="9">
        <f t="shared" si="2"/>
        <v>11962.962962962964</v>
      </c>
      <c r="H11">
        <f t="shared" ref="H11:H39" si="8">SUM(H10,9)</f>
        <v>466</v>
      </c>
      <c r="I11" s="9">
        <f t="shared" si="5"/>
        <v>11558.746736292429</v>
      </c>
      <c r="J11">
        <v>466</v>
      </c>
      <c r="K11" s="9">
        <f t="shared" ref="K11:K60" si="9">PRODUCT(A11,J11,1/(300+J11))</f>
        <v>11558.746736292429</v>
      </c>
      <c r="L11">
        <v>0</v>
      </c>
      <c r="M11" s="9">
        <v>0</v>
      </c>
      <c r="N11">
        <v>0</v>
      </c>
      <c r="O11" s="9">
        <v>0</v>
      </c>
    </row>
    <row r="12" spans="1:26" x14ac:dyDescent="0.25">
      <c r="A12">
        <v>20000</v>
      </c>
      <c r="B12">
        <v>500</v>
      </c>
      <c r="C12" s="9">
        <f t="shared" si="0"/>
        <v>12500</v>
      </c>
      <c r="D12">
        <f t="shared" si="3"/>
        <v>500</v>
      </c>
      <c r="E12" s="9">
        <f t="shared" si="1"/>
        <v>12500</v>
      </c>
      <c r="F12">
        <f t="shared" si="7"/>
        <v>519</v>
      </c>
      <c r="G12" s="9">
        <f t="shared" si="2"/>
        <v>12673.992673992674</v>
      </c>
      <c r="H12">
        <f t="shared" si="8"/>
        <v>475</v>
      </c>
      <c r="I12" s="9">
        <f t="shared" si="5"/>
        <v>12258.064516129032</v>
      </c>
      <c r="J12">
        <f t="shared" ref="J12:J14" si="10">SUM(J11,3)</f>
        <v>469</v>
      </c>
      <c r="K12" s="9">
        <f t="shared" si="9"/>
        <v>12197.659297789338</v>
      </c>
      <c r="L12">
        <v>0</v>
      </c>
      <c r="M12" s="9">
        <v>0</v>
      </c>
      <c r="N12">
        <v>0</v>
      </c>
      <c r="O12" s="9">
        <v>0</v>
      </c>
    </row>
    <row r="13" spans="1:26" x14ac:dyDescent="0.25">
      <c r="A13">
        <v>21000</v>
      </c>
      <c r="B13">
        <v>510</v>
      </c>
      <c r="C13" s="9">
        <f t="shared" si="0"/>
        <v>13222.222222222223</v>
      </c>
      <c r="D13">
        <f t="shared" si="3"/>
        <v>510</v>
      </c>
      <c r="E13" s="9">
        <f t="shared" si="1"/>
        <v>13222.222222222223</v>
      </c>
      <c r="F13">
        <f t="shared" si="7"/>
        <v>528</v>
      </c>
      <c r="G13" s="9">
        <f t="shared" si="2"/>
        <v>13391.304347826086</v>
      </c>
      <c r="H13">
        <f t="shared" si="8"/>
        <v>484</v>
      </c>
      <c r="I13" s="9">
        <f t="shared" si="5"/>
        <v>12964.285714285714</v>
      </c>
      <c r="J13">
        <f t="shared" si="10"/>
        <v>472</v>
      </c>
      <c r="K13" s="9">
        <f t="shared" si="9"/>
        <v>12839.378238341969</v>
      </c>
      <c r="L13">
        <v>0</v>
      </c>
      <c r="M13" s="9">
        <v>0</v>
      </c>
      <c r="N13">
        <v>0</v>
      </c>
      <c r="O13" s="9">
        <v>0</v>
      </c>
    </row>
    <row r="14" spans="1:26" x14ac:dyDescent="0.25">
      <c r="A14">
        <v>22000</v>
      </c>
      <c r="B14">
        <v>520</v>
      </c>
      <c r="C14" s="9">
        <f t="shared" si="0"/>
        <v>13951.219512195123</v>
      </c>
      <c r="D14">
        <f t="shared" si="3"/>
        <v>520</v>
      </c>
      <c r="E14" s="9">
        <f t="shared" si="1"/>
        <v>13951.219512195123</v>
      </c>
      <c r="F14">
        <f>SUM(F13,10)</f>
        <v>538</v>
      </c>
      <c r="G14" s="9">
        <f t="shared" si="2"/>
        <v>14124.105011933176</v>
      </c>
      <c r="H14">
        <f t="shared" si="8"/>
        <v>493</v>
      </c>
      <c r="I14" s="9">
        <f t="shared" si="5"/>
        <v>13677.17528373266</v>
      </c>
      <c r="J14">
        <f t="shared" si="10"/>
        <v>475</v>
      </c>
      <c r="K14" s="9">
        <f t="shared" si="9"/>
        <v>13483.870967741936</v>
      </c>
      <c r="L14">
        <v>0</v>
      </c>
      <c r="M14" s="9">
        <v>0</v>
      </c>
      <c r="N14">
        <v>0</v>
      </c>
      <c r="O14" s="9">
        <v>0</v>
      </c>
    </row>
    <row r="15" spans="1:26" x14ac:dyDescent="0.25">
      <c r="A15">
        <v>23000</v>
      </c>
      <c r="B15">
        <v>530</v>
      </c>
      <c r="C15" s="9">
        <f t="shared" si="0"/>
        <v>14686.746987951808</v>
      </c>
      <c r="D15">
        <f t="shared" si="3"/>
        <v>530</v>
      </c>
      <c r="E15" s="9">
        <f t="shared" si="1"/>
        <v>14686.746987951808</v>
      </c>
      <c r="F15">
        <f t="shared" ref="F15:F30" si="11">SUM(F14,10)</f>
        <v>548</v>
      </c>
      <c r="G15" s="9">
        <f t="shared" si="2"/>
        <v>14863.20754716981</v>
      </c>
      <c r="H15">
        <f t="shared" si="8"/>
        <v>502</v>
      </c>
      <c r="I15" s="9">
        <f t="shared" si="5"/>
        <v>14396.508728179551</v>
      </c>
      <c r="J15">
        <f>SUM(J14,6)</f>
        <v>481</v>
      </c>
      <c r="K15" s="9">
        <f t="shared" si="9"/>
        <v>14165.1728553137</v>
      </c>
      <c r="L15">
        <v>0</v>
      </c>
      <c r="M15" s="9">
        <v>0</v>
      </c>
      <c r="N15">
        <v>0</v>
      </c>
      <c r="O15" s="9">
        <v>0</v>
      </c>
    </row>
    <row r="16" spans="1:26" x14ac:dyDescent="0.25">
      <c r="A16">
        <v>24000</v>
      </c>
      <c r="B16">
        <v>540</v>
      </c>
      <c r="C16" s="9">
        <f t="shared" si="0"/>
        <v>15428.571428571429</v>
      </c>
      <c r="D16">
        <f t="shared" si="3"/>
        <v>540</v>
      </c>
      <c r="E16" s="9">
        <f t="shared" si="1"/>
        <v>15428.571428571429</v>
      </c>
      <c r="F16">
        <f t="shared" si="11"/>
        <v>558</v>
      </c>
      <c r="G16" s="9">
        <f t="shared" si="2"/>
        <v>15608.391608391608</v>
      </c>
      <c r="H16">
        <f t="shared" si="8"/>
        <v>511</v>
      </c>
      <c r="I16" s="9">
        <f t="shared" si="5"/>
        <v>15122.071516646116</v>
      </c>
      <c r="J16">
        <f t="shared" ref="J16:J19" si="12">SUM(J15,6)</f>
        <v>487</v>
      </c>
      <c r="K16" s="9">
        <f t="shared" si="9"/>
        <v>14851.334180432021</v>
      </c>
      <c r="L16">
        <v>0</v>
      </c>
      <c r="M16" s="9">
        <v>0</v>
      </c>
      <c r="N16">
        <v>0</v>
      </c>
      <c r="O16" s="9">
        <v>0</v>
      </c>
    </row>
    <row r="17" spans="1:15" x14ac:dyDescent="0.25">
      <c r="A17">
        <v>25000</v>
      </c>
      <c r="B17">
        <v>550</v>
      </c>
      <c r="C17" s="9">
        <f t="shared" si="0"/>
        <v>16176.470588235292</v>
      </c>
      <c r="D17">
        <f t="shared" si="3"/>
        <v>550</v>
      </c>
      <c r="E17" s="9">
        <f t="shared" si="1"/>
        <v>16176.470588235292</v>
      </c>
      <c r="F17">
        <f t="shared" si="11"/>
        <v>568</v>
      </c>
      <c r="G17" s="9">
        <f t="shared" si="2"/>
        <v>16359.447004608295</v>
      </c>
      <c r="H17">
        <f t="shared" si="8"/>
        <v>520</v>
      </c>
      <c r="I17" s="9">
        <f t="shared" si="5"/>
        <v>15853.658536585366</v>
      </c>
      <c r="J17">
        <f t="shared" si="12"/>
        <v>493</v>
      </c>
      <c r="K17" s="9">
        <f t="shared" si="9"/>
        <v>15542.244640605297</v>
      </c>
      <c r="L17">
        <v>0</v>
      </c>
      <c r="M17" s="9">
        <v>0</v>
      </c>
      <c r="N17">
        <v>0</v>
      </c>
      <c r="O17" s="9">
        <v>0</v>
      </c>
    </row>
    <row r="18" spans="1:15" x14ac:dyDescent="0.25">
      <c r="A18">
        <v>26000</v>
      </c>
      <c r="B18">
        <v>560</v>
      </c>
      <c r="C18" s="9">
        <f t="shared" si="0"/>
        <v>16930.232558139534</v>
      </c>
      <c r="D18">
        <f t="shared" si="3"/>
        <v>560</v>
      </c>
      <c r="E18" s="9">
        <f t="shared" si="1"/>
        <v>16930.232558139534</v>
      </c>
      <c r="F18">
        <f t="shared" si="11"/>
        <v>578</v>
      </c>
      <c r="G18" s="9">
        <f t="shared" si="2"/>
        <v>17116.17312072893</v>
      </c>
      <c r="H18">
        <f t="shared" si="8"/>
        <v>529</v>
      </c>
      <c r="I18" s="9">
        <f t="shared" si="5"/>
        <v>16591.073582629673</v>
      </c>
      <c r="J18">
        <f t="shared" si="12"/>
        <v>499</v>
      </c>
      <c r="K18" s="9">
        <f t="shared" si="9"/>
        <v>16237.797246558199</v>
      </c>
      <c r="L18">
        <v>580</v>
      </c>
      <c r="M18" s="9">
        <f t="shared" ref="M18:M65" si="13">PRODUCT(A18,L18,1/(300+L18))</f>
        <v>17136.363636363636</v>
      </c>
      <c r="N18">
        <v>0</v>
      </c>
      <c r="O18" s="9">
        <v>0</v>
      </c>
    </row>
    <row r="19" spans="1:15" x14ac:dyDescent="0.25">
      <c r="A19">
        <v>27000</v>
      </c>
      <c r="B19">
        <v>570</v>
      </c>
      <c r="C19" s="9">
        <f t="shared" si="0"/>
        <v>17689.655172413793</v>
      </c>
      <c r="D19">
        <f t="shared" si="3"/>
        <v>570</v>
      </c>
      <c r="E19" s="9">
        <f t="shared" si="1"/>
        <v>17689.655172413793</v>
      </c>
      <c r="F19">
        <f t="shared" si="11"/>
        <v>588</v>
      </c>
      <c r="G19" s="9">
        <f t="shared" si="2"/>
        <v>17878.378378378377</v>
      </c>
      <c r="H19">
        <f t="shared" si="8"/>
        <v>538</v>
      </c>
      <c r="I19" s="9">
        <f t="shared" si="5"/>
        <v>17334.128878281623</v>
      </c>
      <c r="J19">
        <f t="shared" si="12"/>
        <v>505</v>
      </c>
      <c r="K19" s="9">
        <f t="shared" si="9"/>
        <v>16937.888198757766</v>
      </c>
      <c r="L19">
        <f>SUM(L18,6)</f>
        <v>586</v>
      </c>
      <c r="M19" s="9">
        <f t="shared" si="13"/>
        <v>17857.787810383747</v>
      </c>
      <c r="N19">
        <v>0</v>
      </c>
      <c r="O19" s="9">
        <v>0</v>
      </c>
    </row>
    <row r="20" spans="1:15" x14ac:dyDescent="0.25">
      <c r="A20">
        <v>28000</v>
      </c>
      <c r="B20">
        <v>580</v>
      </c>
      <c r="C20" s="9">
        <f t="shared" si="0"/>
        <v>18454.545454545452</v>
      </c>
      <c r="D20">
        <f t="shared" si="3"/>
        <v>580</v>
      </c>
      <c r="E20" s="9">
        <f t="shared" si="1"/>
        <v>18454.545454545452</v>
      </c>
      <c r="F20">
        <f t="shared" si="11"/>
        <v>598</v>
      </c>
      <c r="G20" s="9">
        <f t="shared" si="2"/>
        <v>18645.87973273942</v>
      </c>
      <c r="H20">
        <f t="shared" si="8"/>
        <v>547</v>
      </c>
      <c r="I20" s="9">
        <f t="shared" si="5"/>
        <v>18082.644628099173</v>
      </c>
      <c r="J20">
        <f>SUM(J19,9)</f>
        <v>514</v>
      </c>
      <c r="K20" s="9">
        <f t="shared" si="9"/>
        <v>17680.589680589681</v>
      </c>
      <c r="L20">
        <f t="shared" ref="L20:L21" si="14">SUM(L19,6)</f>
        <v>592</v>
      </c>
      <c r="M20" s="9">
        <f t="shared" si="13"/>
        <v>18582.959641255606</v>
      </c>
      <c r="N20">
        <v>0</v>
      </c>
      <c r="O20" s="9">
        <v>0</v>
      </c>
    </row>
    <row r="21" spans="1:15" x14ac:dyDescent="0.25">
      <c r="A21">
        <v>29000</v>
      </c>
      <c r="B21">
        <v>582</v>
      </c>
      <c r="C21" s="9">
        <f t="shared" si="0"/>
        <v>19136.054421768709</v>
      </c>
      <c r="D21">
        <f>SUM(D20,14)</f>
        <v>594</v>
      </c>
      <c r="E21" s="9">
        <f t="shared" si="1"/>
        <v>19268.456375838927</v>
      </c>
      <c r="F21">
        <f t="shared" si="11"/>
        <v>608</v>
      </c>
      <c r="G21" s="9">
        <f t="shared" si="2"/>
        <v>19418.502202643172</v>
      </c>
      <c r="H21">
        <f t="shared" si="8"/>
        <v>556</v>
      </c>
      <c r="I21" s="9">
        <f t="shared" si="5"/>
        <v>18836.448598130839</v>
      </c>
      <c r="J21">
        <f t="shared" ref="J21:J29" si="15">SUM(J20,9)</f>
        <v>523</v>
      </c>
      <c r="K21" s="9">
        <f t="shared" si="9"/>
        <v>18428.918590522477</v>
      </c>
      <c r="L21">
        <f t="shared" si="14"/>
        <v>598</v>
      </c>
      <c r="M21" s="9">
        <f t="shared" si="13"/>
        <v>19311.804008908686</v>
      </c>
      <c r="N21">
        <v>0</v>
      </c>
      <c r="O21" s="9">
        <v>0</v>
      </c>
    </row>
    <row r="22" spans="1:15" x14ac:dyDescent="0.25">
      <c r="A22">
        <v>30000</v>
      </c>
      <c r="B22">
        <v>584</v>
      </c>
      <c r="C22" s="9">
        <f t="shared" si="0"/>
        <v>19819.004524886881</v>
      </c>
      <c r="D22">
        <f t="shared" ref="D22:D29" si="16">SUM(D21,14)</f>
        <v>608</v>
      </c>
      <c r="E22" s="9">
        <f t="shared" si="1"/>
        <v>20088.105726872247</v>
      </c>
      <c r="F22">
        <f t="shared" si="11"/>
        <v>618</v>
      </c>
      <c r="G22" s="9">
        <f t="shared" si="2"/>
        <v>20196.078431372553</v>
      </c>
      <c r="H22">
        <f t="shared" si="8"/>
        <v>565</v>
      </c>
      <c r="I22" s="9">
        <f t="shared" si="5"/>
        <v>19595.375722543355</v>
      </c>
      <c r="J22">
        <f t="shared" si="15"/>
        <v>532</v>
      </c>
      <c r="K22" s="9">
        <f t="shared" si="9"/>
        <v>19182.692307692309</v>
      </c>
      <c r="L22">
        <f>SUM(L21,7)</f>
        <v>605</v>
      </c>
      <c r="M22" s="9">
        <f t="shared" si="13"/>
        <v>20055.248618784532</v>
      </c>
      <c r="N22">
        <v>0</v>
      </c>
      <c r="O22" s="9">
        <v>0</v>
      </c>
    </row>
    <row r="23" spans="1:15" x14ac:dyDescent="0.25">
      <c r="A23">
        <v>31000</v>
      </c>
      <c r="B23">
        <v>586</v>
      </c>
      <c r="C23" s="9">
        <f t="shared" si="0"/>
        <v>20503.386004514672</v>
      </c>
      <c r="D23">
        <f t="shared" si="16"/>
        <v>622</v>
      </c>
      <c r="E23" s="9">
        <f t="shared" si="1"/>
        <v>20913.232104121475</v>
      </c>
      <c r="F23">
        <f t="shared" si="11"/>
        <v>628</v>
      </c>
      <c r="G23" s="9">
        <f t="shared" si="2"/>
        <v>20978.448275862069</v>
      </c>
      <c r="H23">
        <f t="shared" si="8"/>
        <v>574</v>
      </c>
      <c r="I23" s="9">
        <f t="shared" si="5"/>
        <v>20359.267734553774</v>
      </c>
      <c r="J23">
        <f t="shared" si="15"/>
        <v>541</v>
      </c>
      <c r="K23" s="9">
        <f t="shared" si="9"/>
        <v>19941.736028537453</v>
      </c>
      <c r="L23">
        <f t="shared" ref="L23:L24" si="17">SUM(L22,7)</f>
        <v>612</v>
      </c>
      <c r="M23" s="9">
        <f t="shared" si="13"/>
        <v>20802.631578947367</v>
      </c>
      <c r="N23">
        <v>0</v>
      </c>
      <c r="O23" s="9">
        <v>0</v>
      </c>
    </row>
    <row r="24" spans="1:15" x14ac:dyDescent="0.25">
      <c r="A24">
        <v>32000</v>
      </c>
      <c r="B24">
        <v>588</v>
      </c>
      <c r="C24" s="9">
        <f t="shared" si="0"/>
        <v>21189.18918918919</v>
      </c>
      <c r="D24">
        <f t="shared" si="16"/>
        <v>636</v>
      </c>
      <c r="E24" s="9">
        <f t="shared" si="1"/>
        <v>21743.589743589746</v>
      </c>
      <c r="F24">
        <f t="shared" si="11"/>
        <v>638</v>
      </c>
      <c r="G24" s="9">
        <f t="shared" si="2"/>
        <v>21765.458422174841</v>
      </c>
      <c r="H24">
        <f t="shared" si="8"/>
        <v>583</v>
      </c>
      <c r="I24" s="9">
        <f t="shared" si="5"/>
        <v>21127.972819932053</v>
      </c>
      <c r="J24">
        <f t="shared" si="15"/>
        <v>550</v>
      </c>
      <c r="K24" s="9">
        <f t="shared" si="9"/>
        <v>20705.882352941175</v>
      </c>
      <c r="L24">
        <f t="shared" si="17"/>
        <v>619</v>
      </c>
      <c r="M24" s="9">
        <f t="shared" si="13"/>
        <v>21553.862894450489</v>
      </c>
      <c r="N24">
        <v>0</v>
      </c>
      <c r="O24" s="9">
        <v>0</v>
      </c>
    </row>
    <row r="25" spans="1:15" x14ac:dyDescent="0.25">
      <c r="A25">
        <v>33000</v>
      </c>
      <c r="B25">
        <v>590</v>
      </c>
      <c r="C25" s="9">
        <f t="shared" si="0"/>
        <v>21876.404494382023</v>
      </c>
      <c r="D25">
        <f t="shared" si="16"/>
        <v>650</v>
      </c>
      <c r="E25" s="9">
        <f t="shared" si="1"/>
        <v>22578.947368421053</v>
      </c>
      <c r="F25">
        <f t="shared" si="11"/>
        <v>648</v>
      </c>
      <c r="G25" s="9">
        <f t="shared" si="2"/>
        <v>22556.962025316454</v>
      </c>
      <c r="H25">
        <f t="shared" si="8"/>
        <v>592</v>
      </c>
      <c r="I25" s="9">
        <f t="shared" si="5"/>
        <v>21901.345291479822</v>
      </c>
      <c r="J25">
        <f t="shared" si="15"/>
        <v>559</v>
      </c>
      <c r="K25" s="9">
        <f t="shared" si="9"/>
        <v>21474.970896391151</v>
      </c>
      <c r="L25">
        <f>SUM(L24,8)</f>
        <v>627</v>
      </c>
      <c r="M25" s="9">
        <f t="shared" si="13"/>
        <v>22320.38834951456</v>
      </c>
      <c r="N25">
        <v>0</v>
      </c>
      <c r="O25" s="9">
        <v>0</v>
      </c>
    </row>
    <row r="26" spans="1:15" x14ac:dyDescent="0.25">
      <c r="A26">
        <v>34000</v>
      </c>
      <c r="B26">
        <v>592</v>
      </c>
      <c r="C26" s="9">
        <f t="shared" si="0"/>
        <v>22565.022421524664</v>
      </c>
      <c r="D26">
        <f t="shared" si="16"/>
        <v>664</v>
      </c>
      <c r="E26" s="9">
        <f t="shared" si="1"/>
        <v>23419.087136929462</v>
      </c>
      <c r="F26">
        <f t="shared" si="11"/>
        <v>658</v>
      </c>
      <c r="G26" s="9">
        <f t="shared" si="2"/>
        <v>23352.818371607515</v>
      </c>
      <c r="H26">
        <f t="shared" si="8"/>
        <v>601</v>
      </c>
      <c r="I26" s="9">
        <f t="shared" si="5"/>
        <v>22679.245283018867</v>
      </c>
      <c r="J26">
        <f t="shared" si="15"/>
        <v>568</v>
      </c>
      <c r="K26" s="9">
        <f t="shared" si="9"/>
        <v>22248.847926267281</v>
      </c>
      <c r="L26">
        <f t="shared" ref="L26:L28" si="18">SUM(L25,8)</f>
        <v>635</v>
      </c>
      <c r="M26" s="9">
        <f t="shared" si="13"/>
        <v>23090.909090909092</v>
      </c>
      <c r="N26">
        <v>700</v>
      </c>
      <c r="O26" s="9">
        <f t="shared" ref="O26:O65" si="19">PRODUCT(A26,N26,1/(300+N26))</f>
        <v>23800</v>
      </c>
    </row>
    <row r="27" spans="1:15" x14ac:dyDescent="0.25">
      <c r="A27">
        <v>35000</v>
      </c>
      <c r="B27">
        <v>594</v>
      </c>
      <c r="C27" s="9">
        <f t="shared" si="0"/>
        <v>23255.03355704698</v>
      </c>
      <c r="D27">
        <f t="shared" si="16"/>
        <v>678</v>
      </c>
      <c r="E27" s="9">
        <f t="shared" si="1"/>
        <v>24263.803680981597</v>
      </c>
      <c r="F27">
        <f t="shared" si="11"/>
        <v>668</v>
      </c>
      <c r="G27" s="9">
        <f t="shared" si="2"/>
        <v>24152.89256198347</v>
      </c>
      <c r="H27">
        <f t="shared" si="8"/>
        <v>610</v>
      </c>
      <c r="I27" s="9">
        <f t="shared" si="5"/>
        <v>23461.538461538461</v>
      </c>
      <c r="J27">
        <f t="shared" si="15"/>
        <v>577</v>
      </c>
      <c r="K27" s="9">
        <f t="shared" si="9"/>
        <v>23027.366020524518</v>
      </c>
      <c r="L27">
        <f t="shared" si="18"/>
        <v>643</v>
      </c>
      <c r="M27" s="9">
        <f t="shared" si="13"/>
        <v>23865.323435843056</v>
      </c>
      <c r="N27">
        <f t="shared" ref="N27:N30" si="20">SUM(N26,7)</f>
        <v>707</v>
      </c>
      <c r="O27" s="9">
        <f t="shared" si="19"/>
        <v>24572.989076464746</v>
      </c>
    </row>
    <row r="28" spans="1:15" x14ac:dyDescent="0.25">
      <c r="A28">
        <v>36000</v>
      </c>
      <c r="B28">
        <v>596</v>
      </c>
      <c r="C28" s="9">
        <f t="shared" si="0"/>
        <v>23946.428571428569</v>
      </c>
      <c r="D28">
        <f t="shared" si="16"/>
        <v>692</v>
      </c>
      <c r="E28" s="9">
        <f t="shared" si="1"/>
        <v>25112.903225806451</v>
      </c>
      <c r="F28">
        <f t="shared" si="11"/>
        <v>678</v>
      </c>
      <c r="G28" s="9">
        <f t="shared" si="2"/>
        <v>24957.055214723929</v>
      </c>
      <c r="H28">
        <f t="shared" si="8"/>
        <v>619</v>
      </c>
      <c r="I28" s="9">
        <f t="shared" si="5"/>
        <v>24248.0957562568</v>
      </c>
      <c r="J28">
        <f t="shared" si="15"/>
        <v>586</v>
      </c>
      <c r="K28" s="9">
        <f t="shared" si="9"/>
        <v>23810.383747178326</v>
      </c>
      <c r="L28">
        <f t="shared" si="18"/>
        <v>651</v>
      </c>
      <c r="M28" s="9">
        <f t="shared" si="13"/>
        <v>24643.533123028392</v>
      </c>
      <c r="N28">
        <f t="shared" si="20"/>
        <v>714</v>
      </c>
      <c r="O28" s="9">
        <f t="shared" si="19"/>
        <v>25349.112426035503</v>
      </c>
    </row>
    <row r="29" spans="1:15" x14ac:dyDescent="0.25">
      <c r="A29">
        <v>37000</v>
      </c>
      <c r="B29">
        <v>598</v>
      </c>
      <c r="C29" s="9">
        <f t="shared" si="0"/>
        <v>24639.198218262805</v>
      </c>
      <c r="D29">
        <f t="shared" si="16"/>
        <v>706</v>
      </c>
      <c r="E29" s="9">
        <f t="shared" si="1"/>
        <v>25966.202783300196</v>
      </c>
      <c r="F29">
        <f t="shared" si="11"/>
        <v>688</v>
      </c>
      <c r="G29" s="9">
        <f t="shared" si="2"/>
        <v>25765.182186234819</v>
      </c>
      <c r="H29">
        <f t="shared" si="8"/>
        <v>628</v>
      </c>
      <c r="I29" s="9">
        <f t="shared" si="5"/>
        <v>25038.793103448275</v>
      </c>
      <c r="J29">
        <f t="shared" si="15"/>
        <v>595</v>
      </c>
      <c r="K29" s="9">
        <f t="shared" si="9"/>
        <v>24597.765363128488</v>
      </c>
      <c r="L29">
        <f>SUM(L28,9)</f>
        <v>660</v>
      </c>
      <c r="M29" s="9">
        <f t="shared" si="13"/>
        <v>25437.5</v>
      </c>
      <c r="N29">
        <f t="shared" si="20"/>
        <v>721</v>
      </c>
      <c r="O29" s="9">
        <f t="shared" si="19"/>
        <v>26128.305582761997</v>
      </c>
    </row>
    <row r="30" spans="1:15" x14ac:dyDescent="0.25">
      <c r="A30">
        <v>38000</v>
      </c>
      <c r="B30">
        <v>0</v>
      </c>
      <c r="C30" s="9">
        <f t="shared" si="0"/>
        <v>0</v>
      </c>
      <c r="D30">
        <v>0</v>
      </c>
      <c r="E30">
        <v>0</v>
      </c>
      <c r="F30">
        <f t="shared" si="11"/>
        <v>698</v>
      </c>
      <c r="G30" s="9">
        <f t="shared" si="2"/>
        <v>26577.154308617231</v>
      </c>
      <c r="H30">
        <f t="shared" si="8"/>
        <v>637</v>
      </c>
      <c r="I30" s="9">
        <f t="shared" si="5"/>
        <v>25833.511205976523</v>
      </c>
      <c r="J30">
        <f>SUM(J29,10)</f>
        <v>605</v>
      </c>
      <c r="K30" s="9">
        <f t="shared" si="9"/>
        <v>25403.314917127074</v>
      </c>
      <c r="L30">
        <f t="shared" ref="L30:L32" si="21">SUM(L29,9)</f>
        <v>669</v>
      </c>
      <c r="M30" s="9">
        <f t="shared" si="13"/>
        <v>26235.294117647056</v>
      </c>
      <c r="N30">
        <f t="shared" si="20"/>
        <v>728</v>
      </c>
      <c r="O30" s="9">
        <f t="shared" si="19"/>
        <v>26910.505836575874</v>
      </c>
    </row>
    <row r="31" spans="1:15" x14ac:dyDescent="0.25">
      <c r="A31">
        <v>39000</v>
      </c>
      <c r="B31">
        <v>0</v>
      </c>
      <c r="C31" s="9">
        <f t="shared" si="0"/>
        <v>0</v>
      </c>
      <c r="D31">
        <v>0</v>
      </c>
      <c r="E31">
        <v>0</v>
      </c>
      <c r="F31">
        <f t="shared" ref="F31:F32" si="22">SUM(F30,10)</f>
        <v>708</v>
      </c>
      <c r="G31" s="9">
        <f t="shared" si="2"/>
        <v>27392.857142857141</v>
      </c>
      <c r="H31">
        <f t="shared" si="8"/>
        <v>646</v>
      </c>
      <c r="I31" s="9">
        <f t="shared" si="5"/>
        <v>26632.135306553912</v>
      </c>
      <c r="J31">
        <f t="shared" ref="J31:J37" si="23">SUM(J30,10)</f>
        <v>615</v>
      </c>
      <c r="K31" s="9">
        <f t="shared" si="9"/>
        <v>26213.114754098362</v>
      </c>
      <c r="L31">
        <f t="shared" si="21"/>
        <v>678</v>
      </c>
      <c r="M31" s="9">
        <f t="shared" si="13"/>
        <v>27036.809815950925</v>
      </c>
      <c r="N31">
        <f>SUM(N30,8)</f>
        <v>736</v>
      </c>
      <c r="O31" s="9">
        <f t="shared" si="19"/>
        <v>27706.563706563706</v>
      </c>
    </row>
    <row r="32" spans="1:15" x14ac:dyDescent="0.25">
      <c r="A32">
        <v>40000</v>
      </c>
      <c r="B32">
        <v>0</v>
      </c>
      <c r="C32" s="9">
        <f t="shared" si="0"/>
        <v>0</v>
      </c>
      <c r="D32">
        <v>0</v>
      </c>
      <c r="E32">
        <v>0</v>
      </c>
      <c r="F32">
        <f t="shared" si="22"/>
        <v>718</v>
      </c>
      <c r="G32" s="9">
        <f t="shared" si="2"/>
        <v>28212.180746561884</v>
      </c>
      <c r="H32">
        <f t="shared" si="8"/>
        <v>655</v>
      </c>
      <c r="I32" s="9">
        <f t="shared" si="5"/>
        <v>27434.554973821992</v>
      </c>
      <c r="J32">
        <f t="shared" si="23"/>
        <v>625</v>
      </c>
      <c r="K32" s="9">
        <f t="shared" si="9"/>
        <v>27027.027027027027</v>
      </c>
      <c r="L32">
        <f t="shared" si="21"/>
        <v>687</v>
      </c>
      <c r="M32" s="9">
        <f t="shared" si="13"/>
        <v>27841.945288753803</v>
      </c>
      <c r="N32">
        <f t="shared" ref="N32" si="24">SUM(N31,8)</f>
        <v>744</v>
      </c>
      <c r="O32" s="9">
        <f t="shared" si="19"/>
        <v>28505.747126436781</v>
      </c>
    </row>
    <row r="33" spans="1:15" x14ac:dyDescent="0.25">
      <c r="A33">
        <v>41000</v>
      </c>
      <c r="B33">
        <v>0</v>
      </c>
      <c r="C33" s="9">
        <f t="shared" si="0"/>
        <v>0</v>
      </c>
      <c r="D33">
        <v>0</v>
      </c>
      <c r="E33">
        <v>0</v>
      </c>
      <c r="F33">
        <f>SUM(F32,10)</f>
        <v>728</v>
      </c>
      <c r="G33" s="9">
        <f t="shared" si="2"/>
        <v>29035.019455252917</v>
      </c>
      <c r="H33">
        <f t="shared" si="8"/>
        <v>664</v>
      </c>
      <c r="I33" s="9">
        <f t="shared" si="5"/>
        <v>28240.663900414937</v>
      </c>
      <c r="J33">
        <f t="shared" si="23"/>
        <v>635</v>
      </c>
      <c r="K33" s="9">
        <f t="shared" si="9"/>
        <v>27844.919786096256</v>
      </c>
      <c r="L33">
        <f>SUM(L32,10)</f>
        <v>697</v>
      </c>
      <c r="M33" s="9">
        <f t="shared" si="13"/>
        <v>28662.988966900703</v>
      </c>
      <c r="N33">
        <v>750</v>
      </c>
      <c r="O33" s="9">
        <f t="shared" si="19"/>
        <v>29285.714285714286</v>
      </c>
    </row>
    <row r="34" spans="1:15" x14ac:dyDescent="0.25">
      <c r="A34">
        <v>42000</v>
      </c>
      <c r="B34">
        <v>0</v>
      </c>
      <c r="C34" s="9">
        <f t="shared" si="0"/>
        <v>0</v>
      </c>
      <c r="D34">
        <v>0</v>
      </c>
      <c r="E34">
        <v>0</v>
      </c>
      <c r="F34">
        <f t="shared" ref="F34:F35" si="25">SUM(F33,10)</f>
        <v>738</v>
      </c>
      <c r="G34" s="9">
        <f t="shared" si="2"/>
        <v>29861.271676300577</v>
      </c>
      <c r="H34">
        <f t="shared" si="8"/>
        <v>673</v>
      </c>
      <c r="I34" s="9">
        <f t="shared" si="5"/>
        <v>29050.359712230216</v>
      </c>
      <c r="J34">
        <f t="shared" si="23"/>
        <v>645</v>
      </c>
      <c r="K34" s="9">
        <f t="shared" si="9"/>
        <v>28666.666666666668</v>
      </c>
      <c r="L34">
        <f t="shared" ref="L34:L36" si="26">SUM(L33,10)</f>
        <v>707</v>
      </c>
      <c r="M34" s="9">
        <f t="shared" si="13"/>
        <v>29487.586891757695</v>
      </c>
      <c r="N34">
        <v>750</v>
      </c>
      <c r="O34" s="9">
        <f t="shared" si="19"/>
        <v>30000</v>
      </c>
    </row>
    <row r="35" spans="1:15" x14ac:dyDescent="0.25">
      <c r="A35">
        <v>43000</v>
      </c>
      <c r="B35">
        <v>0</v>
      </c>
      <c r="C35" s="9">
        <f t="shared" si="0"/>
        <v>0</v>
      </c>
      <c r="D35">
        <v>0</v>
      </c>
      <c r="E35">
        <v>0</v>
      </c>
      <c r="F35">
        <f t="shared" si="25"/>
        <v>748</v>
      </c>
      <c r="G35" s="9">
        <f t="shared" si="2"/>
        <v>30690.839694656486</v>
      </c>
      <c r="H35">
        <f t="shared" si="8"/>
        <v>682</v>
      </c>
      <c r="I35" s="9">
        <f t="shared" si="5"/>
        <v>29863.54378818737</v>
      </c>
      <c r="J35">
        <f t="shared" si="23"/>
        <v>655</v>
      </c>
      <c r="K35" s="9">
        <f t="shared" si="9"/>
        <v>29492.146596858642</v>
      </c>
      <c r="L35">
        <f t="shared" si="26"/>
        <v>717</v>
      </c>
      <c r="M35" s="9">
        <f t="shared" si="13"/>
        <v>30315.634218289088</v>
      </c>
      <c r="N35">
        <v>750</v>
      </c>
      <c r="O35" s="9">
        <f t="shared" si="19"/>
        <v>30714.285714285714</v>
      </c>
    </row>
    <row r="36" spans="1:15" x14ac:dyDescent="0.25">
      <c r="A36">
        <v>44000</v>
      </c>
      <c r="B36">
        <v>0</v>
      </c>
      <c r="C36" s="9">
        <f t="shared" si="0"/>
        <v>0</v>
      </c>
      <c r="D36">
        <v>0</v>
      </c>
      <c r="E36">
        <v>0</v>
      </c>
      <c r="F36">
        <v>750</v>
      </c>
      <c r="G36" s="9">
        <f t="shared" si="2"/>
        <v>31428.571428571428</v>
      </c>
      <c r="H36">
        <f t="shared" si="8"/>
        <v>691</v>
      </c>
      <c r="I36" s="9">
        <f t="shared" si="5"/>
        <v>30680.121089808275</v>
      </c>
      <c r="J36">
        <f t="shared" si="23"/>
        <v>665</v>
      </c>
      <c r="K36" s="9">
        <f t="shared" si="9"/>
        <v>30321.243523316061</v>
      </c>
      <c r="L36">
        <f t="shared" si="26"/>
        <v>727</v>
      </c>
      <c r="M36" s="9">
        <f t="shared" si="13"/>
        <v>31147.030185004871</v>
      </c>
      <c r="N36">
        <v>750</v>
      </c>
      <c r="O36" s="9">
        <f t="shared" si="19"/>
        <v>31428.571428571428</v>
      </c>
    </row>
    <row r="37" spans="1:15" x14ac:dyDescent="0.25">
      <c r="A37">
        <v>45000</v>
      </c>
      <c r="B37">
        <v>0</v>
      </c>
      <c r="C37" s="9">
        <f t="shared" si="0"/>
        <v>0</v>
      </c>
      <c r="D37">
        <v>0</v>
      </c>
      <c r="E37">
        <v>0</v>
      </c>
      <c r="F37">
        <v>750</v>
      </c>
      <c r="G37" s="9">
        <f t="shared" si="2"/>
        <v>32142.857142857141</v>
      </c>
      <c r="H37">
        <f t="shared" si="8"/>
        <v>700</v>
      </c>
      <c r="I37" s="9">
        <f t="shared" si="5"/>
        <v>31500</v>
      </c>
      <c r="J37">
        <f t="shared" si="23"/>
        <v>675</v>
      </c>
      <c r="K37" s="9">
        <f t="shared" si="9"/>
        <v>31153.846153846152</v>
      </c>
      <c r="L37">
        <f>SUM(L36,11)</f>
        <v>738</v>
      </c>
      <c r="M37" s="9">
        <f t="shared" si="13"/>
        <v>31994.219653179189</v>
      </c>
      <c r="N37">
        <v>750</v>
      </c>
      <c r="O37" s="9">
        <f t="shared" si="19"/>
        <v>32142.857142857141</v>
      </c>
    </row>
    <row r="38" spans="1:15" x14ac:dyDescent="0.25">
      <c r="A38">
        <v>46000</v>
      </c>
      <c r="B38">
        <v>0</v>
      </c>
      <c r="C38" s="9">
        <f t="shared" si="0"/>
        <v>0</v>
      </c>
      <c r="D38">
        <v>0</v>
      </c>
      <c r="E38">
        <v>0</v>
      </c>
      <c r="F38">
        <v>750</v>
      </c>
      <c r="G38" s="9">
        <f t="shared" si="2"/>
        <v>32857.142857142855</v>
      </c>
      <c r="H38">
        <f t="shared" si="8"/>
        <v>709</v>
      </c>
      <c r="I38" s="9">
        <f t="shared" si="5"/>
        <v>32323.092170465807</v>
      </c>
      <c r="J38">
        <f>SUM(J37,11)</f>
        <v>686</v>
      </c>
      <c r="K38" s="9">
        <f t="shared" si="9"/>
        <v>32004.056795131844</v>
      </c>
      <c r="L38">
        <f t="shared" ref="L38" si="27">SUM(L37,11)</f>
        <v>749</v>
      </c>
      <c r="M38" s="9">
        <f t="shared" si="13"/>
        <v>32844.613918017159</v>
      </c>
      <c r="N38">
        <v>750</v>
      </c>
      <c r="O38" s="9">
        <f t="shared" si="19"/>
        <v>32857.142857142855</v>
      </c>
    </row>
    <row r="39" spans="1:15" x14ac:dyDescent="0.25">
      <c r="A39">
        <v>47000</v>
      </c>
      <c r="B39">
        <v>0</v>
      </c>
      <c r="C39" s="9">
        <f t="shared" si="0"/>
        <v>0</v>
      </c>
      <c r="D39">
        <v>0</v>
      </c>
      <c r="E39">
        <v>0</v>
      </c>
      <c r="F39">
        <v>750</v>
      </c>
      <c r="G39" s="9">
        <f t="shared" si="2"/>
        <v>33571.428571428572</v>
      </c>
      <c r="H39">
        <f t="shared" si="8"/>
        <v>718</v>
      </c>
      <c r="I39" s="9">
        <f t="shared" si="5"/>
        <v>33149.312377210212</v>
      </c>
      <c r="J39">
        <f t="shared" ref="J39:J43" si="28">SUM(J38,11)</f>
        <v>697</v>
      </c>
      <c r="K39" s="9">
        <f t="shared" si="9"/>
        <v>32857.572718154464</v>
      </c>
      <c r="L39">
        <v>750</v>
      </c>
      <c r="M39" s="9">
        <f t="shared" si="13"/>
        <v>33571.428571428572</v>
      </c>
      <c r="N39">
        <v>750</v>
      </c>
      <c r="O39" s="9">
        <f t="shared" si="19"/>
        <v>33571.428571428572</v>
      </c>
    </row>
    <row r="40" spans="1:15" x14ac:dyDescent="0.25">
      <c r="A40">
        <v>48000</v>
      </c>
      <c r="B40">
        <v>0</v>
      </c>
      <c r="C40" s="9">
        <f t="shared" si="0"/>
        <v>0</v>
      </c>
      <c r="D40">
        <v>0</v>
      </c>
      <c r="E40">
        <v>0</v>
      </c>
      <c r="F40">
        <v>750</v>
      </c>
      <c r="G40" s="9">
        <f t="shared" si="2"/>
        <v>34285.714285714283</v>
      </c>
      <c r="H40">
        <f>SUM(H39,10)</f>
        <v>728</v>
      </c>
      <c r="I40" s="9">
        <f t="shared" si="5"/>
        <v>33992.217898832685</v>
      </c>
      <c r="J40">
        <f t="shared" si="28"/>
        <v>708</v>
      </c>
      <c r="K40" s="9">
        <f t="shared" si="9"/>
        <v>33714.28571428571</v>
      </c>
      <c r="L40">
        <v>750</v>
      </c>
      <c r="M40" s="9">
        <f t="shared" si="13"/>
        <v>34285.714285714283</v>
      </c>
      <c r="N40">
        <v>750</v>
      </c>
      <c r="O40" s="9">
        <f t="shared" si="19"/>
        <v>34285.714285714283</v>
      </c>
    </row>
    <row r="41" spans="1:15" x14ac:dyDescent="0.25">
      <c r="A41">
        <v>49000</v>
      </c>
      <c r="B41">
        <v>0</v>
      </c>
      <c r="C41" s="9">
        <f t="shared" si="0"/>
        <v>0</v>
      </c>
      <c r="D41">
        <v>0</v>
      </c>
      <c r="E41">
        <v>0</v>
      </c>
      <c r="F41">
        <v>750</v>
      </c>
      <c r="G41" s="9">
        <f t="shared" si="2"/>
        <v>35000</v>
      </c>
      <c r="H41">
        <f t="shared" ref="H41:H42" si="29">SUM(H40,10)</f>
        <v>738</v>
      </c>
      <c r="I41" s="9">
        <f t="shared" si="5"/>
        <v>34838.150289017343</v>
      </c>
      <c r="J41">
        <f t="shared" si="28"/>
        <v>719</v>
      </c>
      <c r="K41" s="9">
        <f t="shared" si="9"/>
        <v>34574.092247301276</v>
      </c>
      <c r="L41">
        <v>750</v>
      </c>
      <c r="M41" s="9">
        <f t="shared" si="13"/>
        <v>35000</v>
      </c>
      <c r="N41">
        <v>750</v>
      </c>
      <c r="O41" s="9">
        <f t="shared" si="19"/>
        <v>35000</v>
      </c>
    </row>
    <row r="42" spans="1:15" x14ac:dyDescent="0.25">
      <c r="A42">
        <v>50000</v>
      </c>
      <c r="B42">
        <v>0</v>
      </c>
      <c r="C42" s="9">
        <f t="shared" si="0"/>
        <v>0</v>
      </c>
      <c r="D42">
        <v>0</v>
      </c>
      <c r="E42">
        <v>0</v>
      </c>
      <c r="F42">
        <v>750</v>
      </c>
      <c r="G42" s="9">
        <f t="shared" si="2"/>
        <v>35714.285714285717</v>
      </c>
      <c r="H42">
        <f t="shared" si="29"/>
        <v>748</v>
      </c>
      <c r="I42" s="9">
        <f t="shared" si="5"/>
        <v>35687.022900763361</v>
      </c>
      <c r="J42">
        <f t="shared" si="28"/>
        <v>730</v>
      </c>
      <c r="K42" s="9">
        <f t="shared" si="9"/>
        <v>35436.89320388349</v>
      </c>
      <c r="L42">
        <v>750</v>
      </c>
      <c r="M42" s="9">
        <f t="shared" si="13"/>
        <v>35714.285714285717</v>
      </c>
      <c r="N42">
        <v>750</v>
      </c>
      <c r="O42" s="9">
        <f t="shared" si="19"/>
        <v>35714.285714285717</v>
      </c>
    </row>
    <row r="43" spans="1:15" x14ac:dyDescent="0.25">
      <c r="A43">
        <v>51000</v>
      </c>
      <c r="B43">
        <v>0</v>
      </c>
      <c r="C43" s="9">
        <f t="shared" si="0"/>
        <v>0</v>
      </c>
      <c r="D43">
        <v>0</v>
      </c>
      <c r="E43">
        <v>0</v>
      </c>
      <c r="F43">
        <v>750</v>
      </c>
      <c r="G43" s="9">
        <f t="shared" si="2"/>
        <v>36428.571428571428</v>
      </c>
      <c r="H43">
        <v>750</v>
      </c>
      <c r="I43" s="9">
        <f t="shared" si="5"/>
        <v>36428.571428571428</v>
      </c>
      <c r="J43">
        <f t="shared" si="28"/>
        <v>741</v>
      </c>
      <c r="K43" s="9">
        <f t="shared" si="9"/>
        <v>36302.593659942358</v>
      </c>
      <c r="L43">
        <v>750</v>
      </c>
      <c r="M43" s="9">
        <f t="shared" si="13"/>
        <v>36428.571428571428</v>
      </c>
      <c r="N43">
        <v>750</v>
      </c>
      <c r="O43" s="9">
        <f t="shared" si="19"/>
        <v>36428.571428571428</v>
      </c>
    </row>
    <row r="44" spans="1:15" x14ac:dyDescent="0.25">
      <c r="A44">
        <v>52000</v>
      </c>
      <c r="B44">
        <v>0</v>
      </c>
      <c r="C44" s="9">
        <f t="shared" si="0"/>
        <v>0</v>
      </c>
      <c r="D44">
        <v>0</v>
      </c>
      <c r="E44">
        <v>0</v>
      </c>
      <c r="F44">
        <v>750</v>
      </c>
      <c r="G44" s="9">
        <f t="shared" si="2"/>
        <v>37142.857142857145</v>
      </c>
      <c r="H44">
        <v>750</v>
      </c>
      <c r="I44" s="9">
        <f t="shared" si="5"/>
        <v>37142.857142857145</v>
      </c>
      <c r="J44">
        <v>750</v>
      </c>
      <c r="K44" s="9">
        <f t="shared" si="9"/>
        <v>37142.857142857145</v>
      </c>
      <c r="L44">
        <v>750</v>
      </c>
      <c r="M44" s="9">
        <f t="shared" si="13"/>
        <v>37142.857142857145</v>
      </c>
      <c r="N44">
        <v>750</v>
      </c>
      <c r="O44" s="9">
        <f t="shared" si="19"/>
        <v>37142.857142857145</v>
      </c>
    </row>
    <row r="45" spans="1:15" x14ac:dyDescent="0.25">
      <c r="A45">
        <v>53000</v>
      </c>
      <c r="B45">
        <v>0</v>
      </c>
      <c r="C45" s="9">
        <f t="shared" si="0"/>
        <v>0</v>
      </c>
      <c r="D45">
        <v>0</v>
      </c>
      <c r="E45">
        <v>0</v>
      </c>
      <c r="F45">
        <v>750</v>
      </c>
      <c r="G45" s="9">
        <f t="shared" si="2"/>
        <v>37857.142857142855</v>
      </c>
      <c r="H45">
        <v>750</v>
      </c>
      <c r="I45" s="9">
        <f t="shared" si="5"/>
        <v>37857.142857142855</v>
      </c>
      <c r="J45">
        <v>750</v>
      </c>
      <c r="K45" s="9">
        <f t="shared" si="9"/>
        <v>37857.142857142855</v>
      </c>
      <c r="L45">
        <v>750</v>
      </c>
      <c r="M45" s="9">
        <f t="shared" si="13"/>
        <v>37857.142857142855</v>
      </c>
      <c r="N45">
        <v>750</v>
      </c>
      <c r="O45" s="9">
        <f t="shared" si="19"/>
        <v>37857.142857142855</v>
      </c>
    </row>
    <row r="46" spans="1:15" x14ac:dyDescent="0.25">
      <c r="A46">
        <v>54000</v>
      </c>
      <c r="B46">
        <v>0</v>
      </c>
      <c r="C46" s="9">
        <f t="shared" si="0"/>
        <v>0</v>
      </c>
      <c r="D46">
        <v>0</v>
      </c>
      <c r="E46">
        <v>0</v>
      </c>
      <c r="F46">
        <v>750</v>
      </c>
      <c r="G46" s="9">
        <f t="shared" si="2"/>
        <v>38571.428571428572</v>
      </c>
      <c r="H46">
        <v>750</v>
      </c>
      <c r="I46" s="9">
        <f t="shared" si="5"/>
        <v>38571.428571428572</v>
      </c>
      <c r="J46">
        <v>750</v>
      </c>
      <c r="K46" s="9">
        <f t="shared" si="9"/>
        <v>38571.428571428572</v>
      </c>
      <c r="L46">
        <v>750</v>
      </c>
      <c r="M46" s="9">
        <f t="shared" si="13"/>
        <v>38571.428571428572</v>
      </c>
      <c r="N46">
        <v>750</v>
      </c>
      <c r="O46" s="9">
        <f t="shared" si="19"/>
        <v>38571.428571428572</v>
      </c>
    </row>
    <row r="47" spans="1:15" x14ac:dyDescent="0.25">
      <c r="A47">
        <v>55000</v>
      </c>
      <c r="B47">
        <v>0</v>
      </c>
      <c r="C47" s="9">
        <f t="shared" si="0"/>
        <v>0</v>
      </c>
      <c r="D47">
        <v>0</v>
      </c>
      <c r="E47">
        <v>0</v>
      </c>
      <c r="F47">
        <v>0</v>
      </c>
      <c r="G47" s="9">
        <v>0</v>
      </c>
      <c r="H47">
        <v>750</v>
      </c>
      <c r="I47" s="9">
        <f t="shared" si="5"/>
        <v>39285.714285714283</v>
      </c>
      <c r="J47">
        <v>750</v>
      </c>
      <c r="K47" s="9">
        <f t="shared" si="9"/>
        <v>39285.714285714283</v>
      </c>
      <c r="L47">
        <v>750</v>
      </c>
      <c r="M47" s="9">
        <f t="shared" si="13"/>
        <v>39285.714285714283</v>
      </c>
      <c r="N47">
        <v>750</v>
      </c>
      <c r="O47" s="9">
        <f t="shared" si="19"/>
        <v>39285.714285714283</v>
      </c>
    </row>
    <row r="48" spans="1:15" x14ac:dyDescent="0.25">
      <c r="A48">
        <v>56000</v>
      </c>
      <c r="B48">
        <v>0</v>
      </c>
      <c r="C48" s="9">
        <f t="shared" si="0"/>
        <v>0</v>
      </c>
      <c r="D48">
        <v>0</v>
      </c>
      <c r="E48">
        <v>0</v>
      </c>
      <c r="F48">
        <v>0</v>
      </c>
      <c r="G48" s="9">
        <v>0</v>
      </c>
      <c r="H48">
        <v>750</v>
      </c>
      <c r="I48" s="9">
        <f t="shared" si="5"/>
        <v>40000</v>
      </c>
      <c r="J48">
        <v>750</v>
      </c>
      <c r="K48" s="9">
        <f t="shared" si="9"/>
        <v>40000</v>
      </c>
      <c r="L48">
        <v>750</v>
      </c>
      <c r="M48" s="9">
        <f t="shared" si="13"/>
        <v>40000</v>
      </c>
      <c r="N48">
        <v>750</v>
      </c>
      <c r="O48" s="9">
        <f t="shared" si="19"/>
        <v>40000</v>
      </c>
    </row>
    <row r="49" spans="1:15" x14ac:dyDescent="0.25">
      <c r="A49">
        <v>57000</v>
      </c>
      <c r="B49">
        <v>0</v>
      </c>
      <c r="C49" s="9">
        <f t="shared" si="0"/>
        <v>0</v>
      </c>
      <c r="D49">
        <v>0</v>
      </c>
      <c r="E49">
        <v>0</v>
      </c>
      <c r="F49">
        <v>0</v>
      </c>
      <c r="G49" s="9">
        <v>0</v>
      </c>
      <c r="H49">
        <v>750</v>
      </c>
      <c r="I49" s="9">
        <f t="shared" si="5"/>
        <v>40714.285714285717</v>
      </c>
      <c r="J49">
        <v>750</v>
      </c>
      <c r="K49" s="9">
        <f t="shared" si="9"/>
        <v>40714.285714285717</v>
      </c>
      <c r="L49">
        <v>750</v>
      </c>
      <c r="M49" s="9">
        <f t="shared" si="13"/>
        <v>40714.285714285717</v>
      </c>
      <c r="N49">
        <v>750</v>
      </c>
      <c r="O49" s="9">
        <f t="shared" si="19"/>
        <v>40714.285714285717</v>
      </c>
    </row>
    <row r="50" spans="1:15" x14ac:dyDescent="0.25">
      <c r="A50">
        <v>58000</v>
      </c>
      <c r="B50">
        <v>0</v>
      </c>
      <c r="C50" s="9">
        <f t="shared" si="0"/>
        <v>0</v>
      </c>
      <c r="D50">
        <v>0</v>
      </c>
      <c r="E50">
        <v>0</v>
      </c>
      <c r="F50">
        <v>0</v>
      </c>
      <c r="G50" s="9">
        <v>0</v>
      </c>
      <c r="H50">
        <v>750</v>
      </c>
      <c r="I50" s="9">
        <f t="shared" si="5"/>
        <v>41428.571428571428</v>
      </c>
      <c r="J50">
        <v>750</v>
      </c>
      <c r="K50" s="9">
        <f t="shared" si="9"/>
        <v>41428.571428571428</v>
      </c>
      <c r="L50">
        <v>750</v>
      </c>
      <c r="M50" s="9">
        <f t="shared" si="13"/>
        <v>41428.571428571428</v>
      </c>
      <c r="N50">
        <v>750</v>
      </c>
      <c r="O50" s="9">
        <f t="shared" si="19"/>
        <v>41428.571428571428</v>
      </c>
    </row>
    <row r="51" spans="1:15" x14ac:dyDescent="0.25">
      <c r="A51">
        <v>59000</v>
      </c>
      <c r="B51">
        <v>0</v>
      </c>
      <c r="C51" s="9">
        <f t="shared" si="0"/>
        <v>0</v>
      </c>
      <c r="D51">
        <v>0</v>
      </c>
      <c r="E51">
        <v>0</v>
      </c>
      <c r="F51">
        <v>0</v>
      </c>
      <c r="G51" s="9">
        <v>0</v>
      </c>
      <c r="H51">
        <v>0</v>
      </c>
      <c r="I51" s="9">
        <v>0</v>
      </c>
      <c r="J51">
        <v>750</v>
      </c>
      <c r="K51" s="9">
        <f t="shared" si="9"/>
        <v>42142.857142857145</v>
      </c>
      <c r="L51">
        <v>750</v>
      </c>
      <c r="M51" s="9">
        <f t="shared" si="13"/>
        <v>42142.857142857145</v>
      </c>
      <c r="N51">
        <v>750</v>
      </c>
      <c r="O51" s="9">
        <f t="shared" si="19"/>
        <v>42142.857142857145</v>
      </c>
    </row>
    <row r="52" spans="1:15" x14ac:dyDescent="0.25">
      <c r="A52">
        <v>60000</v>
      </c>
      <c r="B52">
        <v>0</v>
      </c>
      <c r="C52" s="9">
        <f t="shared" si="0"/>
        <v>0</v>
      </c>
      <c r="D52">
        <v>0</v>
      </c>
      <c r="E52">
        <v>0</v>
      </c>
      <c r="F52">
        <v>0</v>
      </c>
      <c r="G52" s="9">
        <v>0</v>
      </c>
      <c r="H52">
        <v>0</v>
      </c>
      <c r="I52" s="9">
        <v>0</v>
      </c>
      <c r="J52">
        <v>750</v>
      </c>
      <c r="K52" s="9">
        <f t="shared" si="9"/>
        <v>42857.142857142855</v>
      </c>
      <c r="L52">
        <v>750</v>
      </c>
      <c r="M52" s="9">
        <f t="shared" si="13"/>
        <v>42857.142857142855</v>
      </c>
      <c r="N52">
        <v>750</v>
      </c>
      <c r="O52" s="9">
        <f t="shared" si="19"/>
        <v>42857.142857142855</v>
      </c>
    </row>
    <row r="53" spans="1:15" x14ac:dyDescent="0.25">
      <c r="A53">
        <v>61000</v>
      </c>
      <c r="B53">
        <v>0</v>
      </c>
      <c r="C53" s="9">
        <f t="shared" si="0"/>
        <v>0</v>
      </c>
      <c r="D53">
        <v>0</v>
      </c>
      <c r="E53">
        <v>0</v>
      </c>
      <c r="F53">
        <v>0</v>
      </c>
      <c r="G53" s="9">
        <v>0</v>
      </c>
      <c r="H53">
        <v>0</v>
      </c>
      <c r="I53" s="9">
        <v>0</v>
      </c>
      <c r="J53">
        <v>750</v>
      </c>
      <c r="K53" s="9">
        <f t="shared" si="9"/>
        <v>43571.428571428572</v>
      </c>
      <c r="L53">
        <v>750</v>
      </c>
      <c r="M53" s="9">
        <f t="shared" si="13"/>
        <v>43571.428571428572</v>
      </c>
      <c r="N53">
        <v>750</v>
      </c>
      <c r="O53" s="9">
        <f t="shared" si="19"/>
        <v>43571.428571428572</v>
      </c>
    </row>
    <row r="54" spans="1:15" x14ac:dyDescent="0.25">
      <c r="A54">
        <v>62000</v>
      </c>
      <c r="B54">
        <v>0</v>
      </c>
      <c r="C54" s="9">
        <f t="shared" si="0"/>
        <v>0</v>
      </c>
      <c r="D54">
        <v>0</v>
      </c>
      <c r="E54">
        <v>0</v>
      </c>
      <c r="F54">
        <v>0</v>
      </c>
      <c r="G54" s="9">
        <v>0</v>
      </c>
      <c r="H54">
        <v>0</v>
      </c>
      <c r="I54" s="9">
        <v>0</v>
      </c>
      <c r="J54">
        <v>750</v>
      </c>
      <c r="K54" s="9">
        <f t="shared" si="9"/>
        <v>44285.714285714283</v>
      </c>
      <c r="L54">
        <v>750</v>
      </c>
      <c r="M54" s="9">
        <f t="shared" si="13"/>
        <v>44285.714285714283</v>
      </c>
      <c r="N54">
        <v>750</v>
      </c>
      <c r="O54" s="9">
        <f t="shared" si="19"/>
        <v>44285.714285714283</v>
      </c>
    </row>
    <row r="55" spans="1:15" x14ac:dyDescent="0.25">
      <c r="A55">
        <v>63000</v>
      </c>
      <c r="B55">
        <v>0</v>
      </c>
      <c r="C55" s="9">
        <f t="shared" si="0"/>
        <v>0</v>
      </c>
      <c r="D55">
        <v>0</v>
      </c>
      <c r="E55">
        <v>0</v>
      </c>
      <c r="F55">
        <v>0</v>
      </c>
      <c r="G55" s="9">
        <v>0</v>
      </c>
      <c r="H55">
        <v>0</v>
      </c>
      <c r="I55" s="9">
        <v>0</v>
      </c>
      <c r="J55">
        <v>750</v>
      </c>
      <c r="K55" s="9">
        <f t="shared" si="9"/>
        <v>45000</v>
      </c>
      <c r="L55">
        <v>750</v>
      </c>
      <c r="M55" s="9">
        <f t="shared" si="13"/>
        <v>45000</v>
      </c>
      <c r="N55">
        <v>750</v>
      </c>
      <c r="O55" s="9">
        <f t="shared" si="19"/>
        <v>45000</v>
      </c>
    </row>
    <row r="56" spans="1:15" x14ac:dyDescent="0.25">
      <c r="A56">
        <v>64000</v>
      </c>
      <c r="B56">
        <v>0</v>
      </c>
      <c r="C56" s="9">
        <f t="shared" si="0"/>
        <v>0</v>
      </c>
      <c r="D56">
        <v>0</v>
      </c>
      <c r="E56">
        <v>0</v>
      </c>
      <c r="F56">
        <v>0</v>
      </c>
      <c r="G56" s="9">
        <v>0</v>
      </c>
      <c r="H56">
        <v>0</v>
      </c>
      <c r="I56" s="9">
        <v>0</v>
      </c>
      <c r="J56">
        <v>750</v>
      </c>
      <c r="K56" s="9">
        <f t="shared" si="9"/>
        <v>45714.285714285717</v>
      </c>
      <c r="L56">
        <v>750</v>
      </c>
      <c r="M56" s="9">
        <f t="shared" si="13"/>
        <v>45714.285714285717</v>
      </c>
      <c r="N56">
        <v>750</v>
      </c>
      <c r="O56" s="9">
        <f t="shared" si="19"/>
        <v>45714.285714285717</v>
      </c>
    </row>
    <row r="57" spans="1:15" x14ac:dyDescent="0.25">
      <c r="A57">
        <v>65000</v>
      </c>
      <c r="B57">
        <v>0</v>
      </c>
      <c r="C57" s="9">
        <f t="shared" si="0"/>
        <v>0</v>
      </c>
      <c r="D57">
        <v>0</v>
      </c>
      <c r="E57">
        <v>0</v>
      </c>
      <c r="F57">
        <v>0</v>
      </c>
      <c r="G57" s="9">
        <v>0</v>
      </c>
      <c r="H57">
        <v>0</v>
      </c>
      <c r="I57" s="9">
        <v>0</v>
      </c>
      <c r="J57">
        <v>750</v>
      </c>
      <c r="K57" s="9">
        <f t="shared" si="9"/>
        <v>46428.571428571428</v>
      </c>
      <c r="L57">
        <v>750</v>
      </c>
      <c r="M57" s="9">
        <f t="shared" si="13"/>
        <v>46428.571428571428</v>
      </c>
      <c r="N57">
        <v>750</v>
      </c>
      <c r="O57" s="9">
        <f t="shared" si="19"/>
        <v>46428.571428571428</v>
      </c>
    </row>
    <row r="58" spans="1:15" x14ac:dyDescent="0.25">
      <c r="A58">
        <v>66000</v>
      </c>
      <c r="B58">
        <v>0</v>
      </c>
      <c r="C58" s="9">
        <f t="shared" si="0"/>
        <v>0</v>
      </c>
      <c r="D58">
        <v>0</v>
      </c>
      <c r="E58">
        <v>0</v>
      </c>
      <c r="F58">
        <v>0</v>
      </c>
      <c r="G58" s="9">
        <v>0</v>
      </c>
      <c r="H58">
        <v>0</v>
      </c>
      <c r="I58" s="9">
        <v>0</v>
      </c>
      <c r="J58">
        <v>750</v>
      </c>
      <c r="K58" s="9">
        <f t="shared" si="9"/>
        <v>47142.857142857145</v>
      </c>
      <c r="L58">
        <v>750</v>
      </c>
      <c r="M58" s="9">
        <f t="shared" si="13"/>
        <v>47142.857142857145</v>
      </c>
      <c r="N58">
        <v>750</v>
      </c>
      <c r="O58" s="9">
        <f t="shared" si="19"/>
        <v>47142.857142857145</v>
      </c>
    </row>
    <row r="59" spans="1:15" x14ac:dyDescent="0.25">
      <c r="A59">
        <v>67000</v>
      </c>
      <c r="B59">
        <v>0</v>
      </c>
      <c r="C59" s="9">
        <f t="shared" si="0"/>
        <v>0</v>
      </c>
      <c r="D59">
        <v>0</v>
      </c>
      <c r="E59">
        <v>0</v>
      </c>
      <c r="F59">
        <v>0</v>
      </c>
      <c r="G59" s="9">
        <v>0</v>
      </c>
      <c r="H59">
        <v>0</v>
      </c>
      <c r="I59" s="9">
        <v>0</v>
      </c>
      <c r="J59">
        <v>750</v>
      </c>
      <c r="K59" s="9">
        <f t="shared" si="9"/>
        <v>47857.142857142855</v>
      </c>
      <c r="L59">
        <v>750</v>
      </c>
      <c r="M59" s="9">
        <f t="shared" si="13"/>
        <v>47857.142857142855</v>
      </c>
      <c r="N59">
        <v>0</v>
      </c>
      <c r="O59" s="9">
        <f t="shared" si="19"/>
        <v>0</v>
      </c>
    </row>
    <row r="60" spans="1:15" x14ac:dyDescent="0.25">
      <c r="A60">
        <v>68000</v>
      </c>
      <c r="B60">
        <v>0</v>
      </c>
      <c r="C60" s="9">
        <f t="shared" si="0"/>
        <v>0</v>
      </c>
      <c r="D60">
        <v>0</v>
      </c>
      <c r="E60">
        <v>0</v>
      </c>
      <c r="F60">
        <v>0</v>
      </c>
      <c r="G60" s="9">
        <v>0</v>
      </c>
      <c r="H60">
        <v>0</v>
      </c>
      <c r="I60" s="9">
        <v>0</v>
      </c>
      <c r="J60">
        <v>750</v>
      </c>
      <c r="K60" s="9">
        <f t="shared" si="9"/>
        <v>48571.428571428572</v>
      </c>
      <c r="L60">
        <v>750</v>
      </c>
      <c r="M60" s="9">
        <f t="shared" si="13"/>
        <v>48571.428571428572</v>
      </c>
      <c r="N60">
        <v>0</v>
      </c>
      <c r="O60" s="9">
        <f t="shared" si="19"/>
        <v>0</v>
      </c>
    </row>
    <row r="61" spans="1:15" x14ac:dyDescent="0.25">
      <c r="A61">
        <v>69000</v>
      </c>
      <c r="B61">
        <v>0</v>
      </c>
      <c r="C61" s="9">
        <f t="shared" si="0"/>
        <v>0</v>
      </c>
      <c r="D61">
        <v>0</v>
      </c>
      <c r="E61">
        <v>0</v>
      </c>
      <c r="F61">
        <v>0</v>
      </c>
      <c r="G61" s="9">
        <v>0</v>
      </c>
      <c r="H61">
        <v>0</v>
      </c>
      <c r="I61" s="9">
        <v>0</v>
      </c>
      <c r="J61">
        <v>0</v>
      </c>
      <c r="K61" s="9">
        <v>0</v>
      </c>
      <c r="L61">
        <v>750</v>
      </c>
      <c r="M61" s="9">
        <f t="shared" si="13"/>
        <v>49285.714285714283</v>
      </c>
      <c r="N61">
        <v>0</v>
      </c>
      <c r="O61" s="9">
        <f t="shared" si="19"/>
        <v>0</v>
      </c>
    </row>
    <row r="62" spans="1:15" x14ac:dyDescent="0.25">
      <c r="A62">
        <v>70000</v>
      </c>
      <c r="B62">
        <v>0</v>
      </c>
      <c r="C62" s="9">
        <f t="shared" si="0"/>
        <v>0</v>
      </c>
      <c r="D62">
        <v>0</v>
      </c>
      <c r="E62">
        <v>0</v>
      </c>
      <c r="F62">
        <v>0</v>
      </c>
      <c r="G62" s="9">
        <v>0</v>
      </c>
      <c r="H62">
        <v>0</v>
      </c>
      <c r="I62" s="9">
        <v>0</v>
      </c>
      <c r="J62">
        <v>0</v>
      </c>
      <c r="K62" s="9">
        <v>0</v>
      </c>
      <c r="L62">
        <v>750</v>
      </c>
      <c r="M62" s="9">
        <f t="shared" si="13"/>
        <v>50000</v>
      </c>
      <c r="N62">
        <v>0</v>
      </c>
      <c r="O62" s="9">
        <f t="shared" si="19"/>
        <v>0</v>
      </c>
    </row>
    <row r="63" spans="1:15" x14ac:dyDescent="0.25">
      <c r="A63">
        <v>71000</v>
      </c>
      <c r="B63">
        <v>0</v>
      </c>
      <c r="C63" s="9">
        <f t="shared" si="0"/>
        <v>0</v>
      </c>
      <c r="D63">
        <v>0</v>
      </c>
      <c r="E63">
        <v>0</v>
      </c>
      <c r="F63">
        <v>0</v>
      </c>
      <c r="G63" s="9">
        <v>0</v>
      </c>
      <c r="H63">
        <v>0</v>
      </c>
      <c r="I63" s="9">
        <v>0</v>
      </c>
      <c r="J63">
        <v>0</v>
      </c>
      <c r="K63" s="9">
        <v>0</v>
      </c>
      <c r="L63">
        <v>750</v>
      </c>
      <c r="M63" s="9">
        <f t="shared" si="13"/>
        <v>50714.285714285717</v>
      </c>
      <c r="N63">
        <v>0</v>
      </c>
      <c r="O63" s="9">
        <f t="shared" si="19"/>
        <v>0</v>
      </c>
    </row>
    <row r="64" spans="1:15" x14ac:dyDescent="0.25">
      <c r="A64">
        <v>72000</v>
      </c>
      <c r="B64">
        <v>0</v>
      </c>
      <c r="C64" s="9">
        <f t="shared" si="0"/>
        <v>0</v>
      </c>
      <c r="D64">
        <v>0</v>
      </c>
      <c r="E64">
        <v>0</v>
      </c>
      <c r="F64">
        <v>0</v>
      </c>
      <c r="G64" s="9">
        <v>0</v>
      </c>
      <c r="H64">
        <v>0</v>
      </c>
      <c r="I64" s="9">
        <v>0</v>
      </c>
      <c r="J64">
        <v>0</v>
      </c>
      <c r="K64" s="9">
        <v>0</v>
      </c>
      <c r="L64">
        <v>750</v>
      </c>
      <c r="M64" s="9">
        <f t="shared" si="13"/>
        <v>51428.571428571428</v>
      </c>
      <c r="N64">
        <v>0</v>
      </c>
      <c r="O64" s="9">
        <f t="shared" si="19"/>
        <v>0</v>
      </c>
    </row>
    <row r="65" spans="1:19" x14ac:dyDescent="0.25">
      <c r="A65">
        <v>73000</v>
      </c>
      <c r="B65">
        <v>0</v>
      </c>
      <c r="C65" s="9">
        <f t="shared" si="0"/>
        <v>0</v>
      </c>
      <c r="D65">
        <v>0</v>
      </c>
      <c r="E65">
        <v>0</v>
      </c>
      <c r="F65">
        <v>0</v>
      </c>
      <c r="G65" s="9">
        <v>0</v>
      </c>
      <c r="H65">
        <v>0</v>
      </c>
      <c r="I65" s="9">
        <v>0</v>
      </c>
      <c r="J65">
        <v>0</v>
      </c>
      <c r="K65" s="9">
        <v>0</v>
      </c>
      <c r="L65">
        <v>750</v>
      </c>
      <c r="M65" s="9">
        <f t="shared" si="13"/>
        <v>52142.857142857145</v>
      </c>
      <c r="N65">
        <v>0</v>
      </c>
      <c r="O65" s="9">
        <f t="shared" si="19"/>
        <v>0</v>
      </c>
    </row>
    <row r="66" spans="1:19" x14ac:dyDescent="0.25">
      <c r="A66">
        <v>74000</v>
      </c>
    </row>
    <row r="67" spans="1:19" x14ac:dyDescent="0.25">
      <c r="A67">
        <v>75000</v>
      </c>
    </row>
    <row r="69" spans="1:19" x14ac:dyDescent="0.25">
      <c r="A69" t="s">
        <v>51</v>
      </c>
      <c r="C69">
        <v>12000</v>
      </c>
      <c r="E69">
        <v>12000</v>
      </c>
      <c r="G69">
        <v>13000</v>
      </c>
      <c r="I69">
        <v>16000</v>
      </c>
      <c r="K69">
        <v>19000</v>
      </c>
      <c r="M69">
        <v>26000</v>
      </c>
      <c r="O69">
        <v>34000</v>
      </c>
    </row>
    <row r="70" spans="1:19" x14ac:dyDescent="0.25">
      <c r="A70" t="s">
        <v>50</v>
      </c>
      <c r="C70">
        <v>37000</v>
      </c>
      <c r="E70">
        <v>37000</v>
      </c>
      <c r="G70">
        <v>54000</v>
      </c>
      <c r="I70">
        <v>58000</v>
      </c>
      <c r="K70">
        <v>68000</v>
      </c>
      <c r="M70">
        <v>73000</v>
      </c>
      <c r="O70">
        <v>66000</v>
      </c>
    </row>
    <row r="71" spans="1:19" x14ac:dyDescent="0.25">
      <c r="A71" t="s">
        <v>52</v>
      </c>
      <c r="C71">
        <v>7000</v>
      </c>
      <c r="E71">
        <v>7000</v>
      </c>
      <c r="G71">
        <v>7500</v>
      </c>
      <c r="I71">
        <v>9500</v>
      </c>
      <c r="K71">
        <v>11500</v>
      </c>
      <c r="M71">
        <v>17000</v>
      </c>
      <c r="O71">
        <v>24000</v>
      </c>
    </row>
    <row r="72" spans="1:19" x14ac:dyDescent="0.25">
      <c r="A72" t="s">
        <v>53</v>
      </c>
      <c r="C72">
        <v>24000</v>
      </c>
      <c r="E72">
        <v>26000</v>
      </c>
      <c r="G72">
        <v>38500</v>
      </c>
      <c r="I72">
        <v>41000</v>
      </c>
      <c r="K72">
        <v>48500</v>
      </c>
      <c r="M72">
        <v>52000</v>
      </c>
      <c r="O72">
        <v>47000</v>
      </c>
    </row>
    <row r="73" spans="1:19" ht="29.25" customHeight="1" x14ac:dyDescent="0.25">
      <c r="A73" s="25" t="s">
        <v>55</v>
      </c>
      <c r="B73" s="26"/>
      <c r="C73">
        <v>19500</v>
      </c>
      <c r="E73">
        <v>19500</v>
      </c>
      <c r="G73">
        <v>20500</v>
      </c>
      <c r="I73">
        <v>23500</v>
      </c>
      <c r="K73">
        <v>26500</v>
      </c>
      <c r="M73">
        <v>33500</v>
      </c>
      <c r="O73">
        <v>41500</v>
      </c>
    </row>
    <row r="74" spans="1:19" ht="29.25" customHeight="1" x14ac:dyDescent="0.25">
      <c r="A74" s="25" t="s">
        <v>56</v>
      </c>
      <c r="B74" s="26"/>
      <c r="C74">
        <v>16000</v>
      </c>
      <c r="E74">
        <v>16000</v>
      </c>
      <c r="G74">
        <v>17000</v>
      </c>
      <c r="I74">
        <v>20000</v>
      </c>
      <c r="K74">
        <v>23000</v>
      </c>
      <c r="M74">
        <v>30000</v>
      </c>
      <c r="O74">
        <v>37000</v>
      </c>
    </row>
    <row r="75" spans="1:19" ht="29.25" customHeight="1" x14ac:dyDescent="0.25">
      <c r="A75" s="25" t="s">
        <v>57</v>
      </c>
      <c r="B75" s="26"/>
      <c r="C75">
        <v>22500</v>
      </c>
      <c r="E75">
        <v>22500</v>
      </c>
      <c r="G75">
        <v>23500</v>
      </c>
      <c r="I75">
        <v>26500</v>
      </c>
      <c r="K75">
        <v>29500</v>
      </c>
      <c r="M75">
        <v>36500</v>
      </c>
      <c r="O75">
        <v>44500</v>
      </c>
    </row>
    <row r="76" spans="1:19" ht="29.25" customHeight="1" x14ac:dyDescent="0.25">
      <c r="A76" s="25" t="s">
        <v>58</v>
      </c>
      <c r="B76" s="26"/>
      <c r="C76">
        <v>12600</v>
      </c>
      <c r="E76">
        <v>12600</v>
      </c>
      <c r="G76">
        <v>13600</v>
      </c>
      <c r="I76">
        <v>16600</v>
      </c>
      <c r="K76">
        <v>19600</v>
      </c>
      <c r="M76">
        <v>26600</v>
      </c>
      <c r="O76">
        <v>34600</v>
      </c>
    </row>
    <row r="77" spans="1:19" ht="29.25" customHeight="1" x14ac:dyDescent="0.25">
      <c r="A77" s="11"/>
      <c r="B77" s="2"/>
    </row>
    <row r="78" spans="1:19" ht="29.25" customHeight="1" x14ac:dyDescent="0.25">
      <c r="A78" s="25" t="s">
        <v>54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15"/>
      <c r="Q78" s="15"/>
      <c r="R78" s="15"/>
      <c r="S78" s="15"/>
    </row>
    <row r="79" spans="1:19" x14ac:dyDescent="0.25">
      <c r="A79" s="25" t="s">
        <v>39</v>
      </c>
      <c r="B79" s="24" t="s">
        <v>42</v>
      </c>
      <c r="C79" s="24"/>
      <c r="D79" s="24" t="s">
        <v>43</v>
      </c>
      <c r="E79" s="24"/>
      <c r="F79" s="24" t="s">
        <v>44</v>
      </c>
      <c r="G79" s="24"/>
      <c r="H79" s="24" t="s">
        <v>45</v>
      </c>
      <c r="I79" s="24"/>
      <c r="J79" s="24" t="s">
        <v>46</v>
      </c>
      <c r="K79" s="24"/>
      <c r="L79" s="24" t="s">
        <v>47</v>
      </c>
      <c r="M79" s="24"/>
      <c r="N79" s="24" t="s">
        <v>48</v>
      </c>
      <c r="O79" s="24"/>
    </row>
    <row r="80" spans="1:19" x14ac:dyDescent="0.25">
      <c r="A80" s="25"/>
      <c r="B80" t="s">
        <v>40</v>
      </c>
      <c r="C80" t="s">
        <v>41</v>
      </c>
      <c r="D80" t="s">
        <v>40</v>
      </c>
      <c r="E80" t="s">
        <v>41</v>
      </c>
      <c r="F80" t="s">
        <v>40</v>
      </c>
      <c r="G80" t="s">
        <v>41</v>
      </c>
      <c r="H80" t="s">
        <v>40</v>
      </c>
      <c r="I80" t="s">
        <v>41</v>
      </c>
      <c r="J80" t="s">
        <v>40</v>
      </c>
      <c r="K80" t="s">
        <v>41</v>
      </c>
      <c r="L80" t="s">
        <v>40</v>
      </c>
      <c r="M80" t="s">
        <v>41</v>
      </c>
      <c r="N80" t="s">
        <v>40</v>
      </c>
      <c r="O80" t="s">
        <v>41</v>
      </c>
    </row>
    <row r="81" spans="1:15" x14ac:dyDescent="0.25">
      <c r="A81">
        <v>12000</v>
      </c>
      <c r="B81">
        <v>0</v>
      </c>
      <c r="C81" s="9">
        <v>0</v>
      </c>
      <c r="D81">
        <v>0</v>
      </c>
      <c r="E81" s="9">
        <v>0</v>
      </c>
      <c r="F81">
        <v>0</v>
      </c>
      <c r="G81" s="9">
        <v>0</v>
      </c>
      <c r="H81">
        <v>0</v>
      </c>
      <c r="I81" s="9">
        <v>0</v>
      </c>
      <c r="J81">
        <v>0</v>
      </c>
      <c r="K81" s="9">
        <v>0</v>
      </c>
      <c r="L81">
        <v>0</v>
      </c>
      <c r="M81" s="9">
        <v>0</v>
      </c>
      <c r="N81">
        <v>0</v>
      </c>
      <c r="O81" s="9">
        <v>0</v>
      </c>
    </row>
    <row r="82" spans="1:15" x14ac:dyDescent="0.25">
      <c r="A82">
        <v>13000</v>
      </c>
      <c r="B82">
        <v>0</v>
      </c>
      <c r="C82" s="9">
        <v>0</v>
      </c>
      <c r="D82">
        <v>0</v>
      </c>
      <c r="E82" s="9">
        <v>0</v>
      </c>
      <c r="F82">
        <v>0</v>
      </c>
      <c r="G82" s="9">
        <v>0</v>
      </c>
      <c r="H82">
        <v>0</v>
      </c>
      <c r="I82" s="9">
        <v>0</v>
      </c>
      <c r="J82">
        <v>0</v>
      </c>
      <c r="K82" s="9">
        <v>0</v>
      </c>
      <c r="L82">
        <v>0</v>
      </c>
      <c r="M82" s="9">
        <v>0</v>
      </c>
      <c r="N82">
        <v>0</v>
      </c>
      <c r="O82" s="9">
        <v>0</v>
      </c>
    </row>
    <row r="83" spans="1:15" x14ac:dyDescent="0.25">
      <c r="A83">
        <v>14000</v>
      </c>
      <c r="B83">
        <v>0</v>
      </c>
      <c r="C83" s="9">
        <v>0</v>
      </c>
      <c r="D83">
        <v>0</v>
      </c>
      <c r="E83" s="9">
        <v>0</v>
      </c>
      <c r="F83">
        <v>0</v>
      </c>
      <c r="G83" s="9">
        <v>0</v>
      </c>
      <c r="H83">
        <v>0</v>
      </c>
      <c r="I83" s="9">
        <v>0</v>
      </c>
      <c r="J83">
        <v>0</v>
      </c>
      <c r="K83" s="9">
        <v>0</v>
      </c>
      <c r="L83">
        <v>0</v>
      </c>
      <c r="M83" s="9">
        <v>0</v>
      </c>
      <c r="N83">
        <v>0</v>
      </c>
      <c r="O83" s="9">
        <v>0</v>
      </c>
    </row>
    <row r="84" spans="1:15" x14ac:dyDescent="0.25">
      <c r="A84">
        <v>15000</v>
      </c>
      <c r="B84">
        <v>450</v>
      </c>
      <c r="C84" s="9">
        <f>PRODUCT(A84,B84,1/(420+B84))</f>
        <v>7758.6206896551721</v>
      </c>
      <c r="D84">
        <v>0</v>
      </c>
      <c r="E84" s="9">
        <v>0</v>
      </c>
      <c r="F84">
        <v>0</v>
      </c>
      <c r="G84" s="9">
        <v>0</v>
      </c>
      <c r="H84">
        <v>0</v>
      </c>
      <c r="I84" s="9">
        <v>0</v>
      </c>
      <c r="J84">
        <v>0</v>
      </c>
      <c r="K84" s="9">
        <v>0</v>
      </c>
      <c r="L84">
        <v>0</v>
      </c>
      <c r="M84" s="9">
        <v>0</v>
      </c>
      <c r="N84">
        <v>0</v>
      </c>
      <c r="O84" s="9">
        <v>0</v>
      </c>
    </row>
    <row r="85" spans="1:15" x14ac:dyDescent="0.25">
      <c r="A85">
        <v>16000</v>
      </c>
      <c r="B85">
        <v>460</v>
      </c>
      <c r="C85" s="9">
        <f>PRODUCT(A85,B85,1/(420+B85))</f>
        <v>8363.636363636364</v>
      </c>
      <c r="D85">
        <v>460</v>
      </c>
      <c r="E85" s="9">
        <f t="shared" ref="E85:E87" si="30">PRODUCT(A85,D85,1/(420+D85))</f>
        <v>8363.636363636364</v>
      </c>
      <c r="F85">
        <v>0</v>
      </c>
      <c r="G85" s="9">
        <v>0</v>
      </c>
      <c r="H85">
        <v>0</v>
      </c>
      <c r="I85" s="9">
        <v>0</v>
      </c>
      <c r="J85">
        <v>0</v>
      </c>
      <c r="K85" s="9">
        <v>0</v>
      </c>
      <c r="L85">
        <v>0</v>
      </c>
      <c r="M85" s="9">
        <v>0</v>
      </c>
      <c r="N85">
        <v>0</v>
      </c>
      <c r="O85" s="9">
        <v>0</v>
      </c>
    </row>
    <row r="86" spans="1:15" x14ac:dyDescent="0.25">
      <c r="A86">
        <v>17000</v>
      </c>
      <c r="B86">
        <v>470</v>
      </c>
      <c r="C86" s="9">
        <f>PRODUCT(A86,B86,1/(420+B86))</f>
        <v>8977.5280898876408</v>
      </c>
      <c r="D86">
        <v>470</v>
      </c>
      <c r="E86" s="9">
        <f t="shared" si="30"/>
        <v>8977.5280898876408</v>
      </c>
      <c r="F86">
        <v>0</v>
      </c>
      <c r="G86" s="9">
        <v>0</v>
      </c>
      <c r="H86">
        <v>0</v>
      </c>
      <c r="I86" s="9">
        <v>0</v>
      </c>
      <c r="J86">
        <v>0</v>
      </c>
      <c r="K86" s="9">
        <v>0</v>
      </c>
      <c r="L86">
        <v>0</v>
      </c>
      <c r="M86" s="9">
        <v>0</v>
      </c>
      <c r="N86">
        <v>0</v>
      </c>
      <c r="O86" s="9">
        <v>0</v>
      </c>
    </row>
    <row r="87" spans="1:15" x14ac:dyDescent="0.25">
      <c r="A87">
        <v>18000</v>
      </c>
      <c r="B87">
        <v>480</v>
      </c>
      <c r="C87" s="9">
        <f>PRODUCT(A87,B87,1/(420+B87))</f>
        <v>9600</v>
      </c>
      <c r="D87">
        <v>480</v>
      </c>
      <c r="E87" s="9">
        <f t="shared" si="30"/>
        <v>9600</v>
      </c>
      <c r="F87">
        <v>500</v>
      </c>
      <c r="G87" s="9">
        <f>PRODUCT(A87,F87,1/(420+F87))</f>
        <v>9782.608695652174</v>
      </c>
      <c r="H87">
        <v>0</v>
      </c>
      <c r="I87" s="9">
        <v>0</v>
      </c>
      <c r="J87">
        <v>0</v>
      </c>
      <c r="K87" s="9">
        <v>0</v>
      </c>
      <c r="L87">
        <v>0</v>
      </c>
      <c r="M87" s="9">
        <v>0</v>
      </c>
      <c r="N87">
        <v>0</v>
      </c>
      <c r="O87" s="9">
        <v>0</v>
      </c>
    </row>
    <row r="88" spans="1:15" x14ac:dyDescent="0.25">
      <c r="A88">
        <v>19000</v>
      </c>
      <c r="B88">
        <v>490</v>
      </c>
      <c r="C88" s="9">
        <f>PRODUCT(A88,B88,1/(420+B88))</f>
        <v>10230.76923076923</v>
      </c>
      <c r="D88">
        <v>490</v>
      </c>
      <c r="E88" s="9">
        <f>PRODUCT(A88,D88,1/(420+D88))</f>
        <v>10230.76923076923</v>
      </c>
      <c r="F88">
        <v>510</v>
      </c>
      <c r="G88" s="9">
        <f>PRODUCT(A88,F88,1/(420+F88))</f>
        <v>10419.354838709678</v>
      </c>
      <c r="H88">
        <v>466</v>
      </c>
      <c r="I88" s="9">
        <f>PRODUCT(A88,H88,1/(420+H88))</f>
        <v>9993.227990970654</v>
      </c>
      <c r="J88">
        <v>466</v>
      </c>
      <c r="K88" s="9">
        <f>PRODUCT(A88,J88,1/(420+J88))</f>
        <v>9993.227990970654</v>
      </c>
      <c r="L88">
        <v>0</v>
      </c>
      <c r="M88" s="9">
        <v>0</v>
      </c>
      <c r="N88">
        <v>0</v>
      </c>
      <c r="O88" s="9">
        <v>0</v>
      </c>
    </row>
    <row r="89" spans="1:15" x14ac:dyDescent="0.25">
      <c r="A89">
        <v>20000</v>
      </c>
      <c r="B89">
        <v>500</v>
      </c>
      <c r="C89" s="9">
        <f t="shared" ref="C89:C109" si="31">PRODUCT(A89,B89,1/(420+B89))</f>
        <v>10869.565217391304</v>
      </c>
      <c r="D89">
        <f t="shared" ref="D89:D97" si="32">SUM(D88,10)</f>
        <v>500</v>
      </c>
      <c r="E89" s="9">
        <f t="shared" ref="E89:E120" si="33">PRODUCT(A89,D89,1/(420+D89))</f>
        <v>10869.565217391304</v>
      </c>
      <c r="F89">
        <f t="shared" ref="F89:F90" si="34">SUM(F88,9)</f>
        <v>519</v>
      </c>
      <c r="G89" s="9">
        <f t="shared" ref="G89:G123" si="35">PRODUCT(A89,F89,1/(420+F89))</f>
        <v>11054.313099041534</v>
      </c>
      <c r="H89">
        <f t="shared" ref="H89:H116" si="36">SUM(H88,9)</f>
        <v>475</v>
      </c>
      <c r="I89" s="9">
        <f t="shared" ref="I89:I127" si="37">PRODUCT(A89,H89,1/(420+H89))</f>
        <v>10614.525139664804</v>
      </c>
      <c r="J89">
        <f t="shared" ref="J89:J91" si="38">SUM(J88,3)</f>
        <v>469</v>
      </c>
      <c r="K89" s="9">
        <f t="shared" ref="K89:K138" si="39">PRODUCT(A89,J89,1/(420+J89))</f>
        <v>10551.181102362205</v>
      </c>
      <c r="L89">
        <v>0</v>
      </c>
      <c r="M89" s="9">
        <v>0</v>
      </c>
      <c r="N89">
        <v>0</v>
      </c>
      <c r="O89" s="9">
        <v>0</v>
      </c>
    </row>
    <row r="90" spans="1:15" x14ac:dyDescent="0.25">
      <c r="A90">
        <v>21000</v>
      </c>
      <c r="B90">
        <v>510</v>
      </c>
      <c r="C90" s="9">
        <f t="shared" si="31"/>
        <v>11516.129032258064</v>
      </c>
      <c r="D90">
        <f t="shared" si="32"/>
        <v>510</v>
      </c>
      <c r="E90" s="9">
        <f t="shared" si="33"/>
        <v>11516.129032258064</v>
      </c>
      <c r="F90">
        <f t="shared" si="34"/>
        <v>528</v>
      </c>
      <c r="G90" s="9">
        <f t="shared" si="35"/>
        <v>11696.202531645569</v>
      </c>
      <c r="H90">
        <f t="shared" si="36"/>
        <v>484</v>
      </c>
      <c r="I90" s="9">
        <f t="shared" si="37"/>
        <v>11243.362831858407</v>
      </c>
      <c r="J90">
        <f t="shared" si="38"/>
        <v>472</v>
      </c>
      <c r="K90" s="9">
        <f t="shared" si="39"/>
        <v>11112.107623318385</v>
      </c>
      <c r="L90">
        <v>0</v>
      </c>
      <c r="M90" s="9">
        <v>0</v>
      </c>
      <c r="N90">
        <v>0</v>
      </c>
      <c r="O90" s="9">
        <v>0</v>
      </c>
    </row>
    <row r="91" spans="1:15" x14ac:dyDescent="0.25">
      <c r="A91">
        <v>22000</v>
      </c>
      <c r="B91">
        <v>520</v>
      </c>
      <c r="C91" s="9">
        <f t="shared" si="31"/>
        <v>12170.212765957447</v>
      </c>
      <c r="D91">
        <f t="shared" si="32"/>
        <v>520</v>
      </c>
      <c r="E91" s="9">
        <f t="shared" si="33"/>
        <v>12170.212765957447</v>
      </c>
      <c r="F91">
        <f>SUM(F90,10)</f>
        <v>538</v>
      </c>
      <c r="G91" s="9">
        <f t="shared" si="35"/>
        <v>12354.906054279749</v>
      </c>
      <c r="H91">
        <f t="shared" si="36"/>
        <v>493</v>
      </c>
      <c r="I91" s="9">
        <f t="shared" si="37"/>
        <v>11879.518072289156</v>
      </c>
      <c r="J91">
        <f t="shared" si="38"/>
        <v>475</v>
      </c>
      <c r="K91" s="9">
        <f t="shared" si="39"/>
        <v>11675.977653631284</v>
      </c>
      <c r="L91">
        <v>0</v>
      </c>
      <c r="M91" s="9">
        <v>0</v>
      </c>
      <c r="N91">
        <v>0</v>
      </c>
      <c r="O91" s="9">
        <v>0</v>
      </c>
    </row>
    <row r="92" spans="1:15" x14ac:dyDescent="0.25">
      <c r="A92">
        <v>23000</v>
      </c>
      <c r="B92">
        <v>530</v>
      </c>
      <c r="C92" s="9">
        <f t="shared" si="31"/>
        <v>12831.57894736842</v>
      </c>
      <c r="D92">
        <f t="shared" si="32"/>
        <v>530</v>
      </c>
      <c r="E92" s="9">
        <f t="shared" si="33"/>
        <v>12831.57894736842</v>
      </c>
      <c r="F92">
        <f t="shared" ref="F92:F109" si="40">SUM(F91,10)</f>
        <v>548</v>
      </c>
      <c r="G92" s="9">
        <f t="shared" si="35"/>
        <v>13020.661157024793</v>
      </c>
      <c r="H92">
        <f t="shared" si="36"/>
        <v>502</v>
      </c>
      <c r="I92" s="9">
        <f t="shared" si="37"/>
        <v>12522.776572668114</v>
      </c>
      <c r="J92">
        <f>SUM(J91,6)</f>
        <v>481</v>
      </c>
      <c r="K92" s="9">
        <f t="shared" si="39"/>
        <v>12278.579356270811</v>
      </c>
      <c r="L92">
        <v>0</v>
      </c>
      <c r="M92" s="9">
        <v>0</v>
      </c>
      <c r="N92">
        <v>0</v>
      </c>
      <c r="O92" s="9">
        <v>0</v>
      </c>
    </row>
    <row r="93" spans="1:15" x14ac:dyDescent="0.25">
      <c r="A93">
        <v>24000</v>
      </c>
      <c r="B93">
        <v>540</v>
      </c>
      <c r="C93" s="9">
        <f t="shared" si="31"/>
        <v>13500</v>
      </c>
      <c r="D93">
        <f t="shared" si="32"/>
        <v>540</v>
      </c>
      <c r="E93" s="9">
        <f t="shared" si="33"/>
        <v>13500</v>
      </c>
      <c r="F93">
        <f t="shared" si="40"/>
        <v>558</v>
      </c>
      <c r="G93" s="9">
        <f t="shared" si="35"/>
        <v>13693.251533742332</v>
      </c>
      <c r="H93">
        <f t="shared" si="36"/>
        <v>511</v>
      </c>
      <c r="I93" s="9">
        <f t="shared" si="37"/>
        <v>13172.932330827067</v>
      </c>
      <c r="J93">
        <f t="shared" ref="J93:J96" si="41">SUM(J92,6)</f>
        <v>487</v>
      </c>
      <c r="K93" s="9">
        <f t="shared" si="39"/>
        <v>12886.438809261301</v>
      </c>
      <c r="L93">
        <v>0</v>
      </c>
      <c r="M93" s="9">
        <v>0</v>
      </c>
      <c r="N93">
        <v>0</v>
      </c>
      <c r="O93" s="9">
        <v>0</v>
      </c>
    </row>
    <row r="94" spans="1:15" x14ac:dyDescent="0.25">
      <c r="A94">
        <v>25000</v>
      </c>
      <c r="B94">
        <v>550</v>
      </c>
      <c r="C94" s="9">
        <f t="shared" si="31"/>
        <v>14175.257731958764</v>
      </c>
      <c r="D94">
        <f t="shared" si="32"/>
        <v>550</v>
      </c>
      <c r="E94" s="9">
        <f t="shared" si="33"/>
        <v>14175.257731958764</v>
      </c>
      <c r="F94">
        <f t="shared" si="40"/>
        <v>568</v>
      </c>
      <c r="G94" s="9">
        <f t="shared" si="35"/>
        <v>14372.469635627531</v>
      </c>
      <c r="H94">
        <f t="shared" si="36"/>
        <v>520</v>
      </c>
      <c r="I94" s="9">
        <f t="shared" si="37"/>
        <v>13829.787234042553</v>
      </c>
      <c r="J94">
        <f t="shared" si="41"/>
        <v>493</v>
      </c>
      <c r="K94" s="9">
        <f t="shared" si="39"/>
        <v>13499.452354874042</v>
      </c>
      <c r="L94">
        <v>0</v>
      </c>
      <c r="M94" s="9">
        <v>0</v>
      </c>
      <c r="N94">
        <v>0</v>
      </c>
      <c r="O94" s="9">
        <v>0</v>
      </c>
    </row>
    <row r="95" spans="1:15" x14ac:dyDescent="0.25">
      <c r="A95">
        <v>26000</v>
      </c>
      <c r="B95">
        <v>560</v>
      </c>
      <c r="C95" s="9">
        <f t="shared" si="31"/>
        <v>14857.142857142859</v>
      </c>
      <c r="D95">
        <f t="shared" si="32"/>
        <v>560</v>
      </c>
      <c r="E95" s="9">
        <f t="shared" si="33"/>
        <v>14857.142857142859</v>
      </c>
      <c r="F95">
        <f t="shared" si="40"/>
        <v>578</v>
      </c>
      <c r="G95" s="9">
        <f t="shared" si="35"/>
        <v>15058.116232464929</v>
      </c>
      <c r="H95">
        <f t="shared" si="36"/>
        <v>529</v>
      </c>
      <c r="I95" s="9">
        <f t="shared" si="37"/>
        <v>14493.150684931506</v>
      </c>
      <c r="J95">
        <f t="shared" si="41"/>
        <v>499</v>
      </c>
      <c r="K95" s="9">
        <f t="shared" si="39"/>
        <v>14117.519042437432</v>
      </c>
      <c r="L95">
        <v>580</v>
      </c>
      <c r="M95" s="9">
        <f>PRODUCT(A95,L95,1/(420+L95))</f>
        <v>15080</v>
      </c>
      <c r="N95">
        <v>0</v>
      </c>
      <c r="O95" s="9">
        <v>0</v>
      </c>
    </row>
    <row r="96" spans="1:15" x14ac:dyDescent="0.25">
      <c r="A96">
        <v>27000</v>
      </c>
      <c r="B96">
        <v>570</v>
      </c>
      <c r="C96" s="9">
        <f>PRODUCT(A96,B96,1/(420+B96))</f>
        <v>15545.454545454546</v>
      </c>
      <c r="D96">
        <f t="shared" si="32"/>
        <v>570</v>
      </c>
      <c r="E96" s="9">
        <f t="shared" si="33"/>
        <v>15545.454545454546</v>
      </c>
      <c r="F96">
        <f t="shared" si="40"/>
        <v>588</v>
      </c>
      <c r="G96" s="9">
        <f t="shared" si="35"/>
        <v>15750</v>
      </c>
      <c r="H96">
        <f t="shared" si="36"/>
        <v>538</v>
      </c>
      <c r="I96" s="9">
        <f t="shared" si="37"/>
        <v>15162.839248434237</v>
      </c>
      <c r="J96">
        <f t="shared" si="41"/>
        <v>505</v>
      </c>
      <c r="K96" s="9">
        <f t="shared" si="39"/>
        <v>14740.54054054054</v>
      </c>
      <c r="L96">
        <f>SUM(L95,6)</f>
        <v>586</v>
      </c>
      <c r="M96" s="9">
        <f t="shared" ref="M96:M138" si="42">PRODUCT(A96,L96,1/(420+L96))</f>
        <v>15727.634194831013</v>
      </c>
      <c r="N96">
        <v>0</v>
      </c>
      <c r="O96" s="9">
        <v>0</v>
      </c>
    </row>
    <row r="97" spans="1:15" x14ac:dyDescent="0.25">
      <c r="A97">
        <v>28000</v>
      </c>
      <c r="B97">
        <v>580</v>
      </c>
      <c r="C97" s="9">
        <f t="shared" si="31"/>
        <v>16240</v>
      </c>
      <c r="D97">
        <f t="shared" si="32"/>
        <v>580</v>
      </c>
      <c r="E97" s="9">
        <f t="shared" si="33"/>
        <v>16240</v>
      </c>
      <c r="F97">
        <f t="shared" si="40"/>
        <v>598</v>
      </c>
      <c r="G97" s="9">
        <f t="shared" si="35"/>
        <v>16447.937131630646</v>
      </c>
      <c r="H97">
        <f t="shared" si="36"/>
        <v>547</v>
      </c>
      <c r="I97" s="9">
        <f t="shared" si="37"/>
        <v>15838.676318510859</v>
      </c>
      <c r="J97">
        <f>SUM(J96,9)</f>
        <v>514</v>
      </c>
      <c r="K97" s="9">
        <f t="shared" si="39"/>
        <v>15408.993576017132</v>
      </c>
      <c r="L97">
        <f t="shared" ref="L97:L98" si="43">SUM(L96,6)</f>
        <v>592</v>
      </c>
      <c r="M97" s="9">
        <f t="shared" si="42"/>
        <v>16379.446640316204</v>
      </c>
      <c r="N97">
        <v>0</v>
      </c>
      <c r="O97" s="9">
        <v>0</v>
      </c>
    </row>
    <row r="98" spans="1:15" x14ac:dyDescent="0.25">
      <c r="A98">
        <v>29000</v>
      </c>
      <c r="B98">
        <v>582</v>
      </c>
      <c r="C98" s="9">
        <f t="shared" si="31"/>
        <v>16844.311377245507</v>
      </c>
      <c r="D98">
        <f>SUM(D97,14)</f>
        <v>594</v>
      </c>
      <c r="E98" s="9">
        <f t="shared" si="33"/>
        <v>16988.165680473372</v>
      </c>
      <c r="F98">
        <f t="shared" si="40"/>
        <v>608</v>
      </c>
      <c r="G98" s="9">
        <f t="shared" si="35"/>
        <v>17151.750972762646</v>
      </c>
      <c r="H98">
        <f t="shared" si="36"/>
        <v>556</v>
      </c>
      <c r="I98" s="9">
        <f t="shared" si="37"/>
        <v>16520.491803278688</v>
      </c>
      <c r="J98">
        <f t="shared" ref="J98:J106" si="44">SUM(J97,9)</f>
        <v>523</v>
      </c>
      <c r="K98" s="9">
        <f t="shared" si="39"/>
        <v>16083.775185577944</v>
      </c>
      <c r="L98">
        <f t="shared" si="43"/>
        <v>598</v>
      </c>
      <c r="M98" s="9">
        <f t="shared" si="42"/>
        <v>17035.363457760312</v>
      </c>
      <c r="N98">
        <v>0</v>
      </c>
      <c r="O98" s="9">
        <v>0</v>
      </c>
    </row>
    <row r="99" spans="1:15" x14ac:dyDescent="0.25">
      <c r="A99">
        <v>30000</v>
      </c>
      <c r="B99">
        <v>584</v>
      </c>
      <c r="C99" s="9">
        <f t="shared" si="31"/>
        <v>17450.199203187251</v>
      </c>
      <c r="D99">
        <f t="shared" ref="D99:D109" si="45">SUM(D98,14)</f>
        <v>608</v>
      </c>
      <c r="E99" s="9">
        <f t="shared" si="33"/>
        <v>17743.190661478598</v>
      </c>
      <c r="F99">
        <f t="shared" si="40"/>
        <v>618</v>
      </c>
      <c r="G99" s="9">
        <f t="shared" si="35"/>
        <v>17861.271676300577</v>
      </c>
      <c r="H99">
        <f t="shared" si="36"/>
        <v>565</v>
      </c>
      <c r="I99" s="9">
        <f t="shared" si="37"/>
        <v>17208.121827411167</v>
      </c>
      <c r="J99">
        <f t="shared" si="44"/>
        <v>532</v>
      </c>
      <c r="K99" s="9">
        <f t="shared" si="39"/>
        <v>16764.705882352941</v>
      </c>
      <c r="L99">
        <f>SUM(L98,7)</f>
        <v>605</v>
      </c>
      <c r="M99" s="9">
        <f t="shared" si="42"/>
        <v>17707.317073170732</v>
      </c>
      <c r="N99">
        <v>0</v>
      </c>
      <c r="O99" s="9">
        <v>0</v>
      </c>
    </row>
    <row r="100" spans="1:15" x14ac:dyDescent="0.25">
      <c r="A100">
        <v>31000</v>
      </c>
      <c r="B100">
        <v>586</v>
      </c>
      <c r="C100" s="9">
        <f t="shared" si="31"/>
        <v>18057.654075546718</v>
      </c>
      <c r="D100">
        <f t="shared" si="45"/>
        <v>622</v>
      </c>
      <c r="E100" s="9">
        <f t="shared" si="33"/>
        <v>18504.798464491363</v>
      </c>
      <c r="F100">
        <f t="shared" si="40"/>
        <v>628</v>
      </c>
      <c r="G100" s="9">
        <f t="shared" si="35"/>
        <v>18576.335877862595</v>
      </c>
      <c r="H100">
        <f t="shared" si="36"/>
        <v>574</v>
      </c>
      <c r="I100" s="9">
        <f t="shared" si="37"/>
        <v>17901.408450704228</v>
      </c>
      <c r="J100">
        <f t="shared" si="44"/>
        <v>541</v>
      </c>
      <c r="K100" s="9">
        <f t="shared" si="39"/>
        <v>17451.612903225807</v>
      </c>
      <c r="L100">
        <f t="shared" ref="L100:L101" si="46">SUM(L99,7)</f>
        <v>612</v>
      </c>
      <c r="M100" s="9">
        <f t="shared" si="42"/>
        <v>18383.720930232557</v>
      </c>
      <c r="N100">
        <v>0</v>
      </c>
      <c r="O100" s="9">
        <v>0</v>
      </c>
    </row>
    <row r="101" spans="1:15" x14ac:dyDescent="0.25">
      <c r="A101">
        <v>32000</v>
      </c>
      <c r="B101">
        <v>588</v>
      </c>
      <c r="C101" s="9">
        <f t="shared" si="31"/>
        <v>18666.666666666664</v>
      </c>
      <c r="D101">
        <f t="shared" si="45"/>
        <v>636</v>
      </c>
      <c r="E101" s="9">
        <f t="shared" si="33"/>
        <v>19272.727272727272</v>
      </c>
      <c r="F101">
        <f t="shared" si="40"/>
        <v>638</v>
      </c>
      <c r="G101" s="9">
        <f t="shared" si="35"/>
        <v>19296.786389413988</v>
      </c>
      <c r="H101">
        <f t="shared" si="36"/>
        <v>583</v>
      </c>
      <c r="I101" s="9">
        <f t="shared" si="37"/>
        <v>18600.199401794616</v>
      </c>
      <c r="J101">
        <f t="shared" si="44"/>
        <v>550</v>
      </c>
      <c r="K101" s="9">
        <f t="shared" si="39"/>
        <v>18144.329896907217</v>
      </c>
      <c r="L101">
        <f t="shared" si="46"/>
        <v>619</v>
      </c>
      <c r="M101" s="9">
        <f t="shared" si="42"/>
        <v>19064.485081809435</v>
      </c>
      <c r="N101">
        <v>0</v>
      </c>
      <c r="O101" s="9">
        <v>0</v>
      </c>
    </row>
    <row r="102" spans="1:15" x14ac:dyDescent="0.25">
      <c r="A102">
        <v>33000</v>
      </c>
      <c r="B102">
        <v>590</v>
      </c>
      <c r="C102" s="9">
        <f>PRODUCT(A102,B102,1/(420+B102))</f>
        <v>19277.227722772277</v>
      </c>
      <c r="D102">
        <f t="shared" si="45"/>
        <v>650</v>
      </c>
      <c r="E102" s="9">
        <f t="shared" si="33"/>
        <v>20046.728971962617</v>
      </c>
      <c r="F102">
        <f t="shared" si="40"/>
        <v>648</v>
      </c>
      <c r="G102" s="9">
        <f t="shared" si="35"/>
        <v>20022.471910112359</v>
      </c>
      <c r="H102">
        <f t="shared" si="36"/>
        <v>592</v>
      </c>
      <c r="I102" s="9">
        <f t="shared" si="37"/>
        <v>19304.347826086956</v>
      </c>
      <c r="J102">
        <f t="shared" si="44"/>
        <v>559</v>
      </c>
      <c r="K102" s="9">
        <f t="shared" si="39"/>
        <v>18842.696629213482</v>
      </c>
      <c r="L102">
        <f>SUM(L101,8)</f>
        <v>627</v>
      </c>
      <c r="M102" s="9">
        <f t="shared" si="42"/>
        <v>19762.1776504298</v>
      </c>
      <c r="N102">
        <v>0</v>
      </c>
      <c r="O102" s="9">
        <v>0</v>
      </c>
    </row>
    <row r="103" spans="1:15" x14ac:dyDescent="0.25">
      <c r="A103">
        <v>34000</v>
      </c>
      <c r="B103">
        <v>592</v>
      </c>
      <c r="C103" s="9">
        <f t="shared" si="31"/>
        <v>19889.328063241104</v>
      </c>
      <c r="D103">
        <f t="shared" si="45"/>
        <v>664</v>
      </c>
      <c r="E103" s="9">
        <f t="shared" si="33"/>
        <v>20826.568265682658</v>
      </c>
      <c r="F103">
        <f t="shared" si="40"/>
        <v>658</v>
      </c>
      <c r="G103" s="9">
        <f t="shared" si="35"/>
        <v>20753.246753246753</v>
      </c>
      <c r="H103">
        <f t="shared" si="36"/>
        <v>601</v>
      </c>
      <c r="I103" s="9">
        <f t="shared" si="37"/>
        <v>20013.712047012734</v>
      </c>
      <c r="J103">
        <f t="shared" si="44"/>
        <v>568</v>
      </c>
      <c r="K103" s="9">
        <f t="shared" si="39"/>
        <v>19546.55870445344</v>
      </c>
      <c r="L103">
        <f t="shared" ref="L103:L105" si="47">SUM(L102,8)</f>
        <v>635</v>
      </c>
      <c r="M103" s="9">
        <f t="shared" si="42"/>
        <v>20464.454976303317</v>
      </c>
      <c r="N103">
        <v>600</v>
      </c>
      <c r="O103" s="9">
        <f>PRODUCT(A103,N103,1/(420+N103))</f>
        <v>20000</v>
      </c>
    </row>
    <row r="104" spans="1:15" x14ac:dyDescent="0.25">
      <c r="A104">
        <v>35000</v>
      </c>
      <c r="B104">
        <v>594</v>
      </c>
      <c r="C104" s="9">
        <f t="shared" si="31"/>
        <v>20502.958579881659</v>
      </c>
      <c r="D104">
        <f t="shared" si="45"/>
        <v>678</v>
      </c>
      <c r="E104" s="9">
        <f t="shared" si="33"/>
        <v>21612.021857923497</v>
      </c>
      <c r="F104">
        <f t="shared" si="40"/>
        <v>668</v>
      </c>
      <c r="G104" s="9">
        <f t="shared" si="35"/>
        <v>21488.970588235294</v>
      </c>
      <c r="H104">
        <f t="shared" si="36"/>
        <v>610</v>
      </c>
      <c r="I104" s="9">
        <f t="shared" si="37"/>
        <v>20728.155339805824</v>
      </c>
      <c r="J104">
        <f t="shared" si="44"/>
        <v>577</v>
      </c>
      <c r="K104" s="9">
        <f t="shared" si="39"/>
        <v>20255.767301905718</v>
      </c>
      <c r="L104">
        <f t="shared" si="47"/>
        <v>643</v>
      </c>
      <c r="M104" s="9">
        <f t="shared" si="42"/>
        <v>21171.213546566323</v>
      </c>
      <c r="N104">
        <f>SUM(N103,4)</f>
        <v>604</v>
      </c>
      <c r="O104" s="9">
        <f t="shared" ref="O104:O138" si="48">PRODUCT(A104,N104,1/(420+N104))</f>
        <v>20644.53125</v>
      </c>
    </row>
    <row r="105" spans="1:15" x14ac:dyDescent="0.25">
      <c r="A105">
        <v>36000</v>
      </c>
      <c r="B105">
        <v>596</v>
      </c>
      <c r="C105" s="9">
        <f t="shared" si="31"/>
        <v>21118.110236220473</v>
      </c>
      <c r="D105">
        <f t="shared" si="45"/>
        <v>692</v>
      </c>
      <c r="E105" s="9">
        <f t="shared" si="33"/>
        <v>22402.877697841726</v>
      </c>
      <c r="F105">
        <f t="shared" si="40"/>
        <v>678</v>
      </c>
      <c r="G105" s="9">
        <f>PRODUCT(A105,F105,1/(420+F105))</f>
        <v>22229.508196721312</v>
      </c>
      <c r="H105">
        <f t="shared" si="36"/>
        <v>619</v>
      </c>
      <c r="I105" s="9">
        <f t="shared" si="37"/>
        <v>21447.545717035613</v>
      </c>
      <c r="J105">
        <f t="shared" si="44"/>
        <v>586</v>
      </c>
      <c r="K105" s="9">
        <f t="shared" si="39"/>
        <v>20970.178926441349</v>
      </c>
      <c r="L105">
        <f t="shared" si="47"/>
        <v>651</v>
      </c>
      <c r="M105" s="9">
        <f t="shared" si="42"/>
        <v>21882.352941176472</v>
      </c>
      <c r="N105">
        <f t="shared" ref="N105:N138" si="49">SUM(N104,4)</f>
        <v>608</v>
      </c>
      <c r="O105" s="9">
        <f t="shared" si="48"/>
        <v>21291.828793774319</v>
      </c>
    </row>
    <row r="106" spans="1:15" x14ac:dyDescent="0.25">
      <c r="A106">
        <v>37000</v>
      </c>
      <c r="B106">
        <v>598</v>
      </c>
      <c r="C106" s="9">
        <f t="shared" si="31"/>
        <v>21734.77406679764</v>
      </c>
      <c r="D106">
        <f t="shared" si="45"/>
        <v>706</v>
      </c>
      <c r="E106" s="9">
        <f t="shared" si="33"/>
        <v>23198.934280639434</v>
      </c>
      <c r="F106">
        <f t="shared" si="40"/>
        <v>688</v>
      </c>
      <c r="G106" s="9">
        <f t="shared" si="35"/>
        <v>22974.729241877256</v>
      </c>
      <c r="H106">
        <f t="shared" si="36"/>
        <v>628</v>
      </c>
      <c r="I106" s="9">
        <f t="shared" si="37"/>
        <v>22171.75572519084</v>
      </c>
      <c r="J106">
        <f t="shared" si="44"/>
        <v>595</v>
      </c>
      <c r="K106" s="9">
        <f t="shared" si="39"/>
        <v>21689.65517241379</v>
      </c>
      <c r="L106">
        <f>SUM(L105,9)</f>
        <v>660</v>
      </c>
      <c r="M106" s="9">
        <f t="shared" si="42"/>
        <v>22611.111111111113</v>
      </c>
      <c r="N106">
        <f t="shared" si="49"/>
        <v>612</v>
      </c>
      <c r="O106" s="9">
        <f t="shared" si="48"/>
        <v>21941.860465116279</v>
      </c>
    </row>
    <row r="107" spans="1:15" x14ac:dyDescent="0.25">
      <c r="A107">
        <v>38000</v>
      </c>
      <c r="B107">
        <f>SUM(B106,2)</f>
        <v>600</v>
      </c>
      <c r="C107" s="9">
        <f t="shared" si="31"/>
        <v>22352.941176470587</v>
      </c>
      <c r="D107">
        <f t="shared" si="45"/>
        <v>720</v>
      </c>
      <c r="E107" s="9">
        <f t="shared" si="33"/>
        <v>24000</v>
      </c>
      <c r="F107">
        <f t="shared" si="40"/>
        <v>698</v>
      </c>
      <c r="G107" s="9">
        <f t="shared" si="35"/>
        <v>23724.508050089447</v>
      </c>
      <c r="H107">
        <f t="shared" si="36"/>
        <v>637</v>
      </c>
      <c r="I107" s="9">
        <f t="shared" si="37"/>
        <v>22900.662251655631</v>
      </c>
      <c r="J107">
        <f>SUM(J106,10)</f>
        <v>605</v>
      </c>
      <c r="K107" s="9">
        <f t="shared" si="39"/>
        <v>22429.268292682926</v>
      </c>
      <c r="L107">
        <f t="shared" ref="L107:L109" si="50">SUM(L106,9)</f>
        <v>669</v>
      </c>
      <c r="M107" s="9">
        <f t="shared" si="42"/>
        <v>23344.35261707989</v>
      </c>
      <c r="N107">
        <f t="shared" si="49"/>
        <v>616</v>
      </c>
      <c r="O107" s="9">
        <f t="shared" si="48"/>
        <v>22594.594594594597</v>
      </c>
    </row>
    <row r="108" spans="1:15" x14ac:dyDescent="0.25">
      <c r="A108">
        <v>39000</v>
      </c>
      <c r="B108">
        <f t="shared" ref="B108:B110" si="51">SUM(B107,2)</f>
        <v>602</v>
      </c>
      <c r="C108" s="9">
        <f t="shared" si="31"/>
        <v>22972.602739726026</v>
      </c>
      <c r="D108">
        <f t="shared" si="45"/>
        <v>734</v>
      </c>
      <c r="E108" s="9">
        <f t="shared" si="33"/>
        <v>24805.892547660311</v>
      </c>
      <c r="F108">
        <f t="shared" si="40"/>
        <v>708</v>
      </c>
      <c r="G108" s="9">
        <f t="shared" si="35"/>
        <v>24478.723404255317</v>
      </c>
      <c r="H108">
        <f t="shared" si="36"/>
        <v>646</v>
      </c>
      <c r="I108" s="9">
        <f t="shared" si="37"/>
        <v>23634.146341463416</v>
      </c>
      <c r="J108">
        <f t="shared" ref="J108:J114" si="52">SUM(J107,10)</f>
        <v>615</v>
      </c>
      <c r="K108" s="9">
        <f t="shared" si="39"/>
        <v>23173.91304347826</v>
      </c>
      <c r="L108">
        <f t="shared" si="50"/>
        <v>678</v>
      </c>
      <c r="M108" s="9">
        <f t="shared" si="42"/>
        <v>24081.967213114753</v>
      </c>
      <c r="N108">
        <f t="shared" si="49"/>
        <v>620</v>
      </c>
      <c r="O108" s="9">
        <f t="shared" si="48"/>
        <v>23250</v>
      </c>
    </row>
    <row r="109" spans="1:15" x14ac:dyDescent="0.25">
      <c r="A109">
        <v>40000</v>
      </c>
      <c r="B109">
        <f t="shared" si="51"/>
        <v>604</v>
      </c>
      <c r="C109" s="9">
        <f t="shared" si="31"/>
        <v>23593.75</v>
      </c>
      <c r="D109">
        <f t="shared" si="45"/>
        <v>748</v>
      </c>
      <c r="E109" s="9">
        <f t="shared" si="33"/>
        <v>25616.438356164381</v>
      </c>
      <c r="F109">
        <f t="shared" si="40"/>
        <v>718</v>
      </c>
      <c r="G109" s="9">
        <f t="shared" si="35"/>
        <v>25237.25834797891</v>
      </c>
      <c r="H109">
        <f t="shared" si="36"/>
        <v>655</v>
      </c>
      <c r="I109" s="9">
        <f t="shared" si="37"/>
        <v>24372.093023255817</v>
      </c>
      <c r="J109">
        <f t="shared" si="52"/>
        <v>625</v>
      </c>
      <c r="K109" s="9">
        <f t="shared" si="39"/>
        <v>23923.444976076556</v>
      </c>
      <c r="L109">
        <f t="shared" si="50"/>
        <v>687</v>
      </c>
      <c r="M109" s="9">
        <f t="shared" si="42"/>
        <v>24823.848238482384</v>
      </c>
      <c r="N109">
        <f t="shared" si="49"/>
        <v>624</v>
      </c>
      <c r="O109" s="9">
        <f t="shared" si="48"/>
        <v>23908.045977011494</v>
      </c>
    </row>
    <row r="110" spans="1:15" x14ac:dyDescent="0.25">
      <c r="A110">
        <v>41000</v>
      </c>
      <c r="B110">
        <f t="shared" si="51"/>
        <v>606</v>
      </c>
      <c r="C110" s="9">
        <f>PRODUCT(A110,B110,1/(420+B110))</f>
        <v>24216.374269005846</v>
      </c>
      <c r="D110">
        <v>750</v>
      </c>
      <c r="E110" s="9">
        <f t="shared" si="33"/>
        <v>26282.051282051281</v>
      </c>
      <c r="F110">
        <f>SUM(F109,10)</f>
        <v>728</v>
      </c>
      <c r="G110" s="9">
        <f t="shared" si="35"/>
        <v>26000</v>
      </c>
      <c r="H110">
        <f t="shared" si="36"/>
        <v>664</v>
      </c>
      <c r="I110" s="9">
        <f t="shared" si="37"/>
        <v>25114.391143911438</v>
      </c>
      <c r="J110">
        <f t="shared" si="52"/>
        <v>635</v>
      </c>
      <c r="K110" s="9">
        <f t="shared" si="39"/>
        <v>24677.725118483413</v>
      </c>
      <c r="L110">
        <f>SUM(L109,10)</f>
        <v>697</v>
      </c>
      <c r="M110" s="9">
        <f t="shared" si="42"/>
        <v>25583.706356311548</v>
      </c>
      <c r="N110">
        <f t="shared" si="49"/>
        <v>628</v>
      </c>
      <c r="O110" s="9">
        <f t="shared" si="48"/>
        <v>24568.702290076333</v>
      </c>
    </row>
    <row r="111" spans="1:15" x14ac:dyDescent="0.25">
      <c r="A111">
        <v>42000</v>
      </c>
      <c r="B111">
        <v>0</v>
      </c>
      <c r="C111" s="9">
        <v>0</v>
      </c>
      <c r="D111">
        <v>750</v>
      </c>
      <c r="E111" s="9">
        <f t="shared" si="33"/>
        <v>26923.076923076922</v>
      </c>
      <c r="F111">
        <f t="shared" ref="F111:F112" si="53">SUM(F110,10)</f>
        <v>738</v>
      </c>
      <c r="G111" s="9">
        <f t="shared" si="35"/>
        <v>26766.839378238339</v>
      </c>
      <c r="H111">
        <f t="shared" si="36"/>
        <v>673</v>
      </c>
      <c r="I111" s="9">
        <f t="shared" si="37"/>
        <v>25860.933211344924</v>
      </c>
      <c r="J111">
        <f t="shared" si="52"/>
        <v>645</v>
      </c>
      <c r="K111" s="9">
        <f t="shared" si="39"/>
        <v>25436.619718309859</v>
      </c>
      <c r="L111">
        <f t="shared" ref="L111:L113" si="54">SUM(L110,10)</f>
        <v>707</v>
      </c>
      <c r="M111" s="9">
        <f t="shared" si="42"/>
        <v>26347.826086956524</v>
      </c>
      <c r="N111">
        <f t="shared" si="49"/>
        <v>632</v>
      </c>
      <c r="O111" s="9">
        <f t="shared" si="48"/>
        <v>25231.9391634981</v>
      </c>
    </row>
    <row r="112" spans="1:15" x14ac:dyDescent="0.25">
      <c r="A112">
        <v>43000</v>
      </c>
      <c r="B112">
        <v>0</v>
      </c>
      <c r="C112" s="9">
        <v>0</v>
      </c>
      <c r="D112">
        <v>750</v>
      </c>
      <c r="E112" s="9">
        <f t="shared" si="33"/>
        <v>27564.102564102563</v>
      </c>
      <c r="F112">
        <f t="shared" si="53"/>
        <v>748</v>
      </c>
      <c r="G112" s="9">
        <f t="shared" si="35"/>
        <v>27537.67123287671</v>
      </c>
      <c r="H112">
        <f t="shared" si="36"/>
        <v>682</v>
      </c>
      <c r="I112" s="9">
        <f t="shared" si="37"/>
        <v>26611.615245009074</v>
      </c>
      <c r="J112">
        <f t="shared" si="52"/>
        <v>655</v>
      </c>
      <c r="K112" s="9">
        <f t="shared" si="39"/>
        <v>26200</v>
      </c>
      <c r="L112">
        <f t="shared" si="54"/>
        <v>717</v>
      </c>
      <c r="M112" s="9">
        <f t="shared" si="42"/>
        <v>27116.094986807388</v>
      </c>
      <c r="N112">
        <f t="shared" si="49"/>
        <v>636</v>
      </c>
      <c r="O112" s="9">
        <f t="shared" si="48"/>
        <v>25897.727272727272</v>
      </c>
    </row>
    <row r="113" spans="1:15" x14ac:dyDescent="0.25">
      <c r="A113">
        <v>44000</v>
      </c>
      <c r="B113">
        <v>0</v>
      </c>
      <c r="C113" s="9">
        <v>0</v>
      </c>
      <c r="D113">
        <v>750</v>
      </c>
      <c r="E113" s="9">
        <f t="shared" si="33"/>
        <v>28205.128205128207</v>
      </c>
      <c r="F113">
        <v>750</v>
      </c>
      <c r="G113" s="9">
        <f t="shared" si="35"/>
        <v>28205.128205128207</v>
      </c>
      <c r="H113">
        <f t="shared" si="36"/>
        <v>691</v>
      </c>
      <c r="I113" s="9">
        <f t="shared" si="37"/>
        <v>27366.336633663366</v>
      </c>
      <c r="J113">
        <f t="shared" si="52"/>
        <v>665</v>
      </c>
      <c r="K113" s="9">
        <f t="shared" si="39"/>
        <v>26967.741935483871</v>
      </c>
      <c r="L113">
        <f t="shared" si="54"/>
        <v>727</v>
      </c>
      <c r="M113" s="9">
        <f t="shared" si="42"/>
        <v>27888.404533565827</v>
      </c>
      <c r="N113">
        <f t="shared" si="49"/>
        <v>640</v>
      </c>
      <c r="O113" s="9">
        <f t="shared" si="48"/>
        <v>26566.037735849055</v>
      </c>
    </row>
    <row r="114" spans="1:15" x14ac:dyDescent="0.25">
      <c r="A114">
        <v>45000</v>
      </c>
      <c r="B114">
        <v>0</v>
      </c>
      <c r="C114" s="9">
        <v>0</v>
      </c>
      <c r="D114">
        <v>750</v>
      </c>
      <c r="E114" s="9">
        <f t="shared" si="33"/>
        <v>28846.153846153848</v>
      </c>
      <c r="F114">
        <v>750</v>
      </c>
      <c r="G114" s="9">
        <f t="shared" si="35"/>
        <v>28846.153846153848</v>
      </c>
      <c r="H114">
        <f t="shared" si="36"/>
        <v>700</v>
      </c>
      <c r="I114" s="9">
        <f t="shared" si="37"/>
        <v>28125</v>
      </c>
      <c r="J114">
        <f t="shared" si="52"/>
        <v>675</v>
      </c>
      <c r="K114" s="9">
        <f t="shared" si="39"/>
        <v>27739.726027397261</v>
      </c>
      <c r="L114">
        <f>SUM(L113,11)</f>
        <v>738</v>
      </c>
      <c r="M114" s="9">
        <f t="shared" si="42"/>
        <v>28678.756476683935</v>
      </c>
      <c r="N114">
        <f t="shared" si="49"/>
        <v>644</v>
      </c>
      <c r="O114" s="9">
        <f t="shared" si="48"/>
        <v>27236.842105263157</v>
      </c>
    </row>
    <row r="115" spans="1:15" x14ac:dyDescent="0.25">
      <c r="A115">
        <v>46000</v>
      </c>
      <c r="B115">
        <v>0</v>
      </c>
      <c r="C115" s="9">
        <v>0</v>
      </c>
      <c r="D115">
        <v>750</v>
      </c>
      <c r="E115" s="9">
        <f t="shared" si="33"/>
        <v>29487.179487179488</v>
      </c>
      <c r="F115">
        <v>750</v>
      </c>
      <c r="G115" s="9">
        <f t="shared" si="35"/>
        <v>29487.179487179488</v>
      </c>
      <c r="H115">
        <f t="shared" si="36"/>
        <v>709</v>
      </c>
      <c r="I115" s="9">
        <f t="shared" si="37"/>
        <v>28887.511071744906</v>
      </c>
      <c r="J115">
        <f>SUM(J114,11)</f>
        <v>686</v>
      </c>
      <c r="K115" s="9">
        <f t="shared" si="39"/>
        <v>28531.645569620254</v>
      </c>
      <c r="L115">
        <f t="shared" ref="L115" si="55">SUM(L114,11)</f>
        <v>749</v>
      </c>
      <c r="M115" s="9">
        <f t="shared" si="42"/>
        <v>29473.053892215568</v>
      </c>
      <c r="N115">
        <f t="shared" si="49"/>
        <v>648</v>
      </c>
      <c r="O115" s="9">
        <f t="shared" si="48"/>
        <v>27910.112359550563</v>
      </c>
    </row>
    <row r="116" spans="1:15" x14ac:dyDescent="0.25">
      <c r="A116">
        <v>47000</v>
      </c>
      <c r="B116">
        <v>0</v>
      </c>
      <c r="C116" s="9">
        <v>0</v>
      </c>
      <c r="D116">
        <v>750</v>
      </c>
      <c r="E116" s="9">
        <f t="shared" si="33"/>
        <v>30128.205128205129</v>
      </c>
      <c r="F116">
        <v>750</v>
      </c>
      <c r="G116" s="9">
        <f t="shared" si="35"/>
        <v>30128.205128205129</v>
      </c>
      <c r="H116">
        <f t="shared" si="36"/>
        <v>718</v>
      </c>
      <c r="I116" s="9">
        <f t="shared" si="37"/>
        <v>29653.778558875219</v>
      </c>
      <c r="J116">
        <f t="shared" ref="J116:J120" si="56">SUM(J115,11)</f>
        <v>697</v>
      </c>
      <c r="K116" s="9">
        <f t="shared" si="39"/>
        <v>29327.663384064457</v>
      </c>
      <c r="L116">
        <v>750</v>
      </c>
      <c r="M116" s="9">
        <f t="shared" si="42"/>
        <v>30128.205128205129</v>
      </c>
      <c r="N116">
        <f t="shared" si="49"/>
        <v>652</v>
      </c>
      <c r="O116" s="9">
        <f>PRODUCT(A116,N116,1/(420+N116))</f>
        <v>28585.820895522389</v>
      </c>
    </row>
    <row r="117" spans="1:15" x14ac:dyDescent="0.25">
      <c r="A117">
        <v>48000</v>
      </c>
      <c r="B117">
        <v>0</v>
      </c>
      <c r="C117" s="9">
        <v>0</v>
      </c>
      <c r="D117">
        <v>750</v>
      </c>
      <c r="E117" s="9">
        <f t="shared" si="33"/>
        <v>30769.23076923077</v>
      </c>
      <c r="F117">
        <v>750</v>
      </c>
      <c r="G117" s="9">
        <f t="shared" si="35"/>
        <v>30769.23076923077</v>
      </c>
      <c r="H117">
        <f>SUM(H116,10)</f>
        <v>728</v>
      </c>
      <c r="I117" s="9">
        <f t="shared" si="37"/>
        <v>30439.024390243903</v>
      </c>
      <c r="J117">
        <f t="shared" si="56"/>
        <v>708</v>
      </c>
      <c r="K117" s="9">
        <f t="shared" si="39"/>
        <v>30127.659574468085</v>
      </c>
      <c r="L117">
        <v>750</v>
      </c>
      <c r="M117" s="9">
        <f t="shared" si="42"/>
        <v>30769.23076923077</v>
      </c>
      <c r="N117">
        <f t="shared" si="49"/>
        <v>656</v>
      </c>
      <c r="O117" s="9">
        <f t="shared" si="48"/>
        <v>29263.940520446096</v>
      </c>
    </row>
    <row r="118" spans="1:15" x14ac:dyDescent="0.25">
      <c r="A118">
        <v>49000</v>
      </c>
      <c r="B118">
        <v>0</v>
      </c>
      <c r="C118" s="9">
        <v>0</v>
      </c>
      <c r="D118">
        <v>750</v>
      </c>
      <c r="E118" s="9">
        <f t="shared" si="33"/>
        <v>31410.25641025641</v>
      </c>
      <c r="F118">
        <v>750</v>
      </c>
      <c r="G118" s="9">
        <f t="shared" si="35"/>
        <v>31410.25641025641</v>
      </c>
      <c r="H118">
        <f t="shared" ref="H118:H119" si="57">SUM(H117,10)</f>
        <v>738</v>
      </c>
      <c r="I118" s="9">
        <f t="shared" si="37"/>
        <v>31227.979274611396</v>
      </c>
      <c r="J118">
        <f t="shared" si="56"/>
        <v>719</v>
      </c>
      <c r="K118" s="9">
        <f t="shared" si="39"/>
        <v>30931.518876207199</v>
      </c>
      <c r="L118">
        <v>750</v>
      </c>
      <c r="M118" s="9">
        <f t="shared" si="42"/>
        <v>31410.25641025641</v>
      </c>
      <c r="N118">
        <f t="shared" si="49"/>
        <v>660</v>
      </c>
      <c r="O118" s="9">
        <f t="shared" si="48"/>
        <v>29944.444444444445</v>
      </c>
    </row>
    <row r="119" spans="1:15" x14ac:dyDescent="0.25">
      <c r="A119">
        <v>50000</v>
      </c>
      <c r="B119">
        <v>0</v>
      </c>
      <c r="C119" s="9">
        <v>0</v>
      </c>
      <c r="D119">
        <v>750</v>
      </c>
      <c r="E119" s="9">
        <f t="shared" si="33"/>
        <v>32051.282051282051</v>
      </c>
      <c r="F119">
        <v>750</v>
      </c>
      <c r="G119" s="9">
        <f t="shared" si="35"/>
        <v>32051.282051282051</v>
      </c>
      <c r="H119">
        <f t="shared" si="57"/>
        <v>748</v>
      </c>
      <c r="I119" s="9">
        <f t="shared" si="37"/>
        <v>32020.547945205479</v>
      </c>
      <c r="J119">
        <f t="shared" si="56"/>
        <v>730</v>
      </c>
      <c r="K119" s="9">
        <f t="shared" si="39"/>
        <v>31739.130434782608</v>
      </c>
      <c r="L119">
        <v>750</v>
      </c>
      <c r="M119" s="9">
        <f t="shared" si="42"/>
        <v>32051.282051282051</v>
      </c>
      <c r="N119">
        <f t="shared" si="49"/>
        <v>664</v>
      </c>
      <c r="O119" s="9">
        <f t="shared" si="48"/>
        <v>30627.306273062728</v>
      </c>
    </row>
    <row r="120" spans="1:15" x14ac:dyDescent="0.25">
      <c r="A120">
        <v>51000</v>
      </c>
      <c r="B120">
        <v>0</v>
      </c>
      <c r="C120" s="9">
        <v>0</v>
      </c>
      <c r="D120">
        <v>750</v>
      </c>
      <c r="E120" s="9">
        <f t="shared" si="33"/>
        <v>32692.307692307691</v>
      </c>
      <c r="F120">
        <v>750</v>
      </c>
      <c r="G120" s="9">
        <f t="shared" si="35"/>
        <v>32692.307692307691</v>
      </c>
      <c r="H120">
        <v>750</v>
      </c>
      <c r="I120" s="9">
        <f t="shared" si="37"/>
        <v>32692.307692307691</v>
      </c>
      <c r="J120">
        <f t="shared" si="56"/>
        <v>741</v>
      </c>
      <c r="K120" s="9">
        <f t="shared" si="39"/>
        <v>32550.387596899225</v>
      </c>
      <c r="L120">
        <v>750</v>
      </c>
      <c r="M120" s="9">
        <f t="shared" si="42"/>
        <v>32692.307692307691</v>
      </c>
      <c r="N120">
        <f t="shared" si="49"/>
        <v>668</v>
      </c>
      <c r="O120" s="9">
        <f t="shared" si="48"/>
        <v>31312.5</v>
      </c>
    </row>
    <row r="121" spans="1:15" x14ac:dyDescent="0.25">
      <c r="A121">
        <v>52000</v>
      </c>
      <c r="B121">
        <v>0</v>
      </c>
      <c r="C121" s="9">
        <v>0</v>
      </c>
      <c r="D121">
        <v>0</v>
      </c>
      <c r="E121" s="9">
        <v>0</v>
      </c>
      <c r="F121">
        <v>750</v>
      </c>
      <c r="G121" s="9">
        <f t="shared" si="35"/>
        <v>33333.333333333336</v>
      </c>
      <c r="H121">
        <v>750</v>
      </c>
      <c r="I121" s="9">
        <f t="shared" si="37"/>
        <v>33333.333333333336</v>
      </c>
      <c r="J121">
        <v>750</v>
      </c>
      <c r="K121" s="9">
        <f t="shared" si="39"/>
        <v>33333.333333333336</v>
      </c>
      <c r="L121">
        <v>750</v>
      </c>
      <c r="M121" s="9">
        <f t="shared" si="42"/>
        <v>33333.333333333336</v>
      </c>
      <c r="N121">
        <f t="shared" si="49"/>
        <v>672</v>
      </c>
      <c r="O121" s="9">
        <f t="shared" si="48"/>
        <v>32000</v>
      </c>
    </row>
    <row r="122" spans="1:15" x14ac:dyDescent="0.25">
      <c r="A122">
        <v>53000</v>
      </c>
      <c r="B122">
        <v>0</v>
      </c>
      <c r="C122" s="9">
        <v>0</v>
      </c>
      <c r="D122">
        <v>0</v>
      </c>
      <c r="E122" s="9">
        <v>0</v>
      </c>
      <c r="F122">
        <v>750</v>
      </c>
      <c r="G122" s="9">
        <f t="shared" si="35"/>
        <v>33974.358974358976</v>
      </c>
      <c r="H122">
        <v>750</v>
      </c>
      <c r="I122" s="9">
        <f t="shared" si="37"/>
        <v>33974.358974358976</v>
      </c>
      <c r="J122">
        <v>750</v>
      </c>
      <c r="K122" s="9">
        <f t="shared" si="39"/>
        <v>33974.358974358976</v>
      </c>
      <c r="L122">
        <v>750</v>
      </c>
      <c r="M122" s="9">
        <f>PRODUCT(A122,L122,1/(420+L122))</f>
        <v>33974.358974358976</v>
      </c>
      <c r="N122">
        <f t="shared" si="49"/>
        <v>676</v>
      </c>
      <c r="O122" s="9">
        <f t="shared" si="48"/>
        <v>32689.781021897808</v>
      </c>
    </row>
    <row r="123" spans="1:15" x14ac:dyDescent="0.25">
      <c r="A123">
        <v>54000</v>
      </c>
      <c r="B123">
        <v>0</v>
      </c>
      <c r="C123" s="9">
        <v>0</v>
      </c>
      <c r="D123">
        <v>0</v>
      </c>
      <c r="E123" s="9">
        <v>0</v>
      </c>
      <c r="F123">
        <v>750</v>
      </c>
      <c r="G123" s="9">
        <f t="shared" si="35"/>
        <v>34615.384615384617</v>
      </c>
      <c r="H123">
        <v>750</v>
      </c>
      <c r="I123" s="9">
        <f t="shared" si="37"/>
        <v>34615.384615384617</v>
      </c>
      <c r="J123">
        <v>750</v>
      </c>
      <c r="K123" s="9">
        <f t="shared" si="39"/>
        <v>34615.384615384617</v>
      </c>
      <c r="L123">
        <v>750</v>
      </c>
      <c r="M123" s="9">
        <f t="shared" si="42"/>
        <v>34615.384615384617</v>
      </c>
      <c r="N123">
        <f t="shared" si="49"/>
        <v>680</v>
      </c>
      <c r="O123" s="9">
        <f t="shared" si="48"/>
        <v>33381.818181818184</v>
      </c>
    </row>
    <row r="124" spans="1:15" x14ac:dyDescent="0.25">
      <c r="A124">
        <v>55000</v>
      </c>
      <c r="B124">
        <v>0</v>
      </c>
      <c r="C124" s="9">
        <v>0</v>
      </c>
      <c r="D124">
        <v>0</v>
      </c>
      <c r="E124" s="9">
        <v>0</v>
      </c>
      <c r="F124">
        <v>0</v>
      </c>
      <c r="G124" s="9">
        <v>0</v>
      </c>
      <c r="H124">
        <v>750</v>
      </c>
      <c r="I124" s="9">
        <f t="shared" si="37"/>
        <v>35256.410256410258</v>
      </c>
      <c r="J124">
        <v>750</v>
      </c>
      <c r="K124" s="9">
        <f t="shared" si="39"/>
        <v>35256.410256410258</v>
      </c>
      <c r="L124">
        <v>750</v>
      </c>
      <c r="M124" s="9">
        <f t="shared" si="42"/>
        <v>35256.410256410258</v>
      </c>
      <c r="N124">
        <f t="shared" si="49"/>
        <v>684</v>
      </c>
      <c r="O124" s="9">
        <f t="shared" si="48"/>
        <v>34076.086956521736</v>
      </c>
    </row>
    <row r="125" spans="1:15" x14ac:dyDescent="0.25">
      <c r="A125">
        <v>56000</v>
      </c>
      <c r="B125">
        <v>0</v>
      </c>
      <c r="C125" s="9">
        <v>0</v>
      </c>
      <c r="D125">
        <v>0</v>
      </c>
      <c r="E125" s="9">
        <v>0</v>
      </c>
      <c r="F125">
        <v>0</v>
      </c>
      <c r="G125" s="9">
        <v>0</v>
      </c>
      <c r="H125">
        <v>750</v>
      </c>
      <c r="I125" s="9">
        <f t="shared" si="37"/>
        <v>35897.435897435898</v>
      </c>
      <c r="J125">
        <v>750</v>
      </c>
      <c r="K125" s="9">
        <f t="shared" si="39"/>
        <v>35897.435897435898</v>
      </c>
      <c r="L125">
        <v>750</v>
      </c>
      <c r="M125" s="9">
        <f t="shared" si="42"/>
        <v>35897.435897435898</v>
      </c>
      <c r="N125">
        <f t="shared" si="49"/>
        <v>688</v>
      </c>
      <c r="O125" s="9">
        <f t="shared" si="48"/>
        <v>34772.56317689531</v>
      </c>
    </row>
    <row r="126" spans="1:15" x14ac:dyDescent="0.25">
      <c r="A126">
        <v>57000</v>
      </c>
      <c r="B126">
        <v>0</v>
      </c>
      <c r="C126" s="9">
        <v>0</v>
      </c>
      <c r="D126">
        <v>0</v>
      </c>
      <c r="E126" s="9">
        <v>0</v>
      </c>
      <c r="F126">
        <v>0</v>
      </c>
      <c r="G126" s="9">
        <v>0</v>
      </c>
      <c r="H126">
        <v>750</v>
      </c>
      <c r="I126" s="9">
        <f t="shared" si="37"/>
        <v>36538.461538461539</v>
      </c>
      <c r="J126">
        <v>750</v>
      </c>
      <c r="K126" s="9">
        <f t="shared" si="39"/>
        <v>36538.461538461539</v>
      </c>
      <c r="L126">
        <v>750</v>
      </c>
      <c r="M126" s="9">
        <f t="shared" si="42"/>
        <v>36538.461538461539</v>
      </c>
      <c r="N126">
        <f t="shared" si="49"/>
        <v>692</v>
      </c>
      <c r="O126" s="9">
        <f t="shared" si="48"/>
        <v>35471.223021582737</v>
      </c>
    </row>
    <row r="127" spans="1:15" x14ac:dyDescent="0.25">
      <c r="A127">
        <v>58000</v>
      </c>
      <c r="B127">
        <v>0</v>
      </c>
      <c r="C127" s="9">
        <v>0</v>
      </c>
      <c r="D127">
        <v>0</v>
      </c>
      <c r="E127" s="9">
        <v>0</v>
      </c>
      <c r="F127">
        <v>0</v>
      </c>
      <c r="G127" s="9">
        <v>0</v>
      </c>
      <c r="H127">
        <v>750</v>
      </c>
      <c r="I127" s="9">
        <f t="shared" si="37"/>
        <v>37179.48717948718</v>
      </c>
      <c r="J127">
        <v>750</v>
      </c>
      <c r="K127" s="9">
        <f t="shared" si="39"/>
        <v>37179.48717948718</v>
      </c>
      <c r="L127">
        <v>750</v>
      </c>
      <c r="M127" s="9">
        <f t="shared" si="42"/>
        <v>37179.48717948718</v>
      </c>
      <c r="N127">
        <f t="shared" si="49"/>
        <v>696</v>
      </c>
      <c r="O127" s="9">
        <f t="shared" si="48"/>
        <v>36172.043010752692</v>
      </c>
    </row>
    <row r="128" spans="1:15" x14ac:dyDescent="0.25">
      <c r="A128">
        <v>59000</v>
      </c>
      <c r="B128">
        <v>0</v>
      </c>
      <c r="C128" s="9">
        <v>0</v>
      </c>
      <c r="D128">
        <v>0</v>
      </c>
      <c r="E128" s="9">
        <v>0</v>
      </c>
      <c r="F128">
        <v>0</v>
      </c>
      <c r="G128" s="9">
        <v>0</v>
      </c>
      <c r="H128">
        <v>0</v>
      </c>
      <c r="I128" s="9">
        <v>0</v>
      </c>
      <c r="J128">
        <v>750</v>
      </c>
      <c r="K128" s="9">
        <f t="shared" si="39"/>
        <v>37820.51282051282</v>
      </c>
      <c r="L128">
        <v>750</v>
      </c>
      <c r="M128" s="9">
        <f t="shared" si="42"/>
        <v>37820.51282051282</v>
      </c>
      <c r="N128">
        <f t="shared" si="49"/>
        <v>700</v>
      </c>
      <c r="O128" s="9">
        <f t="shared" si="48"/>
        <v>36875</v>
      </c>
    </row>
    <row r="129" spans="1:15" x14ac:dyDescent="0.25">
      <c r="A129">
        <v>60000</v>
      </c>
      <c r="B129">
        <v>0</v>
      </c>
      <c r="C129" s="9">
        <v>0</v>
      </c>
      <c r="D129">
        <v>0</v>
      </c>
      <c r="E129" s="9">
        <v>0</v>
      </c>
      <c r="F129">
        <v>0</v>
      </c>
      <c r="G129" s="9">
        <v>0</v>
      </c>
      <c r="H129">
        <v>0</v>
      </c>
      <c r="I129" s="9">
        <v>0</v>
      </c>
      <c r="J129">
        <v>750</v>
      </c>
      <c r="K129" s="9">
        <f t="shared" si="39"/>
        <v>38461.538461538461</v>
      </c>
      <c r="L129">
        <v>750</v>
      </c>
      <c r="M129" s="9">
        <f t="shared" si="42"/>
        <v>38461.538461538461</v>
      </c>
      <c r="N129">
        <f t="shared" si="49"/>
        <v>704</v>
      </c>
      <c r="O129" s="9">
        <f t="shared" si="48"/>
        <v>37580.071174377219</v>
      </c>
    </row>
    <row r="130" spans="1:15" x14ac:dyDescent="0.25">
      <c r="A130">
        <v>61000</v>
      </c>
      <c r="B130">
        <v>0</v>
      </c>
      <c r="C130" s="9">
        <v>0</v>
      </c>
      <c r="D130">
        <v>0</v>
      </c>
      <c r="E130" s="9">
        <v>0</v>
      </c>
      <c r="F130">
        <v>0</v>
      </c>
      <c r="G130" s="9">
        <v>0</v>
      </c>
      <c r="H130">
        <v>0</v>
      </c>
      <c r="I130" s="9">
        <v>0</v>
      </c>
      <c r="J130">
        <v>750</v>
      </c>
      <c r="K130" s="9">
        <f t="shared" si="39"/>
        <v>39102.564102564102</v>
      </c>
      <c r="L130">
        <v>750</v>
      </c>
      <c r="M130" s="9">
        <f t="shared" si="42"/>
        <v>39102.564102564102</v>
      </c>
      <c r="N130">
        <f t="shared" si="49"/>
        <v>708</v>
      </c>
      <c r="O130" s="9">
        <f t="shared" si="48"/>
        <v>38287.234042553187</v>
      </c>
    </row>
    <row r="131" spans="1:15" x14ac:dyDescent="0.25">
      <c r="A131">
        <v>62000</v>
      </c>
      <c r="B131">
        <v>0</v>
      </c>
      <c r="C131" s="9">
        <v>0</v>
      </c>
      <c r="D131">
        <v>0</v>
      </c>
      <c r="E131" s="9">
        <v>0</v>
      </c>
      <c r="F131">
        <v>0</v>
      </c>
      <c r="G131" s="9">
        <v>0</v>
      </c>
      <c r="H131">
        <v>0</v>
      </c>
      <c r="I131" s="9">
        <v>0</v>
      </c>
      <c r="J131">
        <v>750</v>
      </c>
      <c r="K131" s="9">
        <f t="shared" si="39"/>
        <v>39743.589743589742</v>
      </c>
      <c r="L131">
        <v>750</v>
      </c>
      <c r="M131" s="9">
        <f t="shared" si="42"/>
        <v>39743.589743589742</v>
      </c>
      <c r="N131">
        <f t="shared" si="49"/>
        <v>712</v>
      </c>
      <c r="O131" s="9">
        <f t="shared" si="48"/>
        <v>38996.466431095403</v>
      </c>
    </row>
    <row r="132" spans="1:15" x14ac:dyDescent="0.25">
      <c r="A132">
        <v>63000</v>
      </c>
      <c r="B132">
        <v>0</v>
      </c>
      <c r="C132" s="9">
        <v>0</v>
      </c>
      <c r="D132">
        <v>0</v>
      </c>
      <c r="E132" s="9">
        <v>0</v>
      </c>
      <c r="F132">
        <v>0</v>
      </c>
      <c r="G132" s="9">
        <v>0</v>
      </c>
      <c r="H132">
        <v>0</v>
      </c>
      <c r="I132" s="9">
        <v>0</v>
      </c>
      <c r="J132">
        <v>750</v>
      </c>
      <c r="K132" s="9">
        <f t="shared" si="39"/>
        <v>40384.615384615383</v>
      </c>
      <c r="L132">
        <v>750</v>
      </c>
      <c r="M132" s="9">
        <f>PRODUCT(A132,L132,1/(420+L132))</f>
        <v>40384.615384615383</v>
      </c>
      <c r="N132">
        <f t="shared" si="49"/>
        <v>716</v>
      </c>
      <c r="O132" s="9">
        <f t="shared" si="48"/>
        <v>39707.74647887324</v>
      </c>
    </row>
    <row r="133" spans="1:15" x14ac:dyDescent="0.25">
      <c r="A133">
        <v>64000</v>
      </c>
      <c r="B133">
        <v>0</v>
      </c>
      <c r="C133" s="9">
        <v>0</v>
      </c>
      <c r="D133">
        <v>0</v>
      </c>
      <c r="E133" s="9">
        <v>0</v>
      </c>
      <c r="F133">
        <v>0</v>
      </c>
      <c r="G133" s="9">
        <v>0</v>
      </c>
      <c r="H133">
        <v>0</v>
      </c>
      <c r="I133" s="9">
        <v>0</v>
      </c>
      <c r="J133">
        <v>750</v>
      </c>
      <c r="K133" s="9">
        <f t="shared" si="39"/>
        <v>41025.641025641024</v>
      </c>
      <c r="L133">
        <v>750</v>
      </c>
      <c r="M133" s="9">
        <f t="shared" si="42"/>
        <v>41025.641025641024</v>
      </c>
      <c r="N133">
        <f t="shared" si="49"/>
        <v>720</v>
      </c>
      <c r="O133" s="9">
        <f t="shared" si="48"/>
        <v>40421.052631578947</v>
      </c>
    </row>
    <row r="134" spans="1:15" x14ac:dyDescent="0.25">
      <c r="A134">
        <v>65000</v>
      </c>
      <c r="B134">
        <v>0</v>
      </c>
      <c r="C134" s="9">
        <v>0</v>
      </c>
      <c r="D134">
        <v>0</v>
      </c>
      <c r="E134" s="9">
        <v>0</v>
      </c>
      <c r="F134">
        <v>0</v>
      </c>
      <c r="G134" s="9">
        <v>0</v>
      </c>
      <c r="H134">
        <v>0</v>
      </c>
      <c r="I134" s="9">
        <v>0</v>
      </c>
      <c r="J134">
        <v>750</v>
      </c>
      <c r="K134" s="9">
        <f t="shared" si="39"/>
        <v>41666.666666666664</v>
      </c>
      <c r="L134">
        <v>750</v>
      </c>
      <c r="M134" s="9">
        <f t="shared" si="42"/>
        <v>41666.666666666664</v>
      </c>
      <c r="N134">
        <f t="shared" si="49"/>
        <v>724</v>
      </c>
      <c r="O134" s="9">
        <f t="shared" si="48"/>
        <v>41136.36363636364</v>
      </c>
    </row>
    <row r="135" spans="1:15" x14ac:dyDescent="0.25">
      <c r="A135">
        <v>66000</v>
      </c>
      <c r="B135">
        <v>0</v>
      </c>
      <c r="C135" s="9">
        <v>0</v>
      </c>
      <c r="D135">
        <v>0</v>
      </c>
      <c r="E135" s="9">
        <v>0</v>
      </c>
      <c r="F135">
        <v>0</v>
      </c>
      <c r="G135" s="9">
        <v>0</v>
      </c>
      <c r="H135">
        <v>0</v>
      </c>
      <c r="I135" s="9">
        <v>0</v>
      </c>
      <c r="J135">
        <v>750</v>
      </c>
      <c r="K135" s="9">
        <f t="shared" si="39"/>
        <v>42307.692307692305</v>
      </c>
      <c r="L135">
        <v>750</v>
      </c>
      <c r="M135" s="9">
        <f t="shared" si="42"/>
        <v>42307.692307692305</v>
      </c>
      <c r="N135">
        <f t="shared" si="49"/>
        <v>728</v>
      </c>
      <c r="O135" s="9">
        <f t="shared" si="48"/>
        <v>41853.658536585368</v>
      </c>
    </row>
    <row r="136" spans="1:15" x14ac:dyDescent="0.25">
      <c r="A136">
        <v>67000</v>
      </c>
      <c r="B136">
        <v>0</v>
      </c>
      <c r="C136" s="9">
        <v>0</v>
      </c>
      <c r="D136">
        <v>0</v>
      </c>
      <c r="E136" s="9">
        <v>0</v>
      </c>
      <c r="F136">
        <v>0</v>
      </c>
      <c r="G136" s="9">
        <v>0</v>
      </c>
      <c r="H136">
        <v>0</v>
      </c>
      <c r="I136" s="9">
        <v>0</v>
      </c>
      <c r="J136">
        <v>750</v>
      </c>
      <c r="K136" s="9">
        <f t="shared" si="39"/>
        <v>42948.717948717946</v>
      </c>
      <c r="L136">
        <v>750</v>
      </c>
      <c r="M136" s="9">
        <f t="shared" si="42"/>
        <v>42948.717948717946</v>
      </c>
      <c r="N136">
        <f t="shared" si="49"/>
        <v>732</v>
      </c>
      <c r="O136" s="9">
        <f t="shared" si="48"/>
        <v>42572.916666666664</v>
      </c>
    </row>
    <row r="137" spans="1:15" x14ac:dyDescent="0.25">
      <c r="A137">
        <v>68000</v>
      </c>
      <c r="B137">
        <v>0</v>
      </c>
      <c r="C137" s="9">
        <v>0</v>
      </c>
      <c r="D137">
        <v>0</v>
      </c>
      <c r="E137" s="9">
        <v>0</v>
      </c>
      <c r="F137">
        <v>0</v>
      </c>
      <c r="G137" s="9">
        <v>0</v>
      </c>
      <c r="H137">
        <v>0</v>
      </c>
      <c r="I137" s="9">
        <v>0</v>
      </c>
      <c r="J137">
        <v>750</v>
      </c>
      <c r="K137" s="9">
        <f t="shared" si="39"/>
        <v>43589.743589743586</v>
      </c>
      <c r="L137">
        <v>750</v>
      </c>
      <c r="M137" s="9">
        <f t="shared" si="42"/>
        <v>43589.743589743586</v>
      </c>
      <c r="N137">
        <f t="shared" si="49"/>
        <v>736</v>
      </c>
      <c r="O137" s="9">
        <f t="shared" si="48"/>
        <v>43294.117647058825</v>
      </c>
    </row>
    <row r="138" spans="1:15" x14ac:dyDescent="0.25">
      <c r="A138">
        <v>69000</v>
      </c>
      <c r="B138">
        <v>0</v>
      </c>
      <c r="C138" s="9">
        <v>0</v>
      </c>
      <c r="D138">
        <v>0</v>
      </c>
      <c r="E138" s="9">
        <v>0</v>
      </c>
      <c r="F138">
        <v>0</v>
      </c>
      <c r="G138" s="9">
        <v>0</v>
      </c>
      <c r="H138">
        <v>0</v>
      </c>
      <c r="I138" s="9">
        <v>0</v>
      </c>
      <c r="J138">
        <v>750</v>
      </c>
      <c r="K138" s="9">
        <f t="shared" si="39"/>
        <v>44230.769230769234</v>
      </c>
      <c r="L138">
        <v>750</v>
      </c>
      <c r="M138" s="9">
        <f t="shared" si="42"/>
        <v>44230.769230769234</v>
      </c>
      <c r="N138">
        <f t="shared" si="49"/>
        <v>740</v>
      </c>
      <c r="O138" s="9">
        <f t="shared" si="48"/>
        <v>44017.241379310348</v>
      </c>
    </row>
    <row r="139" spans="1:15" x14ac:dyDescent="0.25">
      <c r="A139">
        <v>70000</v>
      </c>
      <c r="M139" s="9"/>
    </row>
    <row r="140" spans="1:15" x14ac:dyDescent="0.25">
      <c r="A140">
        <v>71000</v>
      </c>
      <c r="M140" s="9"/>
    </row>
    <row r="141" spans="1:15" x14ac:dyDescent="0.25">
      <c r="A141">
        <v>72000</v>
      </c>
      <c r="M141" s="9"/>
    </row>
    <row r="142" spans="1:15" x14ac:dyDescent="0.25">
      <c r="A142">
        <v>73000</v>
      </c>
      <c r="M142" s="9"/>
    </row>
    <row r="143" spans="1:15" x14ac:dyDescent="0.25">
      <c r="A143">
        <v>74000</v>
      </c>
    </row>
    <row r="144" spans="1:15" x14ac:dyDescent="0.25">
      <c r="A144">
        <v>75000</v>
      </c>
    </row>
    <row r="146" spans="1:19" x14ac:dyDescent="0.25">
      <c r="A146" t="s">
        <v>51</v>
      </c>
      <c r="C146" s="16">
        <v>15000</v>
      </c>
      <c r="E146">
        <v>16000</v>
      </c>
      <c r="G146">
        <v>18000</v>
      </c>
      <c r="I146">
        <v>19000</v>
      </c>
      <c r="K146">
        <v>19000</v>
      </c>
      <c r="M146">
        <v>26000</v>
      </c>
      <c r="O146">
        <v>34000</v>
      </c>
    </row>
    <row r="147" spans="1:19" x14ac:dyDescent="0.25">
      <c r="A147" t="s">
        <v>50</v>
      </c>
      <c r="C147">
        <v>41000</v>
      </c>
      <c r="E147">
        <v>51000</v>
      </c>
      <c r="G147">
        <v>54000</v>
      </c>
      <c r="I147">
        <v>58000</v>
      </c>
      <c r="K147">
        <v>69000</v>
      </c>
      <c r="M147">
        <v>69000</v>
      </c>
      <c r="O147">
        <v>69000</v>
      </c>
    </row>
    <row r="148" spans="1:19" x14ac:dyDescent="0.25">
      <c r="A148" t="s">
        <v>52</v>
      </c>
      <c r="C148" s="16">
        <v>7759</v>
      </c>
      <c r="E148">
        <v>8300</v>
      </c>
      <c r="G148">
        <v>9783</v>
      </c>
      <c r="I148">
        <v>9500</v>
      </c>
      <c r="K148">
        <v>9500</v>
      </c>
      <c r="M148">
        <v>15000</v>
      </c>
      <c r="O148">
        <v>20000</v>
      </c>
    </row>
    <row r="149" spans="1:19" x14ac:dyDescent="0.25">
      <c r="A149" t="s">
        <v>53</v>
      </c>
      <c r="C149">
        <v>24216</v>
      </c>
      <c r="E149">
        <v>33000</v>
      </c>
      <c r="G149">
        <v>35000</v>
      </c>
      <c r="I149">
        <v>38000</v>
      </c>
      <c r="K149">
        <v>45000</v>
      </c>
      <c r="M149">
        <v>44500</v>
      </c>
      <c r="O149">
        <v>47000</v>
      </c>
    </row>
    <row r="150" spans="1:19" ht="30" customHeight="1" x14ac:dyDescent="0.25">
      <c r="A150" s="25" t="s">
        <v>55</v>
      </c>
      <c r="B150" s="26"/>
      <c r="C150">
        <v>25500</v>
      </c>
      <c r="E150">
        <v>26500</v>
      </c>
      <c r="G150">
        <v>28500</v>
      </c>
      <c r="I150">
        <v>29500</v>
      </c>
      <c r="K150">
        <v>29500</v>
      </c>
      <c r="M150">
        <v>36500</v>
      </c>
      <c r="O150">
        <v>44500</v>
      </c>
    </row>
    <row r="151" spans="1:19" ht="30" customHeight="1" x14ac:dyDescent="0.25">
      <c r="A151" s="25" t="s">
        <v>56</v>
      </c>
      <c r="B151" s="26"/>
      <c r="C151">
        <v>20880</v>
      </c>
      <c r="E151">
        <v>21880</v>
      </c>
      <c r="G151">
        <v>23880</v>
      </c>
      <c r="I151">
        <v>24880</v>
      </c>
      <c r="K151">
        <v>24880</v>
      </c>
      <c r="M151">
        <v>31880</v>
      </c>
      <c r="O151">
        <v>39880</v>
      </c>
    </row>
    <row r="152" spans="1:19" ht="29.25" customHeight="1" x14ac:dyDescent="0.25">
      <c r="A152" s="25" t="s">
        <v>57</v>
      </c>
      <c r="B152" s="26"/>
      <c r="C152">
        <v>29700</v>
      </c>
      <c r="E152">
        <v>30700</v>
      </c>
      <c r="G152">
        <v>32700</v>
      </c>
      <c r="I152">
        <v>33700</v>
      </c>
      <c r="K152">
        <v>33700</v>
      </c>
      <c r="M152">
        <v>40700</v>
      </c>
      <c r="O152">
        <v>48700</v>
      </c>
    </row>
    <row r="153" spans="1:19" ht="29.25" customHeight="1" x14ac:dyDescent="0.25">
      <c r="A153" s="25" t="s">
        <v>58</v>
      </c>
      <c r="B153" s="26"/>
      <c r="C153">
        <v>15900</v>
      </c>
      <c r="E153">
        <v>16900</v>
      </c>
      <c r="G153">
        <v>18900</v>
      </c>
      <c r="I153">
        <v>19900</v>
      </c>
      <c r="K153">
        <v>19900</v>
      </c>
      <c r="M153">
        <v>26900</v>
      </c>
      <c r="O153">
        <v>34900</v>
      </c>
    </row>
    <row r="155" spans="1:19" ht="30" customHeight="1" x14ac:dyDescent="0.25">
      <c r="A155" s="25" t="s">
        <v>59</v>
      </c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15"/>
      <c r="Q155" s="15"/>
      <c r="R155" s="15"/>
      <c r="S155" s="15"/>
    </row>
    <row r="156" spans="1:19" x14ac:dyDescent="0.25">
      <c r="A156" s="25" t="s">
        <v>39</v>
      </c>
      <c r="B156" s="24" t="s">
        <v>42</v>
      </c>
      <c r="C156" s="24"/>
      <c r="D156" s="24" t="s">
        <v>43</v>
      </c>
      <c r="E156" s="24"/>
      <c r="F156" s="24" t="s">
        <v>44</v>
      </c>
      <c r="G156" s="24"/>
      <c r="H156" s="24" t="s">
        <v>45</v>
      </c>
      <c r="I156" s="24"/>
      <c r="J156" s="24" t="s">
        <v>46</v>
      </c>
      <c r="K156" s="24"/>
      <c r="L156" s="24" t="s">
        <v>47</v>
      </c>
      <c r="M156" s="24"/>
      <c r="N156" s="24" t="s">
        <v>48</v>
      </c>
      <c r="O156" s="24"/>
    </row>
    <row r="157" spans="1:19" x14ac:dyDescent="0.25">
      <c r="A157" s="25"/>
      <c r="B157" t="s">
        <v>40</v>
      </c>
      <c r="C157" t="s">
        <v>41</v>
      </c>
      <c r="D157" t="s">
        <v>40</v>
      </c>
      <c r="E157" t="s">
        <v>41</v>
      </c>
      <c r="F157" t="s">
        <v>40</v>
      </c>
      <c r="G157" t="s">
        <v>41</v>
      </c>
      <c r="H157" t="s">
        <v>40</v>
      </c>
      <c r="I157" t="s">
        <v>41</v>
      </c>
      <c r="J157" t="s">
        <v>40</v>
      </c>
      <c r="K157" t="s">
        <v>41</v>
      </c>
      <c r="L157" t="s">
        <v>40</v>
      </c>
      <c r="M157" t="s">
        <v>41</v>
      </c>
      <c r="N157" t="s">
        <v>40</v>
      </c>
      <c r="O157" t="s">
        <v>41</v>
      </c>
    </row>
    <row r="158" spans="1:19" x14ac:dyDescent="0.25">
      <c r="A158" s="4">
        <v>10000</v>
      </c>
      <c r="B158">
        <v>400</v>
      </c>
      <c r="C158" s="9">
        <f t="shared" ref="C158:C159" si="58">PRODUCT(A158,B158,1/(150+B158))</f>
        <v>7272.727272727273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9" x14ac:dyDescent="0.25">
      <c r="A159" s="4">
        <v>11000</v>
      </c>
      <c r="B159">
        <v>410</v>
      </c>
      <c r="C159" s="9">
        <f t="shared" si="58"/>
        <v>8053.5714285714284</v>
      </c>
      <c r="D159">
        <v>410</v>
      </c>
      <c r="E159" s="9">
        <f>PRODUCT(A159,D159,1/(150+D159))</f>
        <v>8053.5714285714284</v>
      </c>
      <c r="F159">
        <v>0</v>
      </c>
      <c r="G159" s="9">
        <v>0</v>
      </c>
      <c r="H159">
        <v>0</v>
      </c>
      <c r="I159" s="9">
        <v>0</v>
      </c>
      <c r="J159">
        <v>0</v>
      </c>
      <c r="K159" s="9">
        <v>0</v>
      </c>
      <c r="L159">
        <v>0</v>
      </c>
      <c r="M159">
        <v>0</v>
      </c>
      <c r="N159">
        <v>0</v>
      </c>
      <c r="O159">
        <v>0</v>
      </c>
    </row>
    <row r="160" spans="1:19" x14ac:dyDescent="0.25">
      <c r="A160">
        <v>12000</v>
      </c>
      <c r="B160">
        <v>420</v>
      </c>
      <c r="C160" s="9">
        <f>PRODUCT(A160,B160,1/(150+B160))</f>
        <v>8842.105263157895</v>
      </c>
      <c r="D160">
        <v>420</v>
      </c>
      <c r="E160" s="9">
        <f>PRODUCT(A160,D160,1/(150+D160))</f>
        <v>8842.105263157895</v>
      </c>
      <c r="F160">
        <v>450</v>
      </c>
      <c r="G160" s="9">
        <f>PRODUCT(A160,F160,1/(150+F160))</f>
        <v>9000</v>
      </c>
      <c r="H160">
        <v>0</v>
      </c>
      <c r="I160" s="9">
        <v>0</v>
      </c>
      <c r="J160">
        <v>0</v>
      </c>
      <c r="K160" s="9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>
        <v>13000</v>
      </c>
      <c r="B161">
        <v>430</v>
      </c>
      <c r="C161" s="9">
        <f t="shared" ref="C161:C179" si="59">PRODUCT(A161,B161,1/(150+B161))</f>
        <v>9637.9310344827591</v>
      </c>
      <c r="D161">
        <f>SUM(D160,10)</f>
        <v>430</v>
      </c>
      <c r="E161" s="9">
        <f t="shared" ref="E161:E182" si="60">PRODUCT(A161,D161,1/(150+D161))</f>
        <v>9637.9310344827591</v>
      </c>
      <c r="F161">
        <v>460</v>
      </c>
      <c r="G161" s="9">
        <f>PRODUCT(A161,F161,1/(150+F161))</f>
        <v>9803.2786885245896</v>
      </c>
      <c r="H161">
        <v>0</v>
      </c>
      <c r="I161" s="9">
        <v>0</v>
      </c>
      <c r="J161">
        <v>0</v>
      </c>
      <c r="K161" s="9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>
        <v>14000</v>
      </c>
      <c r="B162">
        <v>440</v>
      </c>
      <c r="C162" s="9">
        <f t="shared" si="59"/>
        <v>10440.677966101695</v>
      </c>
      <c r="D162">
        <f t="shared" ref="D162:D176" si="61">SUM(D161,10)</f>
        <v>440</v>
      </c>
      <c r="E162" s="9">
        <f t="shared" si="60"/>
        <v>10440.677966101695</v>
      </c>
      <c r="F162">
        <f>SUM(F161,8)</f>
        <v>468</v>
      </c>
      <c r="G162" s="9">
        <f t="shared" ref="G162:G194" si="62">PRODUCT(A162,F162,1/(150+F162))</f>
        <v>10601.941747572817</v>
      </c>
      <c r="H162">
        <v>424</v>
      </c>
      <c r="I162" s="9">
        <f t="shared" ref="I162:I163" si="63">PRODUCT(A162,H162,1/(150+H162))</f>
        <v>10341.463414634147</v>
      </c>
      <c r="J162">
        <v>0</v>
      </c>
      <c r="K162" s="9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>
        <v>15000</v>
      </c>
      <c r="B163">
        <v>450</v>
      </c>
      <c r="C163" s="9">
        <f t="shared" si="59"/>
        <v>11250</v>
      </c>
      <c r="D163">
        <f t="shared" si="61"/>
        <v>450</v>
      </c>
      <c r="E163" s="9">
        <f t="shared" si="60"/>
        <v>11250</v>
      </c>
      <c r="F163">
        <f t="shared" ref="F163:F165" si="64">SUM(F162,8)</f>
        <v>476</v>
      </c>
      <c r="G163" s="9">
        <f t="shared" si="62"/>
        <v>11405.750798722045</v>
      </c>
      <c r="H163">
        <v>432</v>
      </c>
      <c r="I163" s="9">
        <f t="shared" si="63"/>
        <v>11134.0206185567</v>
      </c>
      <c r="J163">
        <v>0</v>
      </c>
      <c r="K163" s="9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>
        <v>16000</v>
      </c>
      <c r="B164">
        <v>460</v>
      </c>
      <c r="C164" s="9">
        <f t="shared" si="59"/>
        <v>12065.573770491803</v>
      </c>
      <c r="D164">
        <f t="shared" si="61"/>
        <v>460</v>
      </c>
      <c r="E164" s="9">
        <f t="shared" si="60"/>
        <v>12065.573770491803</v>
      </c>
      <c r="F164">
        <f t="shared" si="64"/>
        <v>484</v>
      </c>
      <c r="G164" s="9">
        <f t="shared" si="62"/>
        <v>12214.511041009464</v>
      </c>
      <c r="H164">
        <v>440</v>
      </c>
      <c r="I164" s="9">
        <f>PRODUCT(A164,H164,1/(150+H164))</f>
        <v>11932.203389830509</v>
      </c>
      <c r="J164">
        <v>457</v>
      </c>
      <c r="K164" s="9">
        <f t="shared" ref="K164:K166" si="65">PRODUCT(A164,J164,1/(150+J164))</f>
        <v>12046.128500823723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>
        <v>17000</v>
      </c>
      <c r="B165">
        <v>470</v>
      </c>
      <c r="C165" s="9">
        <f t="shared" si="59"/>
        <v>12887.096774193549</v>
      </c>
      <c r="D165">
        <f t="shared" si="61"/>
        <v>470</v>
      </c>
      <c r="E165" s="9">
        <f t="shared" si="60"/>
        <v>12887.096774193549</v>
      </c>
      <c r="F165">
        <f t="shared" si="64"/>
        <v>492</v>
      </c>
      <c r="G165" s="9">
        <f t="shared" si="62"/>
        <v>13028.037383177571</v>
      </c>
      <c r="H165">
        <f t="shared" ref="H165" si="66">SUM(H164,8)</f>
        <v>448</v>
      </c>
      <c r="I165" s="9">
        <f t="shared" ref="I165:I197" si="67">PRODUCT(A165,H165,1/(150+H165))</f>
        <v>12735.785953177257</v>
      </c>
      <c r="J165">
        <v>460</v>
      </c>
      <c r="K165" s="9">
        <f t="shared" si="65"/>
        <v>12819.672131147541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>
        <v>18000</v>
      </c>
      <c r="B166">
        <v>480</v>
      </c>
      <c r="C166" s="9">
        <f t="shared" si="59"/>
        <v>13714.285714285714</v>
      </c>
      <c r="D166">
        <f t="shared" si="61"/>
        <v>480</v>
      </c>
      <c r="E166" s="9">
        <f t="shared" si="60"/>
        <v>13714.285714285714</v>
      </c>
      <c r="F166">
        <f>SUM(F165,9)</f>
        <v>501</v>
      </c>
      <c r="G166" s="9">
        <f t="shared" si="62"/>
        <v>13852.534562211982</v>
      </c>
      <c r="H166">
        <f>SUM(H165,9)</f>
        <v>457</v>
      </c>
      <c r="I166" s="9">
        <f t="shared" si="67"/>
        <v>13551.894563426689</v>
      </c>
      <c r="J166">
        <v>463</v>
      </c>
      <c r="K166" s="9">
        <f t="shared" si="65"/>
        <v>13595.432300163133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>
        <v>19000</v>
      </c>
      <c r="B167">
        <v>490</v>
      </c>
      <c r="C167" s="9">
        <f t="shared" si="59"/>
        <v>14546.875</v>
      </c>
      <c r="D167">
        <f t="shared" si="61"/>
        <v>490</v>
      </c>
      <c r="E167" s="9">
        <f t="shared" si="60"/>
        <v>14546.875</v>
      </c>
      <c r="F167">
        <f t="shared" ref="F167:F169" si="68">SUM(F166,9)</f>
        <v>510</v>
      </c>
      <c r="G167" s="9">
        <f t="shared" si="62"/>
        <v>14681.818181818182</v>
      </c>
      <c r="H167">
        <f t="shared" ref="H167:H195" si="69">SUM(H166,9)</f>
        <v>466</v>
      </c>
      <c r="I167" s="9">
        <f t="shared" si="67"/>
        <v>14373.376623376624</v>
      </c>
      <c r="J167">
        <v>466</v>
      </c>
      <c r="K167" s="9">
        <f>PRODUCT(A167,J167,1/(150+J167))</f>
        <v>14373.376623376624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>
        <v>20000</v>
      </c>
      <c r="B168">
        <v>500</v>
      </c>
      <c r="C168" s="9">
        <f t="shared" si="59"/>
        <v>15384.615384615385</v>
      </c>
      <c r="D168">
        <f t="shared" si="61"/>
        <v>500</v>
      </c>
      <c r="E168" s="9">
        <f t="shared" si="60"/>
        <v>15384.615384615385</v>
      </c>
      <c r="F168">
        <f t="shared" si="68"/>
        <v>519</v>
      </c>
      <c r="G168" s="9">
        <f t="shared" si="62"/>
        <v>15515.695067264574</v>
      </c>
      <c r="H168">
        <f t="shared" si="69"/>
        <v>475</v>
      </c>
      <c r="I168" s="9">
        <f t="shared" si="67"/>
        <v>15200</v>
      </c>
      <c r="J168">
        <f t="shared" ref="J168:J170" si="70">SUM(J167,3)</f>
        <v>469</v>
      </c>
      <c r="K168" s="9">
        <f t="shared" ref="K168:K202" si="71">PRODUCT(A168,J168,1/(150+J168))</f>
        <v>15153.473344103393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>
        <v>21000</v>
      </c>
      <c r="B169">
        <v>510</v>
      </c>
      <c r="C169" s="9">
        <f t="shared" si="59"/>
        <v>16227.272727272728</v>
      </c>
      <c r="D169">
        <f t="shared" si="61"/>
        <v>510</v>
      </c>
      <c r="E169" s="9">
        <f t="shared" si="60"/>
        <v>16227.272727272728</v>
      </c>
      <c r="F169">
        <f t="shared" si="68"/>
        <v>528</v>
      </c>
      <c r="G169" s="9">
        <f t="shared" si="62"/>
        <v>16353.982300884956</v>
      </c>
      <c r="H169">
        <f t="shared" si="69"/>
        <v>484</v>
      </c>
      <c r="I169" s="9">
        <f t="shared" si="67"/>
        <v>16031.545741324921</v>
      </c>
      <c r="J169">
        <f t="shared" si="70"/>
        <v>472</v>
      </c>
      <c r="K169" s="9">
        <f t="shared" si="71"/>
        <v>15935.691318327974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>
        <v>22000</v>
      </c>
      <c r="B170">
        <v>520</v>
      </c>
      <c r="C170" s="9">
        <f t="shared" si="59"/>
        <v>17074.626865671642</v>
      </c>
      <c r="D170">
        <f t="shared" si="61"/>
        <v>520</v>
      </c>
      <c r="E170" s="9">
        <f t="shared" si="60"/>
        <v>17074.626865671642</v>
      </c>
      <c r="F170">
        <f>SUM(F169,10)</f>
        <v>538</v>
      </c>
      <c r="G170" s="9">
        <f t="shared" si="62"/>
        <v>17203.488372093023</v>
      </c>
      <c r="H170">
        <f t="shared" si="69"/>
        <v>493</v>
      </c>
      <c r="I170" s="9">
        <f t="shared" si="67"/>
        <v>16867.807153965787</v>
      </c>
      <c r="J170">
        <f t="shared" si="70"/>
        <v>475</v>
      </c>
      <c r="K170" s="9">
        <f t="shared" si="71"/>
        <v>16720</v>
      </c>
      <c r="L170">
        <v>556</v>
      </c>
      <c r="M170" s="9">
        <f t="shared" ref="M170:M173" si="72">PRODUCT(A170,L170,1/(150+L170))</f>
        <v>17325.779036827196</v>
      </c>
      <c r="N170">
        <v>0</v>
      </c>
      <c r="O170">
        <v>0</v>
      </c>
    </row>
    <row r="171" spans="1:15" x14ac:dyDescent="0.25">
      <c r="A171">
        <v>23000</v>
      </c>
      <c r="B171">
        <v>530</v>
      </c>
      <c r="C171" s="9">
        <f t="shared" si="59"/>
        <v>17926.470588235294</v>
      </c>
      <c r="D171">
        <f t="shared" si="61"/>
        <v>530</v>
      </c>
      <c r="E171" s="9">
        <f t="shared" si="60"/>
        <v>17926.470588235294</v>
      </c>
      <c r="F171">
        <f t="shared" ref="F171:F188" si="73">SUM(F170,10)</f>
        <v>548</v>
      </c>
      <c r="G171" s="9">
        <f t="shared" si="62"/>
        <v>18057.306590257878</v>
      </c>
      <c r="H171">
        <f t="shared" si="69"/>
        <v>502</v>
      </c>
      <c r="I171" s="9">
        <f t="shared" si="67"/>
        <v>17708.588957055214</v>
      </c>
      <c r="J171">
        <f>SUM(J170,6)</f>
        <v>481</v>
      </c>
      <c r="K171" s="9">
        <f t="shared" si="71"/>
        <v>17532.488114104595</v>
      </c>
      <c r="L171">
        <v>562</v>
      </c>
      <c r="M171" s="9">
        <f t="shared" si="72"/>
        <v>18154.494382022473</v>
      </c>
      <c r="N171">
        <v>0</v>
      </c>
      <c r="O171">
        <v>0</v>
      </c>
    </row>
    <row r="172" spans="1:15" x14ac:dyDescent="0.25">
      <c r="A172">
        <v>24000</v>
      </c>
      <c r="B172">
        <v>540</v>
      </c>
      <c r="C172" s="9">
        <f t="shared" si="59"/>
        <v>18782.608695652176</v>
      </c>
      <c r="D172">
        <f t="shared" si="61"/>
        <v>540</v>
      </c>
      <c r="E172" s="9">
        <f t="shared" si="60"/>
        <v>18782.608695652176</v>
      </c>
      <c r="F172">
        <f t="shared" si="73"/>
        <v>558</v>
      </c>
      <c r="G172" s="9">
        <f t="shared" si="62"/>
        <v>18915.254237288136</v>
      </c>
      <c r="H172">
        <f t="shared" si="69"/>
        <v>511</v>
      </c>
      <c r="I172" s="9">
        <f t="shared" si="67"/>
        <v>18553.706505295009</v>
      </c>
      <c r="J172">
        <f t="shared" ref="J172:J175" si="74">SUM(J171,6)</f>
        <v>487</v>
      </c>
      <c r="K172" s="9">
        <f t="shared" si="71"/>
        <v>18348.508634222922</v>
      </c>
      <c r="L172">
        <v>568</v>
      </c>
      <c r="M172" s="9">
        <f t="shared" si="72"/>
        <v>18986.072423398327</v>
      </c>
      <c r="N172">
        <v>0</v>
      </c>
      <c r="O172">
        <v>0</v>
      </c>
    </row>
    <row r="173" spans="1:15" x14ac:dyDescent="0.25">
      <c r="A173">
        <v>25000</v>
      </c>
      <c r="B173">
        <v>550</v>
      </c>
      <c r="C173" s="9">
        <f t="shared" si="59"/>
        <v>19642.857142857141</v>
      </c>
      <c r="D173">
        <f t="shared" si="61"/>
        <v>550</v>
      </c>
      <c r="E173" s="9">
        <f t="shared" si="60"/>
        <v>19642.857142857141</v>
      </c>
      <c r="F173">
        <f t="shared" si="73"/>
        <v>568</v>
      </c>
      <c r="G173" s="9">
        <f t="shared" si="62"/>
        <v>19777.15877437326</v>
      </c>
      <c r="H173">
        <f t="shared" si="69"/>
        <v>520</v>
      </c>
      <c r="I173" s="9">
        <f t="shared" si="67"/>
        <v>19402.985074626868</v>
      </c>
      <c r="J173">
        <f t="shared" si="74"/>
        <v>493</v>
      </c>
      <c r="K173" s="9">
        <f t="shared" si="71"/>
        <v>19167.96267496112</v>
      </c>
      <c r="L173">
        <v>574</v>
      </c>
      <c r="M173" s="9">
        <f t="shared" si="72"/>
        <v>19820.441988950275</v>
      </c>
      <c r="N173">
        <v>0</v>
      </c>
      <c r="O173">
        <v>0</v>
      </c>
    </row>
    <row r="174" spans="1:15" x14ac:dyDescent="0.25">
      <c r="A174">
        <v>26000</v>
      </c>
      <c r="B174">
        <v>560</v>
      </c>
      <c r="C174" s="9">
        <f t="shared" si="59"/>
        <v>20507.042253521129</v>
      </c>
      <c r="D174">
        <f t="shared" si="61"/>
        <v>560</v>
      </c>
      <c r="E174" s="9">
        <f t="shared" si="60"/>
        <v>20507.042253521129</v>
      </c>
      <c r="F174">
        <f t="shared" si="73"/>
        <v>578</v>
      </c>
      <c r="G174" s="9">
        <f t="shared" si="62"/>
        <v>20642.857142857145</v>
      </c>
      <c r="H174">
        <f t="shared" si="69"/>
        <v>529</v>
      </c>
      <c r="I174" s="9">
        <f t="shared" si="67"/>
        <v>20256.259204712813</v>
      </c>
      <c r="J174">
        <f t="shared" si="74"/>
        <v>499</v>
      </c>
      <c r="K174" s="9">
        <f t="shared" si="71"/>
        <v>19990.75500770416</v>
      </c>
      <c r="L174">
        <v>580</v>
      </c>
      <c r="M174" s="9">
        <f>PRODUCT(A174,L174,1/(150+L174))</f>
        <v>20657.534246575342</v>
      </c>
      <c r="N174">
        <v>0</v>
      </c>
      <c r="O174">
        <v>0</v>
      </c>
    </row>
    <row r="175" spans="1:15" x14ac:dyDescent="0.25">
      <c r="A175">
        <v>27000</v>
      </c>
      <c r="B175">
        <v>570</v>
      </c>
      <c r="C175" s="9">
        <f t="shared" si="59"/>
        <v>21375</v>
      </c>
      <c r="D175">
        <f t="shared" si="61"/>
        <v>570</v>
      </c>
      <c r="E175" s="9">
        <f t="shared" si="60"/>
        <v>21375</v>
      </c>
      <c r="F175">
        <f t="shared" si="73"/>
        <v>588</v>
      </c>
      <c r="G175" s="9">
        <f t="shared" si="62"/>
        <v>21512.195121951219</v>
      </c>
      <c r="H175">
        <f t="shared" si="69"/>
        <v>538</v>
      </c>
      <c r="I175" s="9">
        <f t="shared" si="67"/>
        <v>21113.372093023256</v>
      </c>
      <c r="J175">
        <f t="shared" si="74"/>
        <v>505</v>
      </c>
      <c r="K175" s="9">
        <f t="shared" si="71"/>
        <v>20816.793893129772</v>
      </c>
      <c r="L175">
        <f>SUM(L174,6)</f>
        <v>586</v>
      </c>
      <c r="M175" s="9">
        <f t="shared" ref="M175:M202" si="75">PRODUCT(A175,L175,1/(150+L175))</f>
        <v>21497.282608695652</v>
      </c>
      <c r="N175">
        <v>0</v>
      </c>
      <c r="O175">
        <v>0</v>
      </c>
    </row>
    <row r="176" spans="1:15" x14ac:dyDescent="0.25">
      <c r="A176">
        <v>28000</v>
      </c>
      <c r="B176">
        <v>580</v>
      </c>
      <c r="C176" s="9">
        <f t="shared" si="59"/>
        <v>22246.575342465752</v>
      </c>
      <c r="D176">
        <f t="shared" si="61"/>
        <v>580</v>
      </c>
      <c r="E176" s="9">
        <f t="shared" si="60"/>
        <v>22246.575342465752</v>
      </c>
      <c r="F176">
        <f t="shared" si="73"/>
        <v>598</v>
      </c>
      <c r="G176" s="9">
        <f t="shared" si="62"/>
        <v>22385.026737967914</v>
      </c>
      <c r="H176">
        <f t="shared" si="69"/>
        <v>547</v>
      </c>
      <c r="I176" s="9">
        <f t="shared" si="67"/>
        <v>21974.175035868007</v>
      </c>
      <c r="J176">
        <f>SUM(J175,9)</f>
        <v>514</v>
      </c>
      <c r="K176" s="9">
        <f t="shared" si="71"/>
        <v>21674.698795180724</v>
      </c>
      <c r="L176">
        <f t="shared" ref="L176:L177" si="76">SUM(L175,6)</f>
        <v>592</v>
      </c>
      <c r="M176" s="9">
        <f t="shared" si="75"/>
        <v>22339.622641509435</v>
      </c>
      <c r="N176">
        <v>0</v>
      </c>
      <c r="O176">
        <v>0</v>
      </c>
    </row>
    <row r="177" spans="1:15" x14ac:dyDescent="0.25">
      <c r="A177">
        <v>29000</v>
      </c>
      <c r="B177">
        <v>582</v>
      </c>
      <c r="C177" s="9">
        <f t="shared" si="59"/>
        <v>23057.377049180326</v>
      </c>
      <c r="D177">
        <f>SUM(D176,14)</f>
        <v>594</v>
      </c>
      <c r="E177" s="9">
        <f t="shared" si="60"/>
        <v>23153.225806451614</v>
      </c>
      <c r="F177">
        <f t="shared" si="73"/>
        <v>608</v>
      </c>
      <c r="G177" s="9">
        <f t="shared" si="62"/>
        <v>23261.21372031662</v>
      </c>
      <c r="H177">
        <f t="shared" si="69"/>
        <v>556</v>
      </c>
      <c r="I177" s="9">
        <f t="shared" si="67"/>
        <v>22838.526912181303</v>
      </c>
      <c r="J177">
        <f t="shared" ref="J177:J185" si="77">SUM(J176,9)</f>
        <v>523</v>
      </c>
      <c r="K177" s="9">
        <f t="shared" si="71"/>
        <v>22536.404160475482</v>
      </c>
      <c r="L177">
        <f t="shared" si="76"/>
        <v>598</v>
      </c>
      <c r="M177" s="9">
        <f t="shared" si="75"/>
        <v>23184.491978609625</v>
      </c>
      <c r="N177">
        <v>668</v>
      </c>
      <c r="O177" s="9">
        <f t="shared" ref="O177:O181" si="78">PRODUCT(A177,N177,1/(150+N177))</f>
        <v>23682.151589242054</v>
      </c>
    </row>
    <row r="178" spans="1:15" x14ac:dyDescent="0.25">
      <c r="A178">
        <v>30000</v>
      </c>
      <c r="B178">
        <v>584</v>
      </c>
      <c r="C178" s="9">
        <f t="shared" si="59"/>
        <v>23869.209809264303</v>
      </c>
      <c r="D178">
        <f t="shared" ref="D178:D182" si="79">SUM(D177,14)</f>
        <v>608</v>
      </c>
      <c r="E178" s="9">
        <f t="shared" si="60"/>
        <v>24063.324538258574</v>
      </c>
      <c r="F178">
        <f t="shared" si="73"/>
        <v>618</v>
      </c>
      <c r="G178" s="9">
        <f t="shared" si="62"/>
        <v>24140.625</v>
      </c>
      <c r="H178">
        <f t="shared" si="69"/>
        <v>565</v>
      </c>
      <c r="I178" s="9">
        <f t="shared" si="67"/>
        <v>23706.293706293705</v>
      </c>
      <c r="J178">
        <f t="shared" si="77"/>
        <v>532</v>
      </c>
      <c r="K178" s="9">
        <f t="shared" si="71"/>
        <v>23401.759530791787</v>
      </c>
      <c r="L178">
        <f>SUM(L177,7)</f>
        <v>605</v>
      </c>
      <c r="M178" s="9">
        <f t="shared" si="75"/>
        <v>24039.735099337748</v>
      </c>
      <c r="N178">
        <v>674</v>
      </c>
      <c r="O178" s="9">
        <f t="shared" si="78"/>
        <v>24538.834951456309</v>
      </c>
    </row>
    <row r="179" spans="1:15" x14ac:dyDescent="0.25">
      <c r="A179">
        <v>31000</v>
      </c>
      <c r="B179">
        <v>586</v>
      </c>
      <c r="C179" s="9">
        <f t="shared" si="59"/>
        <v>24682.065217391304</v>
      </c>
      <c r="D179">
        <f t="shared" si="79"/>
        <v>622</v>
      </c>
      <c r="E179" s="9">
        <f t="shared" si="60"/>
        <v>24976.683937823836</v>
      </c>
      <c r="F179">
        <f t="shared" si="73"/>
        <v>628</v>
      </c>
      <c r="G179" s="9">
        <f t="shared" si="62"/>
        <v>25023.136246786631</v>
      </c>
      <c r="H179">
        <f t="shared" si="69"/>
        <v>574</v>
      </c>
      <c r="I179" s="9">
        <f t="shared" si="67"/>
        <v>24577.348066298342</v>
      </c>
      <c r="J179">
        <f t="shared" si="77"/>
        <v>541</v>
      </c>
      <c r="K179" s="9">
        <f t="shared" si="71"/>
        <v>24270.622286541242</v>
      </c>
      <c r="L179">
        <f t="shared" ref="L179:L180" si="80">SUM(L178,7)</f>
        <v>612</v>
      </c>
      <c r="M179" s="9">
        <f t="shared" si="75"/>
        <v>24897.63779527559</v>
      </c>
      <c r="N179">
        <v>680</v>
      </c>
      <c r="O179" s="9">
        <f t="shared" si="78"/>
        <v>25397.590361445786</v>
      </c>
    </row>
    <row r="180" spans="1:15" x14ac:dyDescent="0.25">
      <c r="A180">
        <v>32000</v>
      </c>
      <c r="B180">
        <v>0</v>
      </c>
      <c r="C180" s="9">
        <v>0</v>
      </c>
      <c r="D180">
        <f t="shared" si="79"/>
        <v>636</v>
      </c>
      <c r="E180" s="9">
        <f t="shared" si="60"/>
        <v>25893.129770992367</v>
      </c>
      <c r="F180">
        <f t="shared" si="73"/>
        <v>638</v>
      </c>
      <c r="G180" s="9">
        <f t="shared" si="62"/>
        <v>25908.629441624362</v>
      </c>
      <c r="H180">
        <f t="shared" si="69"/>
        <v>583</v>
      </c>
      <c r="I180" s="9">
        <f t="shared" si="67"/>
        <v>25451.568894952252</v>
      </c>
      <c r="J180">
        <f t="shared" si="77"/>
        <v>550</v>
      </c>
      <c r="K180" s="9">
        <f t="shared" si="71"/>
        <v>25142.857142857141</v>
      </c>
      <c r="L180">
        <f t="shared" si="80"/>
        <v>619</v>
      </c>
      <c r="M180" s="9">
        <f t="shared" si="75"/>
        <v>25758.12743823147</v>
      </c>
      <c r="N180">
        <v>686</v>
      </c>
      <c r="O180" s="9">
        <f t="shared" si="78"/>
        <v>26258.373205741627</v>
      </c>
    </row>
    <row r="181" spans="1:15" x14ac:dyDescent="0.25">
      <c r="A181">
        <v>33000</v>
      </c>
      <c r="B181">
        <v>0</v>
      </c>
      <c r="C181" s="9">
        <v>0</v>
      </c>
      <c r="D181">
        <f t="shared" si="79"/>
        <v>650</v>
      </c>
      <c r="E181" s="9">
        <f t="shared" si="60"/>
        <v>26812.5</v>
      </c>
      <c r="F181">
        <f t="shared" si="73"/>
        <v>648</v>
      </c>
      <c r="G181" s="9">
        <f t="shared" si="62"/>
        <v>26796.992481203008</v>
      </c>
      <c r="H181">
        <f t="shared" si="69"/>
        <v>592</v>
      </c>
      <c r="I181" s="9">
        <f t="shared" si="67"/>
        <v>26328.840970350404</v>
      </c>
      <c r="J181">
        <f t="shared" si="77"/>
        <v>559</v>
      </c>
      <c r="K181" s="9">
        <f t="shared" si="71"/>
        <v>26018.335684062058</v>
      </c>
      <c r="L181">
        <f>SUM(L180,8)</f>
        <v>627</v>
      </c>
      <c r="M181" s="9">
        <f t="shared" si="75"/>
        <v>26629.343629343628</v>
      </c>
      <c r="N181">
        <v>693</v>
      </c>
      <c r="O181" s="9">
        <f t="shared" si="78"/>
        <v>27128.113879003562</v>
      </c>
    </row>
    <row r="182" spans="1:15" x14ac:dyDescent="0.25">
      <c r="A182">
        <v>34000</v>
      </c>
      <c r="B182">
        <v>0</v>
      </c>
      <c r="C182" s="9">
        <v>0</v>
      </c>
      <c r="D182">
        <f t="shared" si="79"/>
        <v>664</v>
      </c>
      <c r="E182" s="9">
        <f t="shared" si="60"/>
        <v>27734.643734643734</v>
      </c>
      <c r="F182">
        <f t="shared" si="73"/>
        <v>658</v>
      </c>
      <c r="G182" s="9">
        <f t="shared" si="62"/>
        <v>27688.118811881188</v>
      </c>
      <c r="H182">
        <f t="shared" si="69"/>
        <v>601</v>
      </c>
      <c r="I182" s="9">
        <f t="shared" si="67"/>
        <v>27209.054593874836</v>
      </c>
      <c r="J182">
        <f t="shared" si="77"/>
        <v>568</v>
      </c>
      <c r="K182" s="9">
        <f t="shared" si="71"/>
        <v>26896.935933147633</v>
      </c>
      <c r="L182">
        <f t="shared" ref="L182:L184" si="81">SUM(L181,8)</f>
        <v>635</v>
      </c>
      <c r="M182" s="9">
        <f t="shared" si="75"/>
        <v>27503.184713375795</v>
      </c>
      <c r="N182">
        <v>700</v>
      </c>
      <c r="O182" s="9">
        <f>PRODUCT(A182,N182,1/(150+N182))</f>
        <v>27999.999999999996</v>
      </c>
    </row>
    <row r="183" spans="1:15" x14ac:dyDescent="0.25">
      <c r="A183">
        <v>35000</v>
      </c>
      <c r="B183">
        <v>0</v>
      </c>
      <c r="C183" s="9">
        <v>0</v>
      </c>
      <c r="D183">
        <v>0</v>
      </c>
      <c r="E183" s="9">
        <v>0</v>
      </c>
      <c r="F183">
        <f t="shared" si="73"/>
        <v>668</v>
      </c>
      <c r="G183" s="9">
        <f t="shared" si="62"/>
        <v>28581.907090464549</v>
      </c>
      <c r="H183">
        <f t="shared" si="69"/>
        <v>610</v>
      </c>
      <c r="I183" s="9">
        <f t="shared" si="67"/>
        <v>28092.105263157893</v>
      </c>
      <c r="J183">
        <f t="shared" si="77"/>
        <v>577</v>
      </c>
      <c r="K183" s="9">
        <f t="shared" si="71"/>
        <v>27778.541953232463</v>
      </c>
      <c r="L183">
        <f t="shared" si="81"/>
        <v>643</v>
      </c>
      <c r="M183" s="9">
        <f t="shared" si="75"/>
        <v>28379.571248423708</v>
      </c>
      <c r="N183">
        <f t="shared" ref="N183:N186" si="82">SUM(N182,7)</f>
        <v>707</v>
      </c>
      <c r="O183" s="9">
        <f t="shared" ref="O183:O202" si="83">PRODUCT(A183,N183,1/(300+N183))</f>
        <v>24572.989076464746</v>
      </c>
    </row>
    <row r="184" spans="1:15" x14ac:dyDescent="0.25">
      <c r="A184">
        <v>36000</v>
      </c>
      <c r="B184">
        <v>0</v>
      </c>
      <c r="C184" s="9">
        <v>0</v>
      </c>
      <c r="D184">
        <v>0</v>
      </c>
      <c r="E184" s="9">
        <v>0</v>
      </c>
      <c r="F184">
        <f t="shared" si="73"/>
        <v>678</v>
      </c>
      <c r="G184" s="9">
        <f t="shared" si="62"/>
        <v>29478.260869565216</v>
      </c>
      <c r="H184">
        <f t="shared" si="69"/>
        <v>619</v>
      </c>
      <c r="I184" s="9">
        <f t="shared" si="67"/>
        <v>28977.893368010406</v>
      </c>
      <c r="J184">
        <f t="shared" si="77"/>
        <v>586</v>
      </c>
      <c r="K184" s="9">
        <f t="shared" si="71"/>
        <v>28663.043478260868</v>
      </c>
      <c r="L184">
        <f t="shared" si="81"/>
        <v>651</v>
      </c>
      <c r="M184" s="9">
        <f t="shared" si="75"/>
        <v>29258.426966292136</v>
      </c>
      <c r="N184">
        <f t="shared" si="82"/>
        <v>714</v>
      </c>
      <c r="O184" s="9">
        <f t="shared" si="83"/>
        <v>25349.112426035503</v>
      </c>
    </row>
    <row r="185" spans="1:15" x14ac:dyDescent="0.25">
      <c r="A185">
        <v>37000</v>
      </c>
      <c r="B185">
        <v>0</v>
      </c>
      <c r="C185" s="9">
        <v>0</v>
      </c>
      <c r="D185">
        <v>0</v>
      </c>
      <c r="E185" s="9">
        <v>0</v>
      </c>
      <c r="F185">
        <f t="shared" si="73"/>
        <v>688</v>
      </c>
      <c r="G185" s="9">
        <f t="shared" si="62"/>
        <v>30377.088305489262</v>
      </c>
      <c r="H185">
        <f t="shared" si="69"/>
        <v>628</v>
      </c>
      <c r="I185" s="9">
        <f t="shared" si="67"/>
        <v>29866.323907455011</v>
      </c>
      <c r="J185">
        <f t="shared" si="77"/>
        <v>595</v>
      </c>
      <c r="K185" s="9">
        <f t="shared" si="71"/>
        <v>29550.335570469797</v>
      </c>
      <c r="L185">
        <f>SUM(L184,9)</f>
        <v>660</v>
      </c>
      <c r="M185" s="9">
        <f t="shared" si="75"/>
        <v>30148.148148148146</v>
      </c>
      <c r="N185">
        <f t="shared" si="82"/>
        <v>721</v>
      </c>
      <c r="O185" s="9">
        <f t="shared" si="83"/>
        <v>26128.305582761997</v>
      </c>
    </row>
    <row r="186" spans="1:15" x14ac:dyDescent="0.25">
      <c r="A186">
        <v>38000</v>
      </c>
      <c r="B186">
        <v>0</v>
      </c>
      <c r="C186" s="9">
        <v>0</v>
      </c>
      <c r="D186">
        <v>0</v>
      </c>
      <c r="E186" s="9">
        <v>0</v>
      </c>
      <c r="F186">
        <f t="shared" si="73"/>
        <v>698</v>
      </c>
      <c r="G186" s="9">
        <f t="shared" si="62"/>
        <v>31278.301886792451</v>
      </c>
      <c r="H186">
        <f t="shared" si="69"/>
        <v>637</v>
      </c>
      <c r="I186" s="9">
        <f t="shared" si="67"/>
        <v>30757.306226175351</v>
      </c>
      <c r="J186">
        <f>SUM(J185,10)</f>
        <v>605</v>
      </c>
      <c r="K186" s="9">
        <f t="shared" si="71"/>
        <v>30450.331125827815</v>
      </c>
      <c r="L186">
        <f t="shared" ref="L186:L188" si="84">SUM(L185,9)</f>
        <v>669</v>
      </c>
      <c r="M186" s="9">
        <f t="shared" si="75"/>
        <v>31040.29304029304</v>
      </c>
      <c r="N186">
        <f t="shared" si="82"/>
        <v>728</v>
      </c>
      <c r="O186" s="9">
        <f t="shared" si="83"/>
        <v>26910.505836575874</v>
      </c>
    </row>
    <row r="187" spans="1:15" x14ac:dyDescent="0.25">
      <c r="A187">
        <v>39000</v>
      </c>
      <c r="B187">
        <v>0</v>
      </c>
      <c r="C187" s="9">
        <v>0</v>
      </c>
      <c r="D187">
        <v>0</v>
      </c>
      <c r="E187" s="9">
        <v>0</v>
      </c>
      <c r="F187">
        <f t="shared" si="73"/>
        <v>708</v>
      </c>
      <c r="G187" s="9">
        <f t="shared" si="62"/>
        <v>32181.81818181818</v>
      </c>
      <c r="H187">
        <f t="shared" si="69"/>
        <v>646</v>
      </c>
      <c r="I187" s="9">
        <f t="shared" si="67"/>
        <v>31650.753768844221</v>
      </c>
      <c r="J187">
        <f t="shared" ref="J187:J193" si="85">SUM(J186,10)</f>
        <v>615</v>
      </c>
      <c r="K187" s="9">
        <f t="shared" si="71"/>
        <v>31352.941176470587</v>
      </c>
      <c r="L187">
        <f t="shared" si="84"/>
        <v>678</v>
      </c>
      <c r="M187" s="9">
        <f t="shared" si="75"/>
        <v>31934.782608695652</v>
      </c>
      <c r="N187">
        <f>SUM(N186,8)</f>
        <v>736</v>
      </c>
      <c r="O187" s="9">
        <f t="shared" si="83"/>
        <v>27706.563706563706</v>
      </c>
    </row>
    <row r="188" spans="1:15" x14ac:dyDescent="0.25">
      <c r="A188">
        <v>40000</v>
      </c>
      <c r="B188">
        <v>0</v>
      </c>
      <c r="C188" s="9">
        <v>0</v>
      </c>
      <c r="D188">
        <v>0</v>
      </c>
      <c r="E188" s="9">
        <v>0</v>
      </c>
      <c r="F188">
        <f t="shared" si="73"/>
        <v>718</v>
      </c>
      <c r="G188" s="9">
        <f t="shared" si="62"/>
        <v>33087.557603686633</v>
      </c>
      <c r="H188">
        <f t="shared" si="69"/>
        <v>655</v>
      </c>
      <c r="I188" s="9">
        <f t="shared" si="67"/>
        <v>32546.583850931678</v>
      </c>
      <c r="J188">
        <f t="shared" si="85"/>
        <v>625</v>
      </c>
      <c r="K188" s="9">
        <f t="shared" si="71"/>
        <v>32258.064516129034</v>
      </c>
      <c r="L188">
        <f t="shared" si="84"/>
        <v>687</v>
      </c>
      <c r="M188" s="9">
        <f t="shared" si="75"/>
        <v>32831.541218637991</v>
      </c>
      <c r="N188">
        <f t="shared" ref="N188" si="86">SUM(N187,8)</f>
        <v>744</v>
      </c>
      <c r="O188" s="9">
        <f t="shared" si="83"/>
        <v>28505.747126436781</v>
      </c>
    </row>
    <row r="189" spans="1:15" x14ac:dyDescent="0.25">
      <c r="A189">
        <v>41000</v>
      </c>
      <c r="B189">
        <v>0</v>
      </c>
      <c r="C189" s="9">
        <v>0</v>
      </c>
      <c r="D189">
        <v>0</v>
      </c>
      <c r="E189" s="9">
        <v>0</v>
      </c>
      <c r="F189">
        <f>SUM(F188,10)</f>
        <v>728</v>
      </c>
      <c r="G189" s="9">
        <f t="shared" si="62"/>
        <v>33995.444191343959</v>
      </c>
      <c r="H189">
        <f t="shared" si="69"/>
        <v>664</v>
      </c>
      <c r="I189" s="9">
        <f t="shared" si="67"/>
        <v>33444.717444717448</v>
      </c>
      <c r="J189">
        <f t="shared" si="85"/>
        <v>635</v>
      </c>
      <c r="K189" s="9">
        <f t="shared" si="71"/>
        <v>33165.605095541403</v>
      </c>
      <c r="L189">
        <f>SUM(L188,10)</f>
        <v>697</v>
      </c>
      <c r="M189" s="9">
        <f t="shared" si="75"/>
        <v>33739.079102715463</v>
      </c>
      <c r="N189">
        <v>750</v>
      </c>
      <c r="O189" s="9">
        <f t="shared" si="83"/>
        <v>29285.714285714286</v>
      </c>
    </row>
    <row r="190" spans="1:15" x14ac:dyDescent="0.25">
      <c r="A190">
        <v>42000</v>
      </c>
      <c r="B190">
        <v>0</v>
      </c>
      <c r="C190" s="9">
        <v>0</v>
      </c>
      <c r="D190">
        <v>0</v>
      </c>
      <c r="E190" s="9">
        <v>0</v>
      </c>
      <c r="F190">
        <f t="shared" ref="F190:F191" si="87">SUM(F189,10)</f>
        <v>738</v>
      </c>
      <c r="G190" s="9">
        <f t="shared" si="62"/>
        <v>34905.405405405407</v>
      </c>
      <c r="H190">
        <f t="shared" si="69"/>
        <v>673</v>
      </c>
      <c r="I190" s="9">
        <f t="shared" si="67"/>
        <v>34345.07897934386</v>
      </c>
      <c r="J190">
        <f t="shared" si="85"/>
        <v>645</v>
      </c>
      <c r="K190" s="9">
        <f t="shared" si="71"/>
        <v>34075.471698113208</v>
      </c>
      <c r="L190">
        <f t="shared" ref="L190:L192" si="88">SUM(L189,10)</f>
        <v>707</v>
      </c>
      <c r="M190" s="9">
        <f t="shared" si="75"/>
        <v>34648.774795799298</v>
      </c>
      <c r="N190">
        <v>750</v>
      </c>
      <c r="O190" s="9">
        <f t="shared" si="83"/>
        <v>30000</v>
      </c>
    </row>
    <row r="191" spans="1:15" x14ac:dyDescent="0.25">
      <c r="A191">
        <v>43000</v>
      </c>
      <c r="B191">
        <v>0</v>
      </c>
      <c r="C191" s="9">
        <v>0</v>
      </c>
      <c r="D191">
        <v>0</v>
      </c>
      <c r="E191" s="9">
        <v>0</v>
      </c>
      <c r="F191">
        <f t="shared" si="87"/>
        <v>748</v>
      </c>
      <c r="G191" s="9">
        <f t="shared" si="62"/>
        <v>35817.371937639196</v>
      </c>
      <c r="H191">
        <f t="shared" si="69"/>
        <v>682</v>
      </c>
      <c r="I191" s="9">
        <f t="shared" si="67"/>
        <v>35247.596153846156</v>
      </c>
      <c r="J191">
        <f t="shared" si="85"/>
        <v>655</v>
      </c>
      <c r="K191" s="9">
        <f t="shared" si="71"/>
        <v>34987.577639751551</v>
      </c>
      <c r="L191">
        <f t="shared" si="88"/>
        <v>717</v>
      </c>
      <c r="M191" s="9">
        <f t="shared" si="75"/>
        <v>35560.553633217991</v>
      </c>
      <c r="N191">
        <v>750</v>
      </c>
      <c r="O191" s="9">
        <f t="shared" si="83"/>
        <v>30714.285714285714</v>
      </c>
    </row>
    <row r="192" spans="1:15" x14ac:dyDescent="0.25">
      <c r="A192">
        <v>44000</v>
      </c>
      <c r="B192">
        <v>0</v>
      </c>
      <c r="C192" s="9">
        <v>0</v>
      </c>
      <c r="D192">
        <v>0</v>
      </c>
      <c r="E192" s="9">
        <v>0</v>
      </c>
      <c r="F192">
        <v>750</v>
      </c>
      <c r="G192" s="9">
        <f t="shared" si="62"/>
        <v>36666.666666666664</v>
      </c>
      <c r="H192">
        <f t="shared" si="69"/>
        <v>691</v>
      </c>
      <c r="I192" s="9">
        <f t="shared" si="67"/>
        <v>36152.199762187869</v>
      </c>
      <c r="J192">
        <f t="shared" si="85"/>
        <v>665</v>
      </c>
      <c r="K192" s="9">
        <f t="shared" si="71"/>
        <v>35901.840490797549</v>
      </c>
      <c r="L192">
        <f t="shared" si="88"/>
        <v>727</v>
      </c>
      <c r="M192" s="9">
        <f t="shared" si="75"/>
        <v>36474.344355758265</v>
      </c>
      <c r="N192">
        <v>750</v>
      </c>
      <c r="O192" s="9">
        <f t="shared" si="83"/>
        <v>31428.571428571428</v>
      </c>
    </row>
    <row r="193" spans="1:15" x14ac:dyDescent="0.25">
      <c r="A193">
        <v>45000</v>
      </c>
      <c r="B193">
        <v>0</v>
      </c>
      <c r="C193" s="9">
        <v>0</v>
      </c>
      <c r="D193">
        <v>0</v>
      </c>
      <c r="E193" s="9">
        <v>0</v>
      </c>
      <c r="F193">
        <v>750</v>
      </c>
      <c r="G193" s="9">
        <f t="shared" si="62"/>
        <v>37500</v>
      </c>
      <c r="H193">
        <f t="shared" si="69"/>
        <v>700</v>
      </c>
      <c r="I193" s="9">
        <f t="shared" si="67"/>
        <v>37058.823529411762</v>
      </c>
      <c r="J193">
        <f t="shared" si="85"/>
        <v>675</v>
      </c>
      <c r="K193" s="9">
        <f t="shared" si="71"/>
        <v>36818.181818181816</v>
      </c>
      <c r="L193">
        <f>SUM(L192,11)</f>
        <v>738</v>
      </c>
      <c r="M193" s="9">
        <f t="shared" si="75"/>
        <v>37398.648648648646</v>
      </c>
      <c r="N193">
        <v>750</v>
      </c>
      <c r="O193" s="9">
        <f t="shared" si="83"/>
        <v>32142.857142857141</v>
      </c>
    </row>
    <row r="194" spans="1:15" x14ac:dyDescent="0.25">
      <c r="A194">
        <v>46000</v>
      </c>
      <c r="B194">
        <v>0</v>
      </c>
      <c r="C194" s="9">
        <v>0</v>
      </c>
      <c r="D194">
        <v>0</v>
      </c>
      <c r="E194" s="9">
        <v>0</v>
      </c>
      <c r="F194">
        <v>750</v>
      </c>
      <c r="G194" s="9">
        <f t="shared" si="62"/>
        <v>38333.333333333336</v>
      </c>
      <c r="H194">
        <f t="shared" si="69"/>
        <v>709</v>
      </c>
      <c r="I194" s="9">
        <f t="shared" si="67"/>
        <v>37967.403958090799</v>
      </c>
      <c r="J194">
        <f>SUM(J193,11)</f>
        <v>686</v>
      </c>
      <c r="K194" s="9">
        <f t="shared" si="71"/>
        <v>37746.411483253585</v>
      </c>
      <c r="L194">
        <f t="shared" ref="L194" si="89">SUM(L193,11)</f>
        <v>749</v>
      </c>
      <c r="M194" s="9">
        <f t="shared" si="75"/>
        <v>38324.805339265848</v>
      </c>
      <c r="N194">
        <v>750</v>
      </c>
      <c r="O194" s="9">
        <f t="shared" si="83"/>
        <v>32857.142857142855</v>
      </c>
    </row>
    <row r="195" spans="1:15" x14ac:dyDescent="0.25">
      <c r="A195">
        <v>47000</v>
      </c>
      <c r="B195">
        <v>0</v>
      </c>
      <c r="C195" s="9">
        <v>0</v>
      </c>
      <c r="D195">
        <v>0</v>
      </c>
      <c r="E195" s="9">
        <v>0</v>
      </c>
      <c r="F195">
        <v>0</v>
      </c>
      <c r="G195" s="9">
        <v>0</v>
      </c>
      <c r="H195">
        <f t="shared" si="69"/>
        <v>718</v>
      </c>
      <c r="I195" s="9">
        <f t="shared" si="67"/>
        <v>38877.8801843318</v>
      </c>
      <c r="J195">
        <f t="shared" ref="J195:J199" si="90">SUM(J194,11)</f>
        <v>697</v>
      </c>
      <c r="K195" s="9">
        <f t="shared" si="71"/>
        <v>38676.505312868947</v>
      </c>
      <c r="L195">
        <v>750</v>
      </c>
      <c r="M195" s="9">
        <f t="shared" si="75"/>
        <v>39166.666666666664</v>
      </c>
      <c r="N195">
        <v>750</v>
      </c>
      <c r="O195" s="9">
        <f t="shared" si="83"/>
        <v>33571.428571428572</v>
      </c>
    </row>
    <row r="196" spans="1:15" x14ac:dyDescent="0.25">
      <c r="A196">
        <v>48000</v>
      </c>
      <c r="B196">
        <v>0</v>
      </c>
      <c r="C196" s="9">
        <v>0</v>
      </c>
      <c r="D196">
        <v>0</v>
      </c>
      <c r="E196" s="9">
        <v>0</v>
      </c>
      <c r="F196">
        <v>0</v>
      </c>
      <c r="G196" s="9">
        <v>0</v>
      </c>
      <c r="H196">
        <f>SUM(H195,10)</f>
        <v>728</v>
      </c>
      <c r="I196" s="9">
        <f t="shared" si="67"/>
        <v>39799.544419134392</v>
      </c>
      <c r="J196">
        <f t="shared" si="90"/>
        <v>708</v>
      </c>
      <c r="K196" s="9">
        <f t="shared" si="71"/>
        <v>39608.391608391612</v>
      </c>
      <c r="L196">
        <v>750</v>
      </c>
      <c r="M196" s="9">
        <f t="shared" si="75"/>
        <v>40000</v>
      </c>
      <c r="N196">
        <v>750</v>
      </c>
      <c r="O196" s="9">
        <f t="shared" si="83"/>
        <v>34285.714285714283</v>
      </c>
    </row>
    <row r="197" spans="1:15" x14ac:dyDescent="0.25">
      <c r="A197">
        <v>49000</v>
      </c>
      <c r="B197">
        <v>0</v>
      </c>
      <c r="C197" s="9">
        <v>0</v>
      </c>
      <c r="D197">
        <v>0</v>
      </c>
      <c r="E197" s="9">
        <v>0</v>
      </c>
      <c r="F197">
        <v>0</v>
      </c>
      <c r="G197" s="9">
        <v>0</v>
      </c>
      <c r="H197">
        <f t="shared" ref="H197" si="91">SUM(H196,10)</f>
        <v>738</v>
      </c>
      <c r="I197" s="9">
        <f t="shared" si="67"/>
        <v>40722.972972972973</v>
      </c>
      <c r="J197">
        <f t="shared" si="90"/>
        <v>719</v>
      </c>
      <c r="K197" s="9">
        <f t="shared" si="71"/>
        <v>40542.002301495973</v>
      </c>
      <c r="L197">
        <v>750</v>
      </c>
      <c r="M197" s="9">
        <f t="shared" si="75"/>
        <v>40833.333333333336</v>
      </c>
      <c r="N197">
        <v>750</v>
      </c>
      <c r="O197" s="9">
        <f t="shared" si="83"/>
        <v>35000</v>
      </c>
    </row>
    <row r="198" spans="1:15" x14ac:dyDescent="0.25">
      <c r="A198">
        <v>50000</v>
      </c>
      <c r="B198">
        <v>0</v>
      </c>
      <c r="C198" s="9">
        <v>0</v>
      </c>
      <c r="D198">
        <v>0</v>
      </c>
      <c r="E198" s="9">
        <v>0</v>
      </c>
      <c r="F198">
        <v>0</v>
      </c>
      <c r="G198" s="9">
        <v>0</v>
      </c>
      <c r="H198">
        <v>0</v>
      </c>
      <c r="I198" s="9">
        <v>0</v>
      </c>
      <c r="J198">
        <f t="shared" si="90"/>
        <v>730</v>
      </c>
      <c r="K198" s="9">
        <f t="shared" si="71"/>
        <v>41477.272727272728</v>
      </c>
      <c r="L198">
        <v>750</v>
      </c>
      <c r="M198" s="9">
        <f t="shared" si="75"/>
        <v>41666.666666666664</v>
      </c>
      <c r="N198">
        <v>750</v>
      </c>
      <c r="O198" s="9">
        <f t="shared" si="83"/>
        <v>35714.285714285717</v>
      </c>
    </row>
    <row r="199" spans="1:15" x14ac:dyDescent="0.25">
      <c r="A199">
        <v>51000</v>
      </c>
      <c r="B199">
        <v>0</v>
      </c>
      <c r="C199" s="9">
        <v>0</v>
      </c>
      <c r="D199">
        <v>0</v>
      </c>
      <c r="E199" s="9">
        <v>0</v>
      </c>
      <c r="F199">
        <v>0</v>
      </c>
      <c r="G199" s="9">
        <v>0</v>
      </c>
      <c r="H199">
        <v>0</v>
      </c>
      <c r="I199" s="9">
        <v>0</v>
      </c>
      <c r="J199">
        <f t="shared" si="90"/>
        <v>741</v>
      </c>
      <c r="K199" s="9">
        <f t="shared" si="71"/>
        <v>42414.141414141421</v>
      </c>
      <c r="L199">
        <v>750</v>
      </c>
      <c r="M199" s="9">
        <f t="shared" si="75"/>
        <v>42500</v>
      </c>
      <c r="N199">
        <v>750</v>
      </c>
      <c r="O199" s="9">
        <f t="shared" si="83"/>
        <v>36428.571428571428</v>
      </c>
    </row>
    <row r="200" spans="1:15" x14ac:dyDescent="0.25">
      <c r="A200">
        <v>52000</v>
      </c>
      <c r="B200">
        <v>0</v>
      </c>
      <c r="C200" s="9">
        <v>0</v>
      </c>
      <c r="D200">
        <v>0</v>
      </c>
      <c r="E200" s="9">
        <v>0</v>
      </c>
      <c r="F200">
        <v>0</v>
      </c>
      <c r="G200" s="9">
        <v>0</v>
      </c>
      <c r="H200">
        <v>0</v>
      </c>
      <c r="I200" s="9">
        <v>0</v>
      </c>
      <c r="J200">
        <v>750</v>
      </c>
      <c r="K200" s="9">
        <f t="shared" si="71"/>
        <v>43333.333333333336</v>
      </c>
      <c r="L200">
        <v>750</v>
      </c>
      <c r="M200" s="9">
        <f t="shared" si="75"/>
        <v>43333.333333333336</v>
      </c>
      <c r="N200">
        <v>750</v>
      </c>
      <c r="O200" s="9">
        <f t="shared" si="83"/>
        <v>37142.857142857145</v>
      </c>
    </row>
    <row r="201" spans="1:15" x14ac:dyDescent="0.25">
      <c r="A201">
        <v>53000</v>
      </c>
      <c r="B201">
        <v>0</v>
      </c>
      <c r="C201" s="9">
        <v>0</v>
      </c>
      <c r="D201">
        <v>0</v>
      </c>
      <c r="E201" s="9">
        <v>0</v>
      </c>
      <c r="F201">
        <v>0</v>
      </c>
      <c r="G201" s="9">
        <v>0</v>
      </c>
      <c r="H201">
        <v>0</v>
      </c>
      <c r="I201" s="9">
        <v>0</v>
      </c>
      <c r="J201">
        <v>750</v>
      </c>
      <c r="K201" s="9">
        <f t="shared" si="71"/>
        <v>44166.666666666664</v>
      </c>
      <c r="L201">
        <v>750</v>
      </c>
      <c r="M201" s="9">
        <f t="shared" si="75"/>
        <v>44166.666666666664</v>
      </c>
      <c r="N201">
        <v>750</v>
      </c>
      <c r="O201" s="9">
        <f t="shared" si="83"/>
        <v>37857.142857142855</v>
      </c>
    </row>
    <row r="202" spans="1:15" x14ac:dyDescent="0.25">
      <c r="A202">
        <v>54000</v>
      </c>
      <c r="B202">
        <v>0</v>
      </c>
      <c r="C202" s="9">
        <v>0</v>
      </c>
      <c r="D202">
        <v>0</v>
      </c>
      <c r="E202" s="9">
        <v>0</v>
      </c>
      <c r="F202">
        <v>0</v>
      </c>
      <c r="G202" s="9">
        <v>0</v>
      </c>
      <c r="H202">
        <v>0</v>
      </c>
      <c r="I202" s="9">
        <v>0</v>
      </c>
      <c r="J202">
        <v>750</v>
      </c>
      <c r="K202" s="9">
        <f t="shared" si="71"/>
        <v>45000</v>
      </c>
      <c r="L202">
        <v>750</v>
      </c>
      <c r="M202" s="9">
        <f t="shared" si="75"/>
        <v>45000</v>
      </c>
      <c r="N202">
        <v>750</v>
      </c>
      <c r="O202" s="9">
        <f t="shared" si="83"/>
        <v>38571.428571428572</v>
      </c>
    </row>
    <row r="203" spans="1:15" x14ac:dyDescent="0.25">
      <c r="A203">
        <v>55000</v>
      </c>
      <c r="I203" s="9"/>
      <c r="K203" s="9"/>
      <c r="M203" s="9"/>
      <c r="O203" s="9"/>
    </row>
    <row r="204" spans="1:15" x14ac:dyDescent="0.25">
      <c r="A204">
        <v>56000</v>
      </c>
      <c r="I204" s="9"/>
      <c r="K204" s="9"/>
      <c r="M204" s="9"/>
      <c r="O204" s="9"/>
    </row>
    <row r="205" spans="1:15" x14ac:dyDescent="0.25">
      <c r="A205">
        <v>57000</v>
      </c>
      <c r="I205" s="9"/>
      <c r="K205" s="9"/>
      <c r="M205" s="9"/>
      <c r="O205" s="9"/>
    </row>
    <row r="206" spans="1:15" x14ac:dyDescent="0.25">
      <c r="A206">
        <v>58000</v>
      </c>
      <c r="I206" s="9"/>
      <c r="K206" s="9"/>
      <c r="M206" s="9"/>
      <c r="O206" s="9"/>
    </row>
    <row r="207" spans="1:15" x14ac:dyDescent="0.25">
      <c r="A207">
        <v>59000</v>
      </c>
      <c r="K207" s="9"/>
      <c r="M207" s="9"/>
      <c r="O207" s="9"/>
    </row>
    <row r="208" spans="1:15" x14ac:dyDescent="0.25">
      <c r="A208">
        <v>60000</v>
      </c>
      <c r="K208" s="9"/>
      <c r="M208" s="9"/>
      <c r="O208" s="9"/>
    </row>
    <row r="209" spans="1:15" x14ac:dyDescent="0.25">
      <c r="A209">
        <v>61000</v>
      </c>
      <c r="K209" s="9"/>
      <c r="M209" s="9"/>
      <c r="O209" s="9"/>
    </row>
    <row r="210" spans="1:15" x14ac:dyDescent="0.25">
      <c r="A210">
        <v>62000</v>
      </c>
      <c r="K210" s="9"/>
      <c r="M210" s="9"/>
      <c r="O210" s="9"/>
    </row>
    <row r="211" spans="1:15" x14ac:dyDescent="0.25">
      <c r="A211">
        <v>63000</v>
      </c>
      <c r="K211" s="9"/>
      <c r="M211" s="9"/>
      <c r="O211" s="9"/>
    </row>
    <row r="212" spans="1:15" x14ac:dyDescent="0.25">
      <c r="A212">
        <v>64000</v>
      </c>
      <c r="K212" s="9"/>
      <c r="M212" s="9"/>
      <c r="O212" s="9"/>
    </row>
    <row r="213" spans="1:15" x14ac:dyDescent="0.25">
      <c r="A213">
        <v>65000</v>
      </c>
      <c r="K213" s="9"/>
      <c r="M213" s="9"/>
      <c r="O213" s="9"/>
    </row>
    <row r="214" spans="1:15" x14ac:dyDescent="0.25">
      <c r="A214">
        <v>66000</v>
      </c>
      <c r="K214" s="9"/>
      <c r="M214" s="9"/>
      <c r="O214" s="9"/>
    </row>
    <row r="215" spans="1:15" x14ac:dyDescent="0.25">
      <c r="A215">
        <v>67000</v>
      </c>
      <c r="K215" s="9"/>
      <c r="M215" s="9"/>
    </row>
    <row r="216" spans="1:15" x14ac:dyDescent="0.25">
      <c r="A216">
        <v>68000</v>
      </c>
      <c r="K216" s="9"/>
      <c r="M216" s="9"/>
    </row>
    <row r="217" spans="1:15" x14ac:dyDescent="0.25">
      <c r="A217">
        <v>69000</v>
      </c>
      <c r="M217" s="9"/>
    </row>
    <row r="218" spans="1:15" x14ac:dyDescent="0.25">
      <c r="A218">
        <v>70000</v>
      </c>
      <c r="M218" s="9"/>
    </row>
    <row r="219" spans="1:15" x14ac:dyDescent="0.25">
      <c r="A219">
        <v>71000</v>
      </c>
      <c r="M219" s="9"/>
    </row>
    <row r="220" spans="1:15" x14ac:dyDescent="0.25">
      <c r="A220">
        <v>72000</v>
      </c>
      <c r="M220" s="9"/>
    </row>
    <row r="221" spans="1:15" x14ac:dyDescent="0.25">
      <c r="A221">
        <v>73000</v>
      </c>
      <c r="M221" s="9"/>
    </row>
    <row r="222" spans="1:15" x14ac:dyDescent="0.25">
      <c r="A222">
        <v>74000</v>
      </c>
    </row>
    <row r="223" spans="1:15" x14ac:dyDescent="0.25">
      <c r="A223">
        <v>75000</v>
      </c>
    </row>
    <row r="225" spans="1:19" x14ac:dyDescent="0.25">
      <c r="A225" t="s">
        <v>51</v>
      </c>
      <c r="C225">
        <v>10000</v>
      </c>
      <c r="E225">
        <v>11000</v>
      </c>
      <c r="G225">
        <v>12000</v>
      </c>
      <c r="I225">
        <v>14000</v>
      </c>
      <c r="K225">
        <v>16000</v>
      </c>
      <c r="M225">
        <v>22000</v>
      </c>
      <c r="O225">
        <v>29000</v>
      </c>
    </row>
    <row r="226" spans="1:19" x14ac:dyDescent="0.25">
      <c r="A226" t="s">
        <v>50</v>
      </c>
      <c r="C226">
        <v>31000</v>
      </c>
      <c r="E226">
        <v>34000</v>
      </c>
      <c r="G226">
        <v>46000</v>
      </c>
      <c r="I226">
        <v>49000</v>
      </c>
      <c r="K226">
        <v>54000</v>
      </c>
      <c r="M226">
        <v>54000</v>
      </c>
      <c r="O226">
        <v>54000</v>
      </c>
    </row>
    <row r="227" spans="1:19" x14ac:dyDescent="0.25">
      <c r="A227" t="s">
        <v>52</v>
      </c>
      <c r="C227">
        <v>7000</v>
      </c>
      <c r="E227">
        <v>8000</v>
      </c>
      <c r="G227">
        <v>9000</v>
      </c>
      <c r="I227">
        <v>10300</v>
      </c>
      <c r="K227">
        <v>12046</v>
      </c>
      <c r="M227">
        <v>17326</v>
      </c>
      <c r="O227">
        <v>23682</v>
      </c>
    </row>
    <row r="228" spans="1:19" x14ac:dyDescent="0.25">
      <c r="A228" t="s">
        <v>53</v>
      </c>
      <c r="C228">
        <v>24000</v>
      </c>
      <c r="E228">
        <v>27735</v>
      </c>
      <c r="G228">
        <v>38333</v>
      </c>
      <c r="I228">
        <v>40723</v>
      </c>
      <c r="K228">
        <v>45000</v>
      </c>
      <c r="M228">
        <v>45000</v>
      </c>
      <c r="O228">
        <v>38571</v>
      </c>
    </row>
    <row r="229" spans="1:19" ht="29.25" customHeight="1" x14ac:dyDescent="0.25">
      <c r="A229" s="25" t="s">
        <v>55</v>
      </c>
      <c r="B229" s="26"/>
      <c r="C229">
        <v>13800</v>
      </c>
      <c r="E229">
        <v>14800</v>
      </c>
      <c r="G229">
        <v>15800</v>
      </c>
      <c r="I229">
        <v>17800</v>
      </c>
      <c r="K229">
        <v>19800</v>
      </c>
      <c r="M229">
        <v>25800</v>
      </c>
      <c r="O229">
        <v>32800</v>
      </c>
    </row>
    <row r="230" spans="1:19" ht="29.25" customHeight="1" x14ac:dyDescent="0.25">
      <c r="A230" s="25" t="s">
        <v>56</v>
      </c>
      <c r="B230" s="26"/>
      <c r="C230">
        <v>12100</v>
      </c>
      <c r="E230">
        <v>13100</v>
      </c>
      <c r="G230">
        <v>14100</v>
      </c>
      <c r="I230">
        <v>16100</v>
      </c>
      <c r="K230">
        <v>18100</v>
      </c>
      <c r="M230">
        <v>24100</v>
      </c>
      <c r="O230">
        <v>31100</v>
      </c>
    </row>
    <row r="231" spans="1:19" ht="29.25" customHeight="1" x14ac:dyDescent="0.25">
      <c r="A231" s="25" t="s">
        <v>57</v>
      </c>
      <c r="B231" s="26"/>
      <c r="C231">
        <v>15300</v>
      </c>
      <c r="E231">
        <v>16300</v>
      </c>
      <c r="G231">
        <v>17300</v>
      </c>
      <c r="I231">
        <v>19300</v>
      </c>
      <c r="K231">
        <v>21300</v>
      </c>
      <c r="M231">
        <v>27300</v>
      </c>
      <c r="O231">
        <v>34300</v>
      </c>
    </row>
    <row r="232" spans="1:19" ht="30.75" customHeight="1" x14ac:dyDescent="0.25">
      <c r="A232" s="25" t="s">
        <v>58</v>
      </c>
      <c r="B232" s="26"/>
      <c r="C232">
        <v>10300</v>
      </c>
      <c r="E232">
        <v>11300</v>
      </c>
      <c r="G232">
        <v>12300</v>
      </c>
      <c r="I232">
        <v>14300</v>
      </c>
      <c r="K232">
        <v>16300</v>
      </c>
      <c r="M232">
        <v>22300</v>
      </c>
      <c r="O232">
        <v>29300</v>
      </c>
    </row>
    <row r="233" spans="1:19" x14ac:dyDescent="0.25">
      <c r="A233" s="13"/>
      <c r="B233" s="14"/>
    </row>
    <row r="235" spans="1:19" ht="30" customHeight="1" x14ac:dyDescent="0.25">
      <c r="A235" s="25" t="s">
        <v>61</v>
      </c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15"/>
      <c r="Q235" s="15"/>
      <c r="R235" s="15"/>
      <c r="S235" s="15"/>
    </row>
    <row r="236" spans="1:19" x14ac:dyDescent="0.25">
      <c r="A236" s="25" t="s">
        <v>39</v>
      </c>
      <c r="B236" s="24" t="s">
        <v>42</v>
      </c>
      <c r="C236" s="24"/>
      <c r="D236" s="24" t="s">
        <v>43</v>
      </c>
      <c r="E236" s="24"/>
      <c r="F236" s="24" t="s">
        <v>44</v>
      </c>
      <c r="G236" s="24"/>
      <c r="H236" s="24" t="s">
        <v>45</v>
      </c>
      <c r="I236" s="24"/>
      <c r="J236" s="24" t="s">
        <v>46</v>
      </c>
      <c r="K236" s="24"/>
      <c r="L236" s="24" t="s">
        <v>47</v>
      </c>
      <c r="M236" s="24"/>
      <c r="N236" s="24" t="s">
        <v>48</v>
      </c>
      <c r="O236" s="24"/>
    </row>
    <row r="237" spans="1:19" x14ac:dyDescent="0.25">
      <c r="A237" s="25"/>
      <c r="B237" t="s">
        <v>40</v>
      </c>
      <c r="C237" t="s">
        <v>41</v>
      </c>
      <c r="D237" t="s">
        <v>40</v>
      </c>
      <c r="E237" t="s">
        <v>41</v>
      </c>
      <c r="F237" t="s">
        <v>40</v>
      </c>
      <c r="G237" t="s">
        <v>41</v>
      </c>
      <c r="H237" t="s">
        <v>40</v>
      </c>
      <c r="I237" t="s">
        <v>41</v>
      </c>
      <c r="J237" t="s">
        <v>40</v>
      </c>
      <c r="K237" t="s">
        <v>41</v>
      </c>
      <c r="L237" t="s">
        <v>40</v>
      </c>
      <c r="M237" t="s">
        <v>41</v>
      </c>
      <c r="N237" t="s">
        <v>40</v>
      </c>
      <c r="O237" t="s">
        <v>41</v>
      </c>
    </row>
    <row r="238" spans="1:19" x14ac:dyDescent="0.25">
      <c r="A238">
        <v>12000</v>
      </c>
      <c r="B238">
        <v>0</v>
      </c>
      <c r="C238" s="9">
        <v>0</v>
      </c>
      <c r="D238">
        <v>0</v>
      </c>
      <c r="E238" s="9">
        <v>0</v>
      </c>
      <c r="F238">
        <v>0</v>
      </c>
      <c r="G238" s="9">
        <v>0</v>
      </c>
      <c r="H238">
        <v>0</v>
      </c>
      <c r="I238" s="9">
        <v>0</v>
      </c>
      <c r="J238">
        <v>0</v>
      </c>
      <c r="K238" s="9">
        <v>0</v>
      </c>
      <c r="L238">
        <v>0</v>
      </c>
      <c r="M238" s="9">
        <v>0</v>
      </c>
      <c r="N238">
        <v>0</v>
      </c>
      <c r="O238" s="9">
        <v>0</v>
      </c>
    </row>
    <row r="239" spans="1:19" x14ac:dyDescent="0.25">
      <c r="A239">
        <v>13000</v>
      </c>
      <c r="B239">
        <v>0</v>
      </c>
      <c r="C239" s="9">
        <v>0</v>
      </c>
      <c r="D239">
        <v>0</v>
      </c>
      <c r="E239" s="9">
        <v>0</v>
      </c>
      <c r="F239">
        <v>0</v>
      </c>
      <c r="G239" s="9">
        <v>0</v>
      </c>
      <c r="H239">
        <v>0</v>
      </c>
      <c r="I239" s="9">
        <v>0</v>
      </c>
      <c r="J239">
        <v>0</v>
      </c>
      <c r="K239" s="9">
        <v>0</v>
      </c>
      <c r="L239">
        <v>0</v>
      </c>
      <c r="M239" s="9">
        <v>0</v>
      </c>
      <c r="N239">
        <v>0</v>
      </c>
      <c r="O239" s="9">
        <v>0</v>
      </c>
    </row>
    <row r="240" spans="1:19" x14ac:dyDescent="0.25">
      <c r="A240">
        <v>14000</v>
      </c>
      <c r="B240">
        <v>0</v>
      </c>
      <c r="C240" s="9">
        <v>0</v>
      </c>
      <c r="D240">
        <v>0</v>
      </c>
      <c r="E240" s="9">
        <v>0</v>
      </c>
      <c r="F240">
        <v>0</v>
      </c>
      <c r="G240" s="9">
        <v>0</v>
      </c>
      <c r="H240">
        <v>0</v>
      </c>
      <c r="I240" s="9">
        <v>0</v>
      </c>
      <c r="J240">
        <v>0</v>
      </c>
      <c r="K240" s="9">
        <v>0</v>
      </c>
      <c r="L240">
        <v>0</v>
      </c>
      <c r="M240" s="9">
        <v>0</v>
      </c>
      <c r="N240">
        <v>0</v>
      </c>
      <c r="O240" s="9">
        <v>0</v>
      </c>
    </row>
    <row r="241" spans="1:15" x14ac:dyDescent="0.25">
      <c r="A241">
        <v>15000</v>
      </c>
      <c r="B241">
        <v>0</v>
      </c>
      <c r="C241" s="9">
        <v>0</v>
      </c>
      <c r="D241">
        <v>0</v>
      </c>
      <c r="E241" s="9">
        <v>0</v>
      </c>
      <c r="F241">
        <v>0</v>
      </c>
      <c r="G241" s="9">
        <v>0</v>
      </c>
      <c r="H241">
        <v>0</v>
      </c>
      <c r="I241" s="9">
        <v>0</v>
      </c>
      <c r="J241">
        <v>0</v>
      </c>
      <c r="K241" s="9">
        <v>0</v>
      </c>
      <c r="L241">
        <v>0</v>
      </c>
      <c r="M241" s="9">
        <v>0</v>
      </c>
      <c r="N241">
        <v>0</v>
      </c>
      <c r="O241" s="9">
        <v>0</v>
      </c>
    </row>
    <row r="242" spans="1:15" x14ac:dyDescent="0.25">
      <c r="A242">
        <v>16000</v>
      </c>
      <c r="B242">
        <v>0</v>
      </c>
      <c r="C242" s="9">
        <v>0</v>
      </c>
      <c r="D242">
        <v>0</v>
      </c>
      <c r="E242" s="9">
        <v>0</v>
      </c>
      <c r="F242">
        <v>0</v>
      </c>
      <c r="G242" s="9">
        <v>0</v>
      </c>
      <c r="H242">
        <v>0</v>
      </c>
      <c r="I242" s="9">
        <v>0</v>
      </c>
      <c r="J242">
        <v>0</v>
      </c>
      <c r="K242" s="9">
        <v>0</v>
      </c>
      <c r="L242">
        <v>0</v>
      </c>
      <c r="M242" s="9">
        <v>0</v>
      </c>
      <c r="N242">
        <v>0</v>
      </c>
      <c r="O242" s="9">
        <v>0</v>
      </c>
    </row>
    <row r="243" spans="1:15" x14ac:dyDescent="0.25">
      <c r="A243">
        <v>17000</v>
      </c>
      <c r="B243">
        <v>470</v>
      </c>
      <c r="C243" s="9">
        <f t="shared" ref="C243:C275" si="92">PRODUCT(A243,B243,1/(620+B243))</f>
        <v>7330.2752293577987</v>
      </c>
      <c r="D243">
        <v>470</v>
      </c>
      <c r="E243" s="9">
        <f t="shared" ref="E243:E275" si="93">PRODUCT(A243,D243,1/(620+D243))</f>
        <v>7330.2752293577987</v>
      </c>
      <c r="F243">
        <v>0</v>
      </c>
      <c r="G243" s="9">
        <v>0</v>
      </c>
      <c r="H243">
        <v>0</v>
      </c>
      <c r="I243" s="9">
        <v>0</v>
      </c>
      <c r="J243">
        <v>0</v>
      </c>
      <c r="K243" s="9">
        <v>0</v>
      </c>
      <c r="L243">
        <v>0</v>
      </c>
      <c r="M243" s="9">
        <v>0</v>
      </c>
      <c r="N243">
        <v>0</v>
      </c>
      <c r="O243" s="9">
        <v>0</v>
      </c>
    </row>
    <row r="244" spans="1:15" x14ac:dyDescent="0.25">
      <c r="A244">
        <v>18000</v>
      </c>
      <c r="B244">
        <v>480</v>
      </c>
      <c r="C244" s="9">
        <f t="shared" si="92"/>
        <v>7854.545454545455</v>
      </c>
      <c r="D244">
        <v>480</v>
      </c>
      <c r="E244" s="9">
        <f t="shared" si="93"/>
        <v>7854.545454545455</v>
      </c>
      <c r="F244">
        <v>500</v>
      </c>
      <c r="G244" s="9">
        <f>PRODUCT(A244,F244,1/(620+F244))</f>
        <v>8035.7142857142853</v>
      </c>
      <c r="H244">
        <v>0</v>
      </c>
      <c r="I244" s="9">
        <v>0</v>
      </c>
      <c r="J244">
        <v>0</v>
      </c>
      <c r="K244" s="9">
        <v>0</v>
      </c>
      <c r="L244">
        <v>0</v>
      </c>
      <c r="M244" s="9">
        <v>0</v>
      </c>
      <c r="N244">
        <v>0</v>
      </c>
      <c r="O244" s="9">
        <v>0</v>
      </c>
    </row>
    <row r="245" spans="1:15" x14ac:dyDescent="0.25">
      <c r="A245">
        <v>19000</v>
      </c>
      <c r="B245">
        <v>490</v>
      </c>
      <c r="C245" s="9">
        <f t="shared" si="92"/>
        <v>8387.3873873873872</v>
      </c>
      <c r="D245">
        <v>490</v>
      </c>
      <c r="E245" s="9">
        <f t="shared" si="93"/>
        <v>8387.3873873873872</v>
      </c>
      <c r="F245">
        <v>510</v>
      </c>
      <c r="G245" s="9">
        <f t="shared" ref="G245:G277" si="94">PRODUCT(A245,F245,1/(620+F245))</f>
        <v>8575.2212389380529</v>
      </c>
      <c r="H245">
        <v>0</v>
      </c>
      <c r="I245" s="9">
        <v>0</v>
      </c>
      <c r="J245">
        <v>0</v>
      </c>
      <c r="K245" s="9">
        <v>0</v>
      </c>
      <c r="L245">
        <v>0</v>
      </c>
      <c r="M245" s="9">
        <v>0</v>
      </c>
      <c r="N245">
        <v>0</v>
      </c>
      <c r="O245" s="9">
        <v>0</v>
      </c>
    </row>
    <row r="246" spans="1:15" x14ac:dyDescent="0.25">
      <c r="A246">
        <v>20000</v>
      </c>
      <c r="B246">
        <v>500</v>
      </c>
      <c r="C246" s="9">
        <f t="shared" si="92"/>
        <v>8928.5714285714275</v>
      </c>
      <c r="D246">
        <f t="shared" ref="D246:D254" si="95">SUM(D245,10)</f>
        <v>500</v>
      </c>
      <c r="E246" s="9">
        <f t="shared" si="93"/>
        <v>8928.5714285714275</v>
      </c>
      <c r="F246">
        <f t="shared" ref="F246:F247" si="96">SUM(F245,9)</f>
        <v>519</v>
      </c>
      <c r="G246" s="9">
        <f t="shared" si="94"/>
        <v>9113.2572431957851</v>
      </c>
      <c r="H246">
        <v>0</v>
      </c>
      <c r="I246" s="9">
        <v>0</v>
      </c>
      <c r="J246">
        <v>0</v>
      </c>
      <c r="K246" s="9">
        <v>0</v>
      </c>
      <c r="L246">
        <v>0</v>
      </c>
      <c r="M246" s="9">
        <v>0</v>
      </c>
      <c r="N246">
        <v>0</v>
      </c>
      <c r="O246" s="9">
        <v>0</v>
      </c>
    </row>
    <row r="247" spans="1:15" x14ac:dyDescent="0.25">
      <c r="A247">
        <v>21000</v>
      </c>
      <c r="B247">
        <v>510</v>
      </c>
      <c r="C247" s="9">
        <f t="shared" si="92"/>
        <v>9477.8761061946898</v>
      </c>
      <c r="D247">
        <f t="shared" si="95"/>
        <v>510</v>
      </c>
      <c r="E247" s="9">
        <f t="shared" si="93"/>
        <v>9477.8761061946898</v>
      </c>
      <c r="F247">
        <f t="shared" si="96"/>
        <v>528</v>
      </c>
      <c r="G247" s="9">
        <f t="shared" si="94"/>
        <v>9658.5365853658532</v>
      </c>
      <c r="H247">
        <v>484</v>
      </c>
      <c r="I247" s="9">
        <f t="shared" ref="I247:I280" si="97">PRODUCT(A247,H247,1/(620+H247))</f>
        <v>9206.5217391304341</v>
      </c>
      <c r="J247">
        <v>0</v>
      </c>
      <c r="K247" s="9">
        <v>0</v>
      </c>
      <c r="L247">
        <v>0</v>
      </c>
      <c r="M247" s="9">
        <v>0</v>
      </c>
      <c r="N247">
        <v>0</v>
      </c>
      <c r="O247" s="9">
        <v>0</v>
      </c>
    </row>
    <row r="248" spans="1:15" x14ac:dyDescent="0.25">
      <c r="A248">
        <v>22000</v>
      </c>
      <c r="B248">
        <v>520</v>
      </c>
      <c r="C248" s="9">
        <f t="shared" si="92"/>
        <v>10035.087719298246</v>
      </c>
      <c r="D248">
        <f t="shared" si="95"/>
        <v>520</v>
      </c>
      <c r="E248" s="9">
        <f t="shared" si="93"/>
        <v>10035.087719298246</v>
      </c>
      <c r="F248">
        <f>SUM(F247,10)</f>
        <v>538</v>
      </c>
      <c r="G248" s="9">
        <f t="shared" si="94"/>
        <v>10221.070811744386</v>
      </c>
      <c r="H248">
        <f t="shared" ref="H248:H273" si="98">SUM(H247,9)</f>
        <v>493</v>
      </c>
      <c r="I248" s="9">
        <f t="shared" si="97"/>
        <v>9744.8337825696326</v>
      </c>
      <c r="J248">
        <v>0</v>
      </c>
      <c r="K248" s="9">
        <v>0</v>
      </c>
      <c r="L248">
        <v>0</v>
      </c>
      <c r="M248" s="9">
        <v>0</v>
      </c>
      <c r="N248">
        <v>0</v>
      </c>
      <c r="O248" s="9">
        <v>0</v>
      </c>
    </row>
    <row r="249" spans="1:15" x14ac:dyDescent="0.25">
      <c r="A249">
        <v>23000</v>
      </c>
      <c r="B249">
        <v>530</v>
      </c>
      <c r="C249" s="9">
        <f t="shared" si="92"/>
        <v>10600</v>
      </c>
      <c r="D249">
        <f t="shared" si="95"/>
        <v>530</v>
      </c>
      <c r="E249" s="9">
        <f t="shared" si="93"/>
        <v>10600</v>
      </c>
      <c r="F249">
        <f t="shared" ref="F249:F266" si="99">SUM(F248,10)</f>
        <v>548</v>
      </c>
      <c r="G249" s="9">
        <f t="shared" si="94"/>
        <v>10791.095890410958</v>
      </c>
      <c r="H249">
        <f t="shared" si="98"/>
        <v>502</v>
      </c>
      <c r="I249" s="9">
        <f t="shared" si="97"/>
        <v>10290.552584670231</v>
      </c>
      <c r="J249">
        <v>0</v>
      </c>
      <c r="K249" s="9">
        <v>0</v>
      </c>
      <c r="L249">
        <v>0</v>
      </c>
      <c r="M249" s="9">
        <v>0</v>
      </c>
      <c r="N249">
        <v>0</v>
      </c>
      <c r="O249" s="9">
        <v>0</v>
      </c>
    </row>
    <row r="250" spans="1:15" x14ac:dyDescent="0.25">
      <c r="A250">
        <v>24000</v>
      </c>
      <c r="B250">
        <v>540</v>
      </c>
      <c r="C250" s="9">
        <f t="shared" si="92"/>
        <v>11172.413793103447</v>
      </c>
      <c r="D250">
        <f t="shared" si="95"/>
        <v>540</v>
      </c>
      <c r="E250" s="9">
        <f t="shared" si="93"/>
        <v>11172.413793103447</v>
      </c>
      <c r="F250">
        <f t="shared" si="99"/>
        <v>558</v>
      </c>
      <c r="G250" s="9">
        <f t="shared" si="94"/>
        <v>11368.421052631578</v>
      </c>
      <c r="H250">
        <f t="shared" si="98"/>
        <v>511</v>
      </c>
      <c r="I250" s="9">
        <f t="shared" si="97"/>
        <v>10843.501326259946</v>
      </c>
      <c r="J250">
        <v>0</v>
      </c>
      <c r="K250" s="9">
        <v>0</v>
      </c>
      <c r="L250">
        <v>0</v>
      </c>
      <c r="M250" s="9">
        <v>0</v>
      </c>
      <c r="N250">
        <v>0</v>
      </c>
      <c r="O250" s="9">
        <v>0</v>
      </c>
    </row>
    <row r="251" spans="1:15" x14ac:dyDescent="0.25">
      <c r="A251">
        <v>25000</v>
      </c>
      <c r="B251">
        <v>550</v>
      </c>
      <c r="C251" s="9">
        <f t="shared" si="92"/>
        <v>11752.136752136752</v>
      </c>
      <c r="D251">
        <f t="shared" si="95"/>
        <v>550</v>
      </c>
      <c r="E251" s="9">
        <f t="shared" si="93"/>
        <v>11752.136752136752</v>
      </c>
      <c r="F251">
        <f t="shared" si="99"/>
        <v>568</v>
      </c>
      <c r="G251" s="9">
        <f t="shared" si="94"/>
        <v>11952.861952861953</v>
      </c>
      <c r="H251">
        <f t="shared" si="98"/>
        <v>520</v>
      </c>
      <c r="I251" s="9">
        <f t="shared" si="97"/>
        <v>11403.508771929824</v>
      </c>
      <c r="J251">
        <v>0</v>
      </c>
      <c r="K251" s="9">
        <v>0</v>
      </c>
      <c r="L251">
        <v>0</v>
      </c>
      <c r="M251" s="9">
        <v>0</v>
      </c>
      <c r="N251">
        <v>0</v>
      </c>
      <c r="O251" s="9">
        <v>0</v>
      </c>
    </row>
    <row r="252" spans="1:15" x14ac:dyDescent="0.25">
      <c r="A252">
        <v>26000</v>
      </c>
      <c r="B252">
        <v>560</v>
      </c>
      <c r="C252" s="9">
        <f t="shared" si="92"/>
        <v>12338.983050847457</v>
      </c>
      <c r="D252">
        <f t="shared" si="95"/>
        <v>560</v>
      </c>
      <c r="E252" s="9">
        <f t="shared" si="93"/>
        <v>12338.983050847457</v>
      </c>
      <c r="F252">
        <f t="shared" si="99"/>
        <v>578</v>
      </c>
      <c r="G252" s="9">
        <f t="shared" si="94"/>
        <v>12544.240400667781</v>
      </c>
      <c r="H252">
        <f t="shared" si="98"/>
        <v>529</v>
      </c>
      <c r="I252" s="9">
        <f t="shared" si="97"/>
        <v>11970.409051348999</v>
      </c>
      <c r="J252">
        <v>0</v>
      </c>
      <c r="K252" s="9">
        <v>0</v>
      </c>
      <c r="L252">
        <v>0</v>
      </c>
      <c r="M252" s="9">
        <v>0</v>
      </c>
      <c r="N252">
        <v>0</v>
      </c>
      <c r="O252" s="9">
        <v>0</v>
      </c>
    </row>
    <row r="253" spans="1:15" x14ac:dyDescent="0.25">
      <c r="A253">
        <v>27000</v>
      </c>
      <c r="B253">
        <v>570</v>
      </c>
      <c r="C253" s="9">
        <f t="shared" si="92"/>
        <v>12932.773109243699</v>
      </c>
      <c r="D253">
        <f t="shared" si="95"/>
        <v>570</v>
      </c>
      <c r="E253" s="9">
        <f t="shared" si="93"/>
        <v>12932.773109243699</v>
      </c>
      <c r="F253">
        <f t="shared" si="99"/>
        <v>588</v>
      </c>
      <c r="G253" s="9">
        <f t="shared" si="94"/>
        <v>13142.384105960266</v>
      </c>
      <c r="H253">
        <f t="shared" si="98"/>
        <v>538</v>
      </c>
      <c r="I253" s="9">
        <f t="shared" si="97"/>
        <v>12544.041450777202</v>
      </c>
      <c r="J253">
        <v>485</v>
      </c>
      <c r="K253" s="9">
        <f t="shared" ref="K253:K288" si="100">PRODUCT(A253,J253,1/(620+J253))</f>
        <v>11850.678733031675</v>
      </c>
      <c r="L253">
        <v>0</v>
      </c>
      <c r="M253" s="9">
        <v>0</v>
      </c>
      <c r="N253">
        <v>0</v>
      </c>
      <c r="O253" s="9">
        <v>0</v>
      </c>
    </row>
    <row r="254" spans="1:15" x14ac:dyDescent="0.25">
      <c r="A254">
        <v>28000</v>
      </c>
      <c r="B254">
        <v>580</v>
      </c>
      <c r="C254" s="9">
        <f t="shared" si="92"/>
        <v>13533.333333333334</v>
      </c>
      <c r="D254">
        <f t="shared" si="95"/>
        <v>580</v>
      </c>
      <c r="E254" s="9">
        <f t="shared" si="93"/>
        <v>13533.333333333334</v>
      </c>
      <c r="F254">
        <f t="shared" si="99"/>
        <v>598</v>
      </c>
      <c r="G254" s="9">
        <f t="shared" si="94"/>
        <v>13747.126436781609</v>
      </c>
      <c r="H254">
        <f t="shared" si="98"/>
        <v>547</v>
      </c>
      <c r="I254" s="9">
        <f t="shared" si="97"/>
        <v>13124.250214224508</v>
      </c>
      <c r="J254">
        <v>496</v>
      </c>
      <c r="K254" s="9">
        <f t="shared" si="100"/>
        <v>12444.444444444445</v>
      </c>
      <c r="L254">
        <v>0</v>
      </c>
      <c r="M254" s="9">
        <v>0</v>
      </c>
      <c r="N254">
        <v>0</v>
      </c>
      <c r="O254" s="9">
        <v>0</v>
      </c>
    </row>
    <row r="255" spans="1:15" x14ac:dyDescent="0.25">
      <c r="A255">
        <v>29000</v>
      </c>
      <c r="B255">
        <v>582</v>
      </c>
      <c r="C255" s="9">
        <f t="shared" si="92"/>
        <v>14041.597337770383</v>
      </c>
      <c r="D255">
        <f>SUM(D254,14)</f>
        <v>594</v>
      </c>
      <c r="E255" s="9">
        <f t="shared" si="93"/>
        <v>14189.456342668864</v>
      </c>
      <c r="F255">
        <f t="shared" si="99"/>
        <v>608</v>
      </c>
      <c r="G255" s="9">
        <f t="shared" si="94"/>
        <v>14358.306188925082</v>
      </c>
      <c r="H255">
        <f t="shared" si="98"/>
        <v>556</v>
      </c>
      <c r="I255" s="9">
        <f t="shared" si="97"/>
        <v>13710.884353741496</v>
      </c>
      <c r="J255">
        <v>517</v>
      </c>
      <c r="K255" s="9">
        <f t="shared" si="100"/>
        <v>13186.455584872472</v>
      </c>
      <c r="L255">
        <v>0</v>
      </c>
      <c r="M255" s="9">
        <v>0</v>
      </c>
      <c r="N255">
        <v>0</v>
      </c>
      <c r="O255" s="9">
        <v>0</v>
      </c>
    </row>
    <row r="256" spans="1:15" x14ac:dyDescent="0.25">
      <c r="A256">
        <v>30000</v>
      </c>
      <c r="B256">
        <v>584</v>
      </c>
      <c r="C256" s="9">
        <f t="shared" si="92"/>
        <v>14551.495016611296</v>
      </c>
      <c r="D256">
        <f t="shared" ref="D256:D266" si="101">SUM(D255,14)</f>
        <v>608</v>
      </c>
      <c r="E256" s="9">
        <f t="shared" si="93"/>
        <v>14853.420195439739</v>
      </c>
      <c r="F256">
        <f t="shared" si="99"/>
        <v>618</v>
      </c>
      <c r="G256" s="9">
        <f t="shared" si="94"/>
        <v>14975.767366720518</v>
      </c>
      <c r="H256">
        <f t="shared" si="98"/>
        <v>565</v>
      </c>
      <c r="I256" s="9">
        <f t="shared" si="97"/>
        <v>14303.797468354431</v>
      </c>
      <c r="J256">
        <v>526</v>
      </c>
      <c r="K256" s="9">
        <f t="shared" si="100"/>
        <v>13769.633507853403</v>
      </c>
      <c r="L256">
        <v>0</v>
      </c>
      <c r="M256" s="9">
        <v>0</v>
      </c>
      <c r="N256">
        <v>0</v>
      </c>
      <c r="O256" s="9">
        <v>0</v>
      </c>
    </row>
    <row r="257" spans="1:15" x14ac:dyDescent="0.25">
      <c r="A257">
        <v>31000</v>
      </c>
      <c r="B257">
        <v>586</v>
      </c>
      <c r="C257" s="9">
        <f t="shared" si="92"/>
        <v>15063.01824212272</v>
      </c>
      <c r="D257">
        <f t="shared" si="101"/>
        <v>622</v>
      </c>
      <c r="E257" s="9">
        <f t="shared" si="93"/>
        <v>15524.959742351046</v>
      </c>
      <c r="F257">
        <f t="shared" si="99"/>
        <v>628</v>
      </c>
      <c r="G257" s="9">
        <f t="shared" si="94"/>
        <v>15599.358974358975</v>
      </c>
      <c r="H257">
        <f t="shared" si="98"/>
        <v>574</v>
      </c>
      <c r="I257" s="9">
        <f t="shared" si="97"/>
        <v>14902.847571189281</v>
      </c>
      <c r="J257">
        <v>535</v>
      </c>
      <c r="K257" s="9">
        <f t="shared" si="100"/>
        <v>14359.307359307359</v>
      </c>
      <c r="L257">
        <v>0</v>
      </c>
      <c r="M257" s="9">
        <v>0</v>
      </c>
      <c r="N257">
        <v>0</v>
      </c>
      <c r="O257" s="9">
        <v>0</v>
      </c>
    </row>
    <row r="258" spans="1:15" x14ac:dyDescent="0.25">
      <c r="A258">
        <v>32000</v>
      </c>
      <c r="B258">
        <v>588</v>
      </c>
      <c r="C258" s="9">
        <f t="shared" si="92"/>
        <v>15576.15894039735</v>
      </c>
      <c r="D258">
        <f t="shared" si="101"/>
        <v>636</v>
      </c>
      <c r="E258" s="9">
        <f t="shared" si="93"/>
        <v>16203.821656050955</v>
      </c>
      <c r="F258">
        <f t="shared" si="99"/>
        <v>638</v>
      </c>
      <c r="G258" s="9">
        <f t="shared" si="94"/>
        <v>16228.934817170113</v>
      </c>
      <c r="H258">
        <f t="shared" si="98"/>
        <v>583</v>
      </c>
      <c r="I258" s="9">
        <f t="shared" si="97"/>
        <v>15507.896924355777</v>
      </c>
      <c r="J258">
        <v>544</v>
      </c>
      <c r="K258" s="9">
        <f t="shared" si="100"/>
        <v>14955.326460481099</v>
      </c>
      <c r="L258">
        <v>0</v>
      </c>
      <c r="M258" s="9">
        <v>0</v>
      </c>
      <c r="N258">
        <v>0</v>
      </c>
      <c r="O258" s="9">
        <v>0</v>
      </c>
    </row>
    <row r="259" spans="1:15" x14ac:dyDescent="0.25">
      <c r="A259">
        <v>33000</v>
      </c>
      <c r="B259">
        <v>590</v>
      </c>
      <c r="C259" s="9">
        <f t="shared" si="92"/>
        <v>16090.90909090909</v>
      </c>
      <c r="D259">
        <f t="shared" si="101"/>
        <v>650</v>
      </c>
      <c r="E259" s="9">
        <f t="shared" si="93"/>
        <v>16889.763779527559</v>
      </c>
      <c r="F259">
        <f t="shared" si="99"/>
        <v>648</v>
      </c>
      <c r="G259" s="9">
        <f t="shared" si="94"/>
        <v>16864.353312302839</v>
      </c>
      <c r="H259">
        <f t="shared" si="98"/>
        <v>592</v>
      </c>
      <c r="I259" s="9">
        <f t="shared" si="97"/>
        <v>16118.81188118812</v>
      </c>
      <c r="J259">
        <v>553</v>
      </c>
      <c r="K259" s="9">
        <f t="shared" si="100"/>
        <v>15557.544757033247</v>
      </c>
      <c r="L259">
        <v>0</v>
      </c>
      <c r="M259" s="9">
        <v>0</v>
      </c>
      <c r="N259">
        <v>0</v>
      </c>
      <c r="O259" s="9">
        <v>0</v>
      </c>
    </row>
    <row r="260" spans="1:15" x14ac:dyDescent="0.25">
      <c r="A260">
        <v>34000</v>
      </c>
      <c r="B260">
        <v>592</v>
      </c>
      <c r="C260" s="9">
        <f t="shared" si="92"/>
        <v>16607.260726072607</v>
      </c>
      <c r="D260">
        <f t="shared" si="101"/>
        <v>664</v>
      </c>
      <c r="E260" s="9">
        <f t="shared" si="93"/>
        <v>17582.554517133955</v>
      </c>
      <c r="F260">
        <f t="shared" si="99"/>
        <v>658</v>
      </c>
      <c r="G260" s="9">
        <f t="shared" si="94"/>
        <v>17505.477308294208</v>
      </c>
      <c r="H260">
        <f t="shared" si="98"/>
        <v>601</v>
      </c>
      <c r="I260" s="9">
        <f t="shared" si="97"/>
        <v>16735.462735462737</v>
      </c>
      <c r="J260">
        <v>562</v>
      </c>
      <c r="K260" s="9">
        <f t="shared" si="100"/>
        <v>16165.820642978002</v>
      </c>
      <c r="L260">
        <v>0</v>
      </c>
      <c r="M260" s="9">
        <v>0</v>
      </c>
      <c r="N260">
        <v>0</v>
      </c>
      <c r="O260" s="9">
        <v>0</v>
      </c>
    </row>
    <row r="261" spans="1:15" x14ac:dyDescent="0.25">
      <c r="A261">
        <v>35000</v>
      </c>
      <c r="B261">
        <v>594</v>
      </c>
      <c r="C261" s="9">
        <f t="shared" si="92"/>
        <v>17125.205930807249</v>
      </c>
      <c r="D261">
        <f t="shared" si="101"/>
        <v>678</v>
      </c>
      <c r="E261" s="9">
        <f t="shared" si="93"/>
        <v>18281.972265023112</v>
      </c>
      <c r="F261">
        <f t="shared" si="99"/>
        <v>668</v>
      </c>
      <c r="G261" s="9">
        <f t="shared" si="94"/>
        <v>18152.173913043476</v>
      </c>
      <c r="H261">
        <f t="shared" si="98"/>
        <v>610</v>
      </c>
      <c r="I261" s="9">
        <f t="shared" si="97"/>
        <v>17357.723577235771</v>
      </c>
      <c r="J261">
        <v>572</v>
      </c>
      <c r="K261" s="9">
        <f t="shared" si="100"/>
        <v>16795.302013422817</v>
      </c>
      <c r="L261">
        <v>0</v>
      </c>
      <c r="M261" s="9">
        <v>0</v>
      </c>
      <c r="N261">
        <v>0</v>
      </c>
      <c r="O261" s="9">
        <v>0</v>
      </c>
    </row>
    <row r="262" spans="1:15" x14ac:dyDescent="0.25">
      <c r="A262">
        <v>36000</v>
      </c>
      <c r="B262">
        <v>596</v>
      </c>
      <c r="C262" s="9">
        <f t="shared" si="92"/>
        <v>17644.736842105263</v>
      </c>
      <c r="D262">
        <f t="shared" si="101"/>
        <v>692</v>
      </c>
      <c r="E262" s="9">
        <f t="shared" si="93"/>
        <v>18987.804878048781</v>
      </c>
      <c r="F262">
        <f t="shared" si="99"/>
        <v>678</v>
      </c>
      <c r="G262" s="9">
        <f t="shared" si="94"/>
        <v>18804.314329738059</v>
      </c>
      <c r="H262">
        <f t="shared" si="98"/>
        <v>619</v>
      </c>
      <c r="I262" s="9">
        <f t="shared" si="97"/>
        <v>17985.472154963678</v>
      </c>
      <c r="J262">
        <v>582</v>
      </c>
      <c r="K262" s="9">
        <f t="shared" si="100"/>
        <v>17430.948419301167</v>
      </c>
      <c r="L262">
        <v>558</v>
      </c>
      <c r="M262" s="9">
        <f t="shared" ref="M262:M301" si="102">PRODUCT(A262,L262,1/(620+L262))</f>
        <v>17052.631578947367</v>
      </c>
      <c r="N262">
        <v>0</v>
      </c>
      <c r="O262" s="9">
        <v>0</v>
      </c>
    </row>
    <row r="263" spans="1:15" x14ac:dyDescent="0.25">
      <c r="A263">
        <v>37000</v>
      </c>
      <c r="B263">
        <v>598</v>
      </c>
      <c r="C263" s="9">
        <f t="shared" si="92"/>
        <v>18165.845648604267</v>
      </c>
      <c r="D263">
        <f t="shared" si="101"/>
        <v>706</v>
      </c>
      <c r="E263" s="9">
        <f t="shared" si="93"/>
        <v>19699.849170437406</v>
      </c>
      <c r="F263">
        <f t="shared" si="99"/>
        <v>688</v>
      </c>
      <c r="G263" s="9">
        <f t="shared" si="94"/>
        <v>19461.77370030581</v>
      </c>
      <c r="H263">
        <f t="shared" si="98"/>
        <v>628</v>
      </c>
      <c r="I263" s="9">
        <f t="shared" si="97"/>
        <v>18618.589743589742</v>
      </c>
      <c r="J263">
        <f t="shared" ref="J263" si="103">SUM(J262,9)</f>
        <v>591</v>
      </c>
      <c r="K263" s="9">
        <f t="shared" si="100"/>
        <v>18056.977704376546</v>
      </c>
      <c r="L263">
        <f>SUM(L262,9)</f>
        <v>567</v>
      </c>
      <c r="M263" s="9">
        <f t="shared" si="102"/>
        <v>17673.967986520638</v>
      </c>
      <c r="N263">
        <v>0</v>
      </c>
      <c r="O263" s="9">
        <v>0</v>
      </c>
    </row>
    <row r="264" spans="1:15" x14ac:dyDescent="0.25">
      <c r="A264">
        <v>38000</v>
      </c>
      <c r="B264">
        <f>SUM(B263,2)</f>
        <v>600</v>
      </c>
      <c r="C264" s="9">
        <f t="shared" si="92"/>
        <v>18688.524590163935</v>
      </c>
      <c r="D264">
        <f t="shared" si="101"/>
        <v>720</v>
      </c>
      <c r="E264" s="9">
        <f t="shared" si="93"/>
        <v>20417.910447761195</v>
      </c>
      <c r="F264">
        <f t="shared" si="99"/>
        <v>698</v>
      </c>
      <c r="G264" s="9">
        <f t="shared" si="94"/>
        <v>20124.430955993932</v>
      </c>
      <c r="H264">
        <f t="shared" si="98"/>
        <v>637</v>
      </c>
      <c r="I264" s="9">
        <f t="shared" si="97"/>
        <v>19256.961018297534</v>
      </c>
      <c r="J264">
        <f>SUM(J263,10)</f>
        <v>601</v>
      </c>
      <c r="K264" s="9">
        <f t="shared" si="100"/>
        <v>18704.340704340706</v>
      </c>
      <c r="L264">
        <f t="shared" ref="L264:L266" si="104">SUM(L263,9)</f>
        <v>576</v>
      </c>
      <c r="M264" s="9">
        <f t="shared" si="102"/>
        <v>18301.003344481604</v>
      </c>
      <c r="N264">
        <v>0</v>
      </c>
      <c r="O264" s="9">
        <v>0</v>
      </c>
    </row>
    <row r="265" spans="1:15" x14ac:dyDescent="0.25">
      <c r="A265">
        <v>39000</v>
      </c>
      <c r="B265">
        <f t="shared" ref="B265:B267" si="105">SUM(B264,2)</f>
        <v>602</v>
      </c>
      <c r="C265" s="9">
        <f t="shared" si="92"/>
        <v>19212.765957446809</v>
      </c>
      <c r="D265">
        <f t="shared" si="101"/>
        <v>734</v>
      </c>
      <c r="E265" s="9">
        <f t="shared" si="93"/>
        <v>21141.802067946825</v>
      </c>
      <c r="F265">
        <f t="shared" si="99"/>
        <v>708</v>
      </c>
      <c r="G265" s="9">
        <f t="shared" si="94"/>
        <v>20792.168674698798</v>
      </c>
      <c r="H265">
        <f t="shared" si="98"/>
        <v>646</v>
      </c>
      <c r="I265" s="9">
        <f t="shared" si="97"/>
        <v>19900.473933649289</v>
      </c>
      <c r="J265">
        <f t="shared" ref="J265:J271" si="106">SUM(J264,10)</f>
        <v>611</v>
      </c>
      <c r="K265" s="9">
        <f t="shared" si="100"/>
        <v>19357.432981316004</v>
      </c>
      <c r="L265">
        <f t="shared" si="104"/>
        <v>585</v>
      </c>
      <c r="M265" s="9">
        <f t="shared" si="102"/>
        <v>18933.609958506222</v>
      </c>
      <c r="N265">
        <v>0</v>
      </c>
      <c r="O265" s="9">
        <v>0</v>
      </c>
    </row>
    <row r="266" spans="1:15" x14ac:dyDescent="0.25">
      <c r="A266">
        <v>40000</v>
      </c>
      <c r="B266">
        <f t="shared" si="105"/>
        <v>604</v>
      </c>
      <c r="C266" s="9">
        <f t="shared" si="92"/>
        <v>19738.562091503267</v>
      </c>
      <c r="D266">
        <f t="shared" si="101"/>
        <v>748</v>
      </c>
      <c r="E266" s="9">
        <f t="shared" si="93"/>
        <v>21871.345029239765</v>
      </c>
      <c r="F266">
        <f t="shared" si="99"/>
        <v>718</v>
      </c>
      <c r="G266" s="9">
        <f t="shared" si="94"/>
        <v>21464.872944693572</v>
      </c>
      <c r="H266">
        <f t="shared" si="98"/>
        <v>655</v>
      </c>
      <c r="I266" s="9">
        <f t="shared" si="97"/>
        <v>20549.019607843136</v>
      </c>
      <c r="J266">
        <f t="shared" si="106"/>
        <v>621</v>
      </c>
      <c r="K266" s="9">
        <f t="shared" si="100"/>
        <v>20016.116035455278</v>
      </c>
      <c r="L266">
        <f t="shared" si="104"/>
        <v>594</v>
      </c>
      <c r="M266" s="9">
        <f t="shared" si="102"/>
        <v>19571.663920922569</v>
      </c>
      <c r="N266">
        <v>0</v>
      </c>
      <c r="O266" s="9">
        <v>0</v>
      </c>
    </row>
    <row r="267" spans="1:15" x14ac:dyDescent="0.25">
      <c r="A267">
        <v>41000</v>
      </c>
      <c r="B267">
        <f t="shared" si="105"/>
        <v>606</v>
      </c>
      <c r="C267" s="9">
        <f t="shared" si="92"/>
        <v>20265.905383360521</v>
      </c>
      <c r="D267">
        <v>750</v>
      </c>
      <c r="E267" s="9">
        <f t="shared" si="93"/>
        <v>22445.255474452555</v>
      </c>
      <c r="F267">
        <f>SUM(F266,10)</f>
        <v>728</v>
      </c>
      <c r="G267" s="9">
        <f t="shared" si="94"/>
        <v>22142.433234421365</v>
      </c>
      <c r="H267">
        <f t="shared" si="98"/>
        <v>664</v>
      </c>
      <c r="I267" s="9">
        <f t="shared" si="97"/>
        <v>21202.492211838005</v>
      </c>
      <c r="J267">
        <f t="shared" si="106"/>
        <v>631</v>
      </c>
      <c r="K267" s="9">
        <f t="shared" si="100"/>
        <v>20680.255795363708</v>
      </c>
      <c r="L267">
        <f>SUM(L266,10)</f>
        <v>604</v>
      </c>
      <c r="M267" s="9">
        <f t="shared" si="102"/>
        <v>20232.026143790852</v>
      </c>
      <c r="N267">
        <v>0</v>
      </c>
      <c r="O267" s="9">
        <v>0</v>
      </c>
    </row>
    <row r="268" spans="1:15" x14ac:dyDescent="0.25">
      <c r="A268">
        <v>42000</v>
      </c>
      <c r="B268">
        <v>608</v>
      </c>
      <c r="C268" s="9">
        <f t="shared" si="92"/>
        <v>20794.788273615635</v>
      </c>
      <c r="D268">
        <v>750</v>
      </c>
      <c r="E268" s="9">
        <f t="shared" si="93"/>
        <v>22992.700729927004</v>
      </c>
      <c r="F268">
        <f t="shared" ref="F268:F269" si="107">SUM(F267,10)</f>
        <v>738</v>
      </c>
      <c r="G268" s="9">
        <f t="shared" si="94"/>
        <v>22824.742268041238</v>
      </c>
      <c r="H268">
        <f t="shared" si="98"/>
        <v>673</v>
      </c>
      <c r="I268" s="9">
        <f t="shared" si="97"/>
        <v>21860.78886310905</v>
      </c>
      <c r="J268">
        <f t="shared" si="106"/>
        <v>641</v>
      </c>
      <c r="K268" s="9">
        <f t="shared" si="100"/>
        <v>21349.722442505947</v>
      </c>
      <c r="L268">
        <f t="shared" ref="L268:L270" si="108">SUM(L267,10)</f>
        <v>614</v>
      </c>
      <c r="M268" s="9">
        <f t="shared" si="102"/>
        <v>20897.893030794163</v>
      </c>
      <c r="N268">
        <v>0</v>
      </c>
      <c r="O268" s="9">
        <v>0</v>
      </c>
    </row>
    <row r="269" spans="1:15" x14ac:dyDescent="0.25">
      <c r="A269">
        <v>43000</v>
      </c>
      <c r="B269">
        <v>610</v>
      </c>
      <c r="C269" s="9">
        <f t="shared" si="92"/>
        <v>21325.203252032519</v>
      </c>
      <c r="D269">
        <v>750</v>
      </c>
      <c r="E269" s="9">
        <f t="shared" si="93"/>
        <v>23540.145985401457</v>
      </c>
      <c r="F269">
        <f t="shared" si="107"/>
        <v>748</v>
      </c>
      <c r="G269" s="9">
        <f t="shared" si="94"/>
        <v>23511.695906432746</v>
      </c>
      <c r="H269">
        <f t="shared" si="98"/>
        <v>682</v>
      </c>
      <c r="I269" s="9">
        <f t="shared" si="97"/>
        <v>22523.809523809523</v>
      </c>
      <c r="J269">
        <f t="shared" si="106"/>
        <v>651</v>
      </c>
      <c r="K269" s="9">
        <f t="shared" si="100"/>
        <v>22024.390243902439</v>
      </c>
      <c r="L269">
        <f t="shared" si="108"/>
        <v>624</v>
      </c>
      <c r="M269" s="9">
        <f t="shared" si="102"/>
        <v>21569.131832797426</v>
      </c>
      <c r="N269">
        <v>0</v>
      </c>
      <c r="O269" s="9">
        <v>0</v>
      </c>
    </row>
    <row r="270" spans="1:15" x14ac:dyDescent="0.25">
      <c r="A270">
        <v>44000</v>
      </c>
      <c r="B270">
        <v>612</v>
      </c>
      <c r="C270" s="9">
        <f t="shared" si="92"/>
        <v>21857.142857142859</v>
      </c>
      <c r="D270">
        <v>750</v>
      </c>
      <c r="E270" s="9">
        <f t="shared" si="93"/>
        <v>24087.59124087591</v>
      </c>
      <c r="F270">
        <v>750</v>
      </c>
      <c r="G270" s="9">
        <f t="shared" si="94"/>
        <v>24087.59124087591</v>
      </c>
      <c r="H270">
        <f t="shared" si="98"/>
        <v>691</v>
      </c>
      <c r="I270" s="9">
        <f t="shared" si="97"/>
        <v>23191.456903127386</v>
      </c>
      <c r="J270">
        <f t="shared" si="106"/>
        <v>661</v>
      </c>
      <c r="K270" s="9">
        <f t="shared" si="100"/>
        <v>22704.137392661982</v>
      </c>
      <c r="L270">
        <f t="shared" si="108"/>
        <v>634</v>
      </c>
      <c r="M270" s="9">
        <f t="shared" si="102"/>
        <v>22245.614035087718</v>
      </c>
      <c r="N270">
        <v>0</v>
      </c>
      <c r="O270" s="9">
        <v>0</v>
      </c>
    </row>
    <row r="271" spans="1:15" x14ac:dyDescent="0.25">
      <c r="A271">
        <v>45000</v>
      </c>
      <c r="B271">
        <v>614</v>
      </c>
      <c r="C271" s="9">
        <f t="shared" si="92"/>
        <v>22390.599675850892</v>
      </c>
      <c r="D271">
        <v>750</v>
      </c>
      <c r="E271" s="9">
        <f t="shared" si="93"/>
        <v>24635.036496350363</v>
      </c>
      <c r="F271">
        <v>750</v>
      </c>
      <c r="G271" s="9">
        <f t="shared" si="94"/>
        <v>24635.036496350363</v>
      </c>
      <c r="H271">
        <f t="shared" si="98"/>
        <v>700</v>
      </c>
      <c r="I271" s="9">
        <f t="shared" si="97"/>
        <v>23863.636363636364</v>
      </c>
      <c r="J271">
        <f t="shared" si="106"/>
        <v>671</v>
      </c>
      <c r="K271" s="9">
        <f t="shared" si="100"/>
        <v>23388.84585592564</v>
      </c>
      <c r="L271">
        <f>SUM(L270,11)</f>
        <v>645</v>
      </c>
      <c r="M271" s="9">
        <f t="shared" si="102"/>
        <v>22944.664031620552</v>
      </c>
      <c r="N271">
        <v>0</v>
      </c>
      <c r="O271" s="9">
        <v>0</v>
      </c>
    </row>
    <row r="272" spans="1:15" x14ac:dyDescent="0.25">
      <c r="A272">
        <v>46000</v>
      </c>
      <c r="B272">
        <v>616</v>
      </c>
      <c r="C272" s="9">
        <f t="shared" si="92"/>
        <v>22925.566343042072</v>
      </c>
      <c r="D272">
        <v>750</v>
      </c>
      <c r="E272" s="9">
        <f t="shared" si="93"/>
        <v>25182.481751824816</v>
      </c>
      <c r="F272">
        <v>750</v>
      </c>
      <c r="G272" s="9">
        <f t="shared" si="94"/>
        <v>25182.481751824816</v>
      </c>
      <c r="H272">
        <f t="shared" si="98"/>
        <v>709</v>
      </c>
      <c r="I272" s="9">
        <f t="shared" si="97"/>
        <v>24540.255831452218</v>
      </c>
      <c r="J272">
        <f>SUM(J271,11)</f>
        <v>682</v>
      </c>
      <c r="K272" s="9">
        <f t="shared" si="100"/>
        <v>24095.238095238095</v>
      </c>
      <c r="L272">
        <f t="shared" ref="L272" si="109">SUM(L271,11)</f>
        <v>656</v>
      </c>
      <c r="M272" s="9">
        <f t="shared" si="102"/>
        <v>23648.902821316613</v>
      </c>
      <c r="N272">
        <v>0</v>
      </c>
      <c r="O272" s="9">
        <v>0</v>
      </c>
    </row>
    <row r="273" spans="1:15" x14ac:dyDescent="0.25">
      <c r="A273">
        <v>47000</v>
      </c>
      <c r="B273">
        <v>618</v>
      </c>
      <c r="C273" s="9">
        <f t="shared" si="92"/>
        <v>23462.035541195477</v>
      </c>
      <c r="D273">
        <v>750</v>
      </c>
      <c r="E273" s="9">
        <f t="shared" si="93"/>
        <v>25729.927007299269</v>
      </c>
      <c r="F273">
        <v>750</v>
      </c>
      <c r="G273" s="9">
        <f t="shared" si="94"/>
        <v>25729.927007299269</v>
      </c>
      <c r="H273">
        <f t="shared" si="98"/>
        <v>718</v>
      </c>
      <c r="I273" s="9">
        <f t="shared" si="97"/>
        <v>25221.225710014947</v>
      </c>
      <c r="J273">
        <f t="shared" ref="J273:J277" si="110">SUM(J272,11)</f>
        <v>693</v>
      </c>
      <c r="K273" s="9">
        <f t="shared" si="100"/>
        <v>24806.549885757806</v>
      </c>
      <c r="L273">
        <v>750</v>
      </c>
      <c r="M273" s="9">
        <f t="shared" si="102"/>
        <v>25729.927007299269</v>
      </c>
      <c r="N273">
        <v>0</v>
      </c>
      <c r="O273" s="9">
        <v>0</v>
      </c>
    </row>
    <row r="274" spans="1:15" x14ac:dyDescent="0.25">
      <c r="A274">
        <v>48000</v>
      </c>
      <c r="B274">
        <v>620</v>
      </c>
      <c r="C274" s="9">
        <f t="shared" si="92"/>
        <v>24000</v>
      </c>
      <c r="D274">
        <v>750</v>
      </c>
      <c r="E274" s="9">
        <f t="shared" si="93"/>
        <v>26277.372262773722</v>
      </c>
      <c r="F274">
        <v>750</v>
      </c>
      <c r="G274" s="9">
        <f t="shared" si="94"/>
        <v>26277.372262773722</v>
      </c>
      <c r="H274">
        <f>SUM(H273,10)</f>
        <v>728</v>
      </c>
      <c r="I274" s="9">
        <f t="shared" si="97"/>
        <v>25922.848664688427</v>
      </c>
      <c r="J274">
        <f t="shared" si="110"/>
        <v>704</v>
      </c>
      <c r="K274" s="9">
        <f t="shared" si="100"/>
        <v>25522.658610271905</v>
      </c>
      <c r="L274">
        <v>750</v>
      </c>
      <c r="M274" s="9">
        <f t="shared" si="102"/>
        <v>26277.372262773722</v>
      </c>
      <c r="N274">
        <v>0</v>
      </c>
      <c r="O274" s="9">
        <v>0</v>
      </c>
    </row>
    <row r="275" spans="1:15" x14ac:dyDescent="0.25">
      <c r="A275">
        <v>49000</v>
      </c>
      <c r="B275">
        <v>622</v>
      </c>
      <c r="C275" s="9">
        <f t="shared" si="92"/>
        <v>24539.452495974234</v>
      </c>
      <c r="D275">
        <v>750</v>
      </c>
      <c r="E275" s="9">
        <f t="shared" si="93"/>
        <v>26824.817518248172</v>
      </c>
      <c r="F275">
        <v>750</v>
      </c>
      <c r="G275" s="9">
        <f t="shared" si="94"/>
        <v>26824.817518248172</v>
      </c>
      <c r="H275">
        <f t="shared" ref="H275:H276" si="111">SUM(H274,10)</f>
        <v>738</v>
      </c>
      <c r="I275" s="9">
        <f t="shared" si="97"/>
        <v>26628.865979381444</v>
      </c>
      <c r="J275">
        <f t="shared" si="110"/>
        <v>715</v>
      </c>
      <c r="K275" s="9">
        <f t="shared" si="100"/>
        <v>26243.445692883895</v>
      </c>
      <c r="L275">
        <v>750</v>
      </c>
      <c r="M275" s="9">
        <f t="shared" si="102"/>
        <v>26824.817518248172</v>
      </c>
      <c r="N275">
        <v>0</v>
      </c>
      <c r="O275" s="9">
        <v>0</v>
      </c>
    </row>
    <row r="276" spans="1:15" x14ac:dyDescent="0.25">
      <c r="A276">
        <v>50000</v>
      </c>
      <c r="B276">
        <v>0</v>
      </c>
      <c r="C276">
        <v>0</v>
      </c>
      <c r="D276">
        <v>0</v>
      </c>
      <c r="E276">
        <v>0</v>
      </c>
      <c r="F276">
        <v>750</v>
      </c>
      <c r="G276" s="9">
        <f t="shared" si="94"/>
        <v>27372.262773722625</v>
      </c>
      <c r="H276">
        <f t="shared" si="111"/>
        <v>748</v>
      </c>
      <c r="I276" s="9">
        <f t="shared" si="97"/>
        <v>27339.181286549705</v>
      </c>
      <c r="J276">
        <f t="shared" si="110"/>
        <v>726</v>
      </c>
      <c r="K276" s="9">
        <f t="shared" si="100"/>
        <v>26968.796433878157</v>
      </c>
      <c r="L276">
        <v>750</v>
      </c>
      <c r="M276" s="9">
        <f t="shared" si="102"/>
        <v>27372.262773722625</v>
      </c>
      <c r="N276">
        <v>0</v>
      </c>
      <c r="O276" s="9">
        <v>0</v>
      </c>
    </row>
    <row r="277" spans="1:15" x14ac:dyDescent="0.25">
      <c r="A277">
        <v>51000</v>
      </c>
      <c r="B277">
        <v>0</v>
      </c>
      <c r="C277">
        <v>0</v>
      </c>
      <c r="D277">
        <v>0</v>
      </c>
      <c r="E277">
        <v>0</v>
      </c>
      <c r="F277">
        <v>750</v>
      </c>
      <c r="G277" s="9">
        <f t="shared" si="94"/>
        <v>27919.708029197078</v>
      </c>
      <c r="H277">
        <v>750</v>
      </c>
      <c r="I277" s="9">
        <f t="shared" si="97"/>
        <v>27919.708029197078</v>
      </c>
      <c r="J277">
        <f t="shared" si="110"/>
        <v>737</v>
      </c>
      <c r="K277" s="9">
        <f t="shared" si="100"/>
        <v>27698.599852616066</v>
      </c>
      <c r="L277">
        <v>750</v>
      </c>
      <c r="M277" s="9">
        <f t="shared" si="102"/>
        <v>27919.708029197078</v>
      </c>
      <c r="N277">
        <v>0</v>
      </c>
      <c r="O277" s="9">
        <v>0</v>
      </c>
    </row>
    <row r="278" spans="1:15" x14ac:dyDescent="0.25">
      <c r="A278">
        <v>52000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750</v>
      </c>
      <c r="I278" s="9">
        <f t="shared" si="97"/>
        <v>28467.153284671531</v>
      </c>
      <c r="J278">
        <v>750</v>
      </c>
      <c r="K278" s="9">
        <f t="shared" si="100"/>
        <v>28467.153284671531</v>
      </c>
      <c r="L278">
        <v>750</v>
      </c>
      <c r="M278" s="9">
        <f t="shared" si="102"/>
        <v>28467.153284671531</v>
      </c>
      <c r="N278">
        <v>0</v>
      </c>
      <c r="O278" s="9">
        <v>0</v>
      </c>
    </row>
    <row r="279" spans="1:15" x14ac:dyDescent="0.25">
      <c r="A279">
        <v>53000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750</v>
      </c>
      <c r="I279" s="9">
        <f t="shared" si="97"/>
        <v>29014.598540145984</v>
      </c>
      <c r="J279">
        <v>750</v>
      </c>
      <c r="K279" s="9">
        <f t="shared" si="100"/>
        <v>29014.598540145984</v>
      </c>
      <c r="L279">
        <v>750</v>
      </c>
      <c r="M279" s="9">
        <f t="shared" si="102"/>
        <v>29014.598540145984</v>
      </c>
      <c r="N279">
        <v>0</v>
      </c>
      <c r="O279" s="9">
        <v>0</v>
      </c>
    </row>
    <row r="280" spans="1:15" x14ac:dyDescent="0.25">
      <c r="A280">
        <v>54000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750</v>
      </c>
      <c r="I280" s="9">
        <f t="shared" si="97"/>
        <v>29562.043795620437</v>
      </c>
      <c r="J280">
        <v>750</v>
      </c>
      <c r="K280" s="9">
        <f t="shared" si="100"/>
        <v>29562.043795620437</v>
      </c>
      <c r="L280">
        <v>750</v>
      </c>
      <c r="M280" s="9">
        <f t="shared" si="102"/>
        <v>29562.043795620437</v>
      </c>
      <c r="N280">
        <v>0</v>
      </c>
      <c r="O280" s="9">
        <v>0</v>
      </c>
    </row>
    <row r="281" spans="1:15" x14ac:dyDescent="0.25">
      <c r="A281">
        <v>55000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750</v>
      </c>
      <c r="K281" s="9">
        <f t="shared" si="100"/>
        <v>30109.48905109489</v>
      </c>
      <c r="L281">
        <v>750</v>
      </c>
      <c r="M281" s="9">
        <f t="shared" si="102"/>
        <v>30109.48905109489</v>
      </c>
      <c r="N281">
        <v>0</v>
      </c>
      <c r="O281" s="9">
        <v>0</v>
      </c>
    </row>
    <row r="282" spans="1:15" x14ac:dyDescent="0.25">
      <c r="A282">
        <v>56000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750</v>
      </c>
      <c r="K282" s="9">
        <f t="shared" si="100"/>
        <v>30656.934306569343</v>
      </c>
      <c r="L282">
        <v>750</v>
      </c>
      <c r="M282" s="9">
        <f t="shared" si="102"/>
        <v>30656.934306569343</v>
      </c>
      <c r="N282">
        <v>0</v>
      </c>
      <c r="O282" s="9">
        <v>0</v>
      </c>
    </row>
    <row r="283" spans="1:15" x14ac:dyDescent="0.25">
      <c r="A283">
        <v>57000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750</v>
      </c>
      <c r="K283" s="9">
        <f t="shared" si="100"/>
        <v>31204.379562043792</v>
      </c>
      <c r="L283">
        <v>750</v>
      </c>
      <c r="M283" s="9">
        <f t="shared" si="102"/>
        <v>31204.379562043792</v>
      </c>
      <c r="N283">
        <v>0</v>
      </c>
      <c r="O283" s="9">
        <v>0</v>
      </c>
    </row>
    <row r="284" spans="1:15" x14ac:dyDescent="0.25">
      <c r="A284">
        <v>58000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750</v>
      </c>
      <c r="K284" s="9">
        <f t="shared" si="100"/>
        <v>31751.824817518245</v>
      </c>
      <c r="L284">
        <v>750</v>
      </c>
      <c r="M284" s="9">
        <f t="shared" si="102"/>
        <v>31751.824817518245</v>
      </c>
      <c r="N284">
        <v>0</v>
      </c>
      <c r="O284" s="9">
        <v>0</v>
      </c>
    </row>
    <row r="285" spans="1:15" x14ac:dyDescent="0.25">
      <c r="A285">
        <v>59000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750</v>
      </c>
      <c r="K285" s="9">
        <f t="shared" si="100"/>
        <v>32299.270072992698</v>
      </c>
      <c r="L285">
        <v>750</v>
      </c>
      <c r="M285" s="9">
        <f t="shared" si="102"/>
        <v>32299.270072992698</v>
      </c>
      <c r="N285">
        <v>0</v>
      </c>
      <c r="O285" s="9">
        <v>0</v>
      </c>
    </row>
    <row r="286" spans="1:15" x14ac:dyDescent="0.25">
      <c r="A286">
        <v>60000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750</v>
      </c>
      <c r="K286" s="9">
        <f t="shared" si="100"/>
        <v>32846.715328467151</v>
      </c>
      <c r="L286">
        <v>750</v>
      </c>
      <c r="M286" s="9">
        <f t="shared" si="102"/>
        <v>32846.715328467151</v>
      </c>
      <c r="N286">
        <v>0</v>
      </c>
      <c r="O286" s="9">
        <v>0</v>
      </c>
    </row>
    <row r="287" spans="1:15" x14ac:dyDescent="0.25">
      <c r="A287">
        <v>61000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750</v>
      </c>
      <c r="K287" s="9">
        <f t="shared" si="100"/>
        <v>33394.160583941601</v>
      </c>
      <c r="L287">
        <v>750</v>
      </c>
      <c r="M287" s="9">
        <f t="shared" si="102"/>
        <v>33394.160583941601</v>
      </c>
      <c r="N287">
        <v>0</v>
      </c>
      <c r="O287" s="9">
        <v>0</v>
      </c>
    </row>
    <row r="288" spans="1:15" x14ac:dyDescent="0.25">
      <c r="A288">
        <v>62000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750</v>
      </c>
      <c r="K288" s="9">
        <f t="shared" si="100"/>
        <v>33941.605839416057</v>
      </c>
      <c r="L288">
        <v>750</v>
      </c>
      <c r="M288" s="9">
        <f t="shared" si="102"/>
        <v>33941.605839416057</v>
      </c>
      <c r="N288">
        <v>0</v>
      </c>
      <c r="O288" s="9">
        <v>0</v>
      </c>
    </row>
    <row r="289" spans="1:15" x14ac:dyDescent="0.25">
      <c r="A289">
        <v>63000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 s="9">
        <v>0</v>
      </c>
      <c r="L289">
        <v>750</v>
      </c>
      <c r="M289" s="9">
        <f t="shared" si="102"/>
        <v>34489.051094890507</v>
      </c>
      <c r="N289">
        <v>0</v>
      </c>
      <c r="O289" s="9">
        <v>0</v>
      </c>
    </row>
    <row r="290" spans="1:15" x14ac:dyDescent="0.25">
      <c r="A290">
        <v>64000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 s="9">
        <v>0</v>
      </c>
      <c r="L290">
        <v>750</v>
      </c>
      <c r="M290" s="9">
        <f t="shared" si="102"/>
        <v>35036.496350364963</v>
      </c>
      <c r="N290">
        <v>0</v>
      </c>
      <c r="O290" s="9">
        <v>0</v>
      </c>
    </row>
    <row r="291" spans="1:15" x14ac:dyDescent="0.25">
      <c r="A291">
        <v>65000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s="9">
        <v>0</v>
      </c>
      <c r="L291">
        <v>750</v>
      </c>
      <c r="M291" s="9">
        <f t="shared" si="102"/>
        <v>35583.941605839413</v>
      </c>
      <c r="N291">
        <v>0</v>
      </c>
      <c r="O291" s="9">
        <v>0</v>
      </c>
    </row>
    <row r="292" spans="1:15" x14ac:dyDescent="0.25">
      <c r="A292">
        <v>66000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 s="9">
        <v>0</v>
      </c>
      <c r="L292">
        <v>750</v>
      </c>
      <c r="M292" s="9">
        <f t="shared" si="102"/>
        <v>36131.386861313869</v>
      </c>
      <c r="N292">
        <v>0</v>
      </c>
      <c r="O292" s="9">
        <v>0</v>
      </c>
    </row>
    <row r="293" spans="1:15" x14ac:dyDescent="0.25">
      <c r="A293">
        <v>67000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s="9">
        <v>0</v>
      </c>
      <c r="L293">
        <v>750</v>
      </c>
      <c r="M293" s="9">
        <f t="shared" si="102"/>
        <v>36678.832116788319</v>
      </c>
      <c r="N293">
        <v>0</v>
      </c>
      <c r="O293" s="9">
        <v>0</v>
      </c>
    </row>
    <row r="294" spans="1:15" x14ac:dyDescent="0.25">
      <c r="A294">
        <v>68000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 s="9">
        <v>0</v>
      </c>
      <c r="L294">
        <v>750</v>
      </c>
      <c r="M294" s="9">
        <f t="shared" si="102"/>
        <v>37226.277372262768</v>
      </c>
      <c r="N294">
        <v>668</v>
      </c>
      <c r="O294" s="9">
        <f t="shared" ref="O294:O311" si="112">PRODUCT(A294,N294,1/(620+N294))</f>
        <v>35267.080745341613</v>
      </c>
    </row>
    <row r="295" spans="1:15" x14ac:dyDescent="0.25">
      <c r="A295">
        <v>69000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s="9">
        <v>0</v>
      </c>
      <c r="L295">
        <v>750</v>
      </c>
      <c r="M295" s="9">
        <f t="shared" si="102"/>
        <v>37773.722627737225</v>
      </c>
      <c r="N295">
        <f>SUM(N294,2)</f>
        <v>670</v>
      </c>
      <c r="O295" s="9">
        <f t="shared" si="112"/>
        <v>35837.20930232558</v>
      </c>
    </row>
    <row r="296" spans="1:15" x14ac:dyDescent="0.25">
      <c r="A296">
        <v>70000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 s="9">
        <v>0</v>
      </c>
      <c r="L296">
        <v>750</v>
      </c>
      <c r="M296" s="9">
        <f t="shared" si="102"/>
        <v>38321.167883211674</v>
      </c>
      <c r="N296">
        <f t="shared" ref="N296:N310" si="113">SUM(N295,2)</f>
        <v>672</v>
      </c>
      <c r="O296" s="9">
        <f t="shared" si="112"/>
        <v>36408.668730650155</v>
      </c>
    </row>
    <row r="297" spans="1:15" x14ac:dyDescent="0.25">
      <c r="A297">
        <v>71000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 s="9">
        <v>0</v>
      </c>
      <c r="L297">
        <v>750</v>
      </c>
      <c r="M297" s="9">
        <f t="shared" si="102"/>
        <v>38868.613138686131</v>
      </c>
      <c r="N297">
        <f t="shared" si="113"/>
        <v>674</v>
      </c>
      <c r="O297" s="9">
        <f t="shared" si="112"/>
        <v>36981.452859350851</v>
      </c>
    </row>
    <row r="298" spans="1:15" x14ac:dyDescent="0.25">
      <c r="A298">
        <v>72000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s="9">
        <v>0</v>
      </c>
      <c r="L298">
        <v>750</v>
      </c>
      <c r="M298" s="9">
        <f t="shared" si="102"/>
        <v>39416.05839416058</v>
      </c>
      <c r="N298">
        <f t="shared" si="113"/>
        <v>676</v>
      </c>
      <c r="O298" s="9">
        <f t="shared" si="112"/>
        <v>37555.555555555555</v>
      </c>
    </row>
    <row r="299" spans="1:15" x14ac:dyDescent="0.25">
      <c r="A299">
        <v>73000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 s="9">
        <v>0</v>
      </c>
      <c r="L299">
        <v>750</v>
      </c>
      <c r="M299" s="9">
        <f t="shared" si="102"/>
        <v>39963.503649635037</v>
      </c>
      <c r="N299">
        <f t="shared" si="113"/>
        <v>678</v>
      </c>
      <c r="O299" s="9">
        <f t="shared" si="112"/>
        <v>38130.970724191066</v>
      </c>
    </row>
    <row r="300" spans="1:15" x14ac:dyDescent="0.25">
      <c r="A300">
        <v>74000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s="9">
        <v>0</v>
      </c>
      <c r="L300">
        <v>750</v>
      </c>
      <c r="M300" s="9">
        <f t="shared" si="102"/>
        <v>40510.948905109486</v>
      </c>
      <c r="N300">
        <f t="shared" si="113"/>
        <v>680</v>
      </c>
      <c r="O300" s="9">
        <f t="shared" si="112"/>
        <v>38707.692307692305</v>
      </c>
    </row>
    <row r="301" spans="1:15" x14ac:dyDescent="0.25">
      <c r="A301">
        <v>75000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s="9">
        <v>0</v>
      </c>
      <c r="L301">
        <v>750</v>
      </c>
      <c r="M301" s="9">
        <f t="shared" si="102"/>
        <v>41058.394160583935</v>
      </c>
      <c r="N301">
        <f t="shared" si="113"/>
        <v>682</v>
      </c>
      <c r="O301" s="9">
        <f t="shared" si="112"/>
        <v>39285.714285714283</v>
      </c>
    </row>
    <row r="302" spans="1:15" x14ac:dyDescent="0.25">
      <c r="A302">
        <v>76000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 s="9">
        <v>0</v>
      </c>
      <c r="L302">
        <v>0</v>
      </c>
      <c r="M302">
        <v>0</v>
      </c>
      <c r="N302">
        <f t="shared" si="113"/>
        <v>684</v>
      </c>
      <c r="O302" s="9">
        <f t="shared" si="112"/>
        <v>39865.030674846625</v>
      </c>
    </row>
    <row r="303" spans="1:15" x14ac:dyDescent="0.25">
      <c r="A303">
        <v>77000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 s="9">
        <v>0</v>
      </c>
      <c r="L303">
        <v>0</v>
      </c>
      <c r="M303">
        <v>0</v>
      </c>
      <c r="N303">
        <f t="shared" si="113"/>
        <v>686</v>
      </c>
      <c r="O303" s="9">
        <f t="shared" si="112"/>
        <v>40445.635528330786</v>
      </c>
    </row>
    <row r="304" spans="1:15" x14ac:dyDescent="0.25">
      <c r="A304">
        <v>78000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s="9">
        <v>0</v>
      </c>
      <c r="L304">
        <v>0</v>
      </c>
      <c r="M304">
        <v>0</v>
      </c>
      <c r="N304">
        <f t="shared" si="113"/>
        <v>688</v>
      </c>
      <c r="O304" s="9">
        <f t="shared" si="112"/>
        <v>41027.522935779816</v>
      </c>
    </row>
    <row r="305" spans="1:15" x14ac:dyDescent="0.25">
      <c r="A305">
        <v>79000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 s="9">
        <v>0</v>
      </c>
      <c r="L305">
        <v>0</v>
      </c>
      <c r="M305">
        <v>0</v>
      </c>
      <c r="N305">
        <f t="shared" si="113"/>
        <v>690</v>
      </c>
      <c r="O305" s="9">
        <f t="shared" si="112"/>
        <v>41610.687022900762</v>
      </c>
    </row>
    <row r="306" spans="1:15" x14ac:dyDescent="0.25">
      <c r="A306">
        <v>80000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 s="9">
        <v>0</v>
      </c>
      <c r="L306">
        <v>0</v>
      </c>
      <c r="M306">
        <v>0</v>
      </c>
      <c r="N306">
        <f t="shared" si="113"/>
        <v>692</v>
      </c>
      <c r="O306" s="9">
        <f t="shared" si="112"/>
        <v>42195.121951219517</v>
      </c>
    </row>
    <row r="307" spans="1:15" x14ac:dyDescent="0.25">
      <c r="A307">
        <v>81000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s="9">
        <v>0</v>
      </c>
      <c r="L307">
        <v>0</v>
      </c>
      <c r="M307">
        <v>0</v>
      </c>
      <c r="N307">
        <f t="shared" si="113"/>
        <v>694</v>
      </c>
      <c r="O307" s="9">
        <f t="shared" si="112"/>
        <v>42780.821917808214</v>
      </c>
    </row>
    <row r="308" spans="1:15" x14ac:dyDescent="0.25">
      <c r="A308">
        <v>82000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 s="9">
        <v>0</v>
      </c>
      <c r="L308">
        <v>0</v>
      </c>
      <c r="M308">
        <v>0</v>
      </c>
      <c r="N308">
        <f t="shared" si="113"/>
        <v>696</v>
      </c>
      <c r="O308" s="9">
        <f t="shared" si="112"/>
        <v>43367.781155015196</v>
      </c>
    </row>
    <row r="309" spans="1:15" x14ac:dyDescent="0.25">
      <c r="A309">
        <v>83000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 s="9">
        <v>0</v>
      </c>
      <c r="L309">
        <v>0</v>
      </c>
      <c r="M309">
        <v>0</v>
      </c>
      <c r="N309">
        <f t="shared" si="113"/>
        <v>698</v>
      </c>
      <c r="O309" s="9">
        <f t="shared" si="112"/>
        <v>43955.99393019727</v>
      </c>
    </row>
    <row r="310" spans="1:15" x14ac:dyDescent="0.25">
      <c r="A310">
        <v>84000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 s="9">
        <v>0</v>
      </c>
      <c r="L310">
        <v>0</v>
      </c>
      <c r="M310">
        <v>0</v>
      </c>
      <c r="N310">
        <f t="shared" si="113"/>
        <v>700</v>
      </c>
      <c r="O310" s="9">
        <f t="shared" si="112"/>
        <v>44545.454545454544</v>
      </c>
    </row>
    <row r="311" spans="1:15" x14ac:dyDescent="0.25">
      <c r="A311">
        <v>85000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s="9">
        <v>0</v>
      </c>
      <c r="L311">
        <v>0</v>
      </c>
      <c r="M311">
        <v>0</v>
      </c>
      <c r="N311">
        <f t="shared" ref="N311" si="114">SUM(N310,3)</f>
        <v>703</v>
      </c>
      <c r="O311" s="9">
        <f t="shared" si="112"/>
        <v>45166.28873771731</v>
      </c>
    </row>
    <row r="313" spans="1:15" x14ac:dyDescent="0.25">
      <c r="A313" t="s">
        <v>51</v>
      </c>
      <c r="C313" s="16">
        <v>17000</v>
      </c>
      <c r="E313">
        <v>17000</v>
      </c>
      <c r="G313">
        <v>18000</v>
      </c>
      <c r="I313">
        <v>21000</v>
      </c>
      <c r="K313">
        <v>27000</v>
      </c>
      <c r="M313">
        <v>36000</v>
      </c>
      <c r="O313">
        <v>68000</v>
      </c>
    </row>
    <row r="314" spans="1:15" x14ac:dyDescent="0.25">
      <c r="A314" t="s">
        <v>50</v>
      </c>
      <c r="C314">
        <v>49000</v>
      </c>
      <c r="E314">
        <v>49000</v>
      </c>
      <c r="G314">
        <v>51000</v>
      </c>
      <c r="I314">
        <v>54000</v>
      </c>
      <c r="K314">
        <v>62000</v>
      </c>
      <c r="M314">
        <v>75000</v>
      </c>
      <c r="O314">
        <v>84000</v>
      </c>
    </row>
    <row r="315" spans="1:15" x14ac:dyDescent="0.25">
      <c r="A315" t="s">
        <v>52</v>
      </c>
      <c r="C315" s="16">
        <v>7330</v>
      </c>
      <c r="E315">
        <v>7330</v>
      </c>
      <c r="G315">
        <v>8000</v>
      </c>
      <c r="I315">
        <v>9200</v>
      </c>
      <c r="K315">
        <v>12000</v>
      </c>
      <c r="M315">
        <v>17000</v>
      </c>
      <c r="O315">
        <v>35000</v>
      </c>
    </row>
    <row r="316" spans="1:15" x14ac:dyDescent="0.25">
      <c r="A316" t="s">
        <v>53</v>
      </c>
      <c r="C316">
        <v>24539</v>
      </c>
      <c r="E316">
        <v>26825</v>
      </c>
      <c r="G316">
        <v>27920</v>
      </c>
      <c r="I316">
        <v>29500</v>
      </c>
      <c r="K316">
        <v>34000</v>
      </c>
      <c r="M316">
        <v>41000</v>
      </c>
      <c r="O316">
        <v>44500</v>
      </c>
    </row>
    <row r="317" spans="1:15" ht="30" customHeight="1" x14ac:dyDescent="0.25">
      <c r="A317" s="25" t="s">
        <v>55</v>
      </c>
      <c r="B317" s="26"/>
      <c r="C317">
        <v>33000</v>
      </c>
      <c r="E317">
        <v>33000</v>
      </c>
      <c r="G317">
        <v>34000</v>
      </c>
      <c r="I317">
        <v>37000</v>
      </c>
      <c r="K317">
        <v>43000</v>
      </c>
      <c r="M317">
        <v>52000</v>
      </c>
      <c r="O317">
        <v>82000</v>
      </c>
    </row>
    <row r="318" spans="1:15" ht="29.25" customHeight="1" x14ac:dyDescent="0.25">
      <c r="A318" s="25" t="s">
        <v>56</v>
      </c>
      <c r="B318" s="26"/>
      <c r="C318">
        <v>26000</v>
      </c>
      <c r="E318">
        <v>26000</v>
      </c>
      <c r="G318">
        <v>27000</v>
      </c>
      <c r="I318">
        <v>30000</v>
      </c>
      <c r="K318">
        <v>36000</v>
      </c>
      <c r="M318">
        <v>45000</v>
      </c>
      <c r="O318">
        <v>77000</v>
      </c>
    </row>
    <row r="319" spans="1:15" ht="29.25" customHeight="1" x14ac:dyDescent="0.25">
      <c r="A319" s="25" t="s">
        <v>57</v>
      </c>
      <c r="B319" s="26"/>
      <c r="C319">
        <v>39400</v>
      </c>
      <c r="E319">
        <v>39400</v>
      </c>
      <c r="G319">
        <v>40400</v>
      </c>
      <c r="I319">
        <v>43400</v>
      </c>
      <c r="K319">
        <v>49400</v>
      </c>
      <c r="M319">
        <v>58400</v>
      </c>
      <c r="O319">
        <v>90400</v>
      </c>
    </row>
    <row r="320" spans="1:15" ht="29.25" customHeight="1" x14ac:dyDescent="0.25">
      <c r="A320" s="25" t="s">
        <v>58</v>
      </c>
      <c r="B320" s="26"/>
      <c r="C320">
        <v>18300</v>
      </c>
      <c r="E320">
        <v>18300</v>
      </c>
      <c r="G320">
        <v>19300</v>
      </c>
      <c r="I320">
        <v>22300</v>
      </c>
      <c r="K320">
        <v>28300</v>
      </c>
      <c r="M320">
        <v>37300</v>
      </c>
      <c r="O320">
        <v>69300</v>
      </c>
    </row>
    <row r="322" spans="1:19" ht="29.25" customHeight="1" x14ac:dyDescent="0.25">
      <c r="A322" s="25" t="s">
        <v>60</v>
      </c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15"/>
      <c r="Q322" s="15"/>
      <c r="R322" s="15"/>
      <c r="S322" s="15"/>
    </row>
    <row r="323" spans="1:19" x14ac:dyDescent="0.25">
      <c r="A323" s="25" t="s">
        <v>39</v>
      </c>
      <c r="B323" s="24" t="s">
        <v>42</v>
      </c>
      <c r="C323" s="24"/>
      <c r="D323" s="24" t="s">
        <v>43</v>
      </c>
      <c r="E323" s="24"/>
      <c r="F323" s="27" t="s">
        <v>44</v>
      </c>
      <c r="G323" s="27"/>
      <c r="H323" s="24" t="s">
        <v>45</v>
      </c>
      <c r="I323" s="24"/>
      <c r="J323" s="24" t="s">
        <v>46</v>
      </c>
      <c r="K323" s="24"/>
      <c r="L323" s="27" t="s">
        <v>47</v>
      </c>
      <c r="M323" s="27"/>
      <c r="N323" s="24" t="s">
        <v>48</v>
      </c>
      <c r="O323" s="24"/>
    </row>
    <row r="324" spans="1:19" x14ac:dyDescent="0.25">
      <c r="A324" s="25"/>
      <c r="B324" t="s">
        <v>40</v>
      </c>
      <c r="C324" t="s">
        <v>41</v>
      </c>
      <c r="D324" t="s">
        <v>40</v>
      </c>
      <c r="E324" t="s">
        <v>41</v>
      </c>
      <c r="F324" t="s">
        <v>40</v>
      </c>
      <c r="G324" t="s">
        <v>41</v>
      </c>
      <c r="H324" t="s">
        <v>40</v>
      </c>
      <c r="I324" t="s">
        <v>41</v>
      </c>
      <c r="J324" t="s">
        <v>40</v>
      </c>
      <c r="K324" t="s">
        <v>41</v>
      </c>
      <c r="L324" t="s">
        <v>40</v>
      </c>
      <c r="M324" t="s">
        <v>41</v>
      </c>
      <c r="N324" t="s">
        <v>40</v>
      </c>
      <c r="O324" t="s">
        <v>41</v>
      </c>
    </row>
    <row r="325" spans="1:19" x14ac:dyDescent="0.25">
      <c r="A325">
        <v>12000</v>
      </c>
      <c r="B325">
        <v>0</v>
      </c>
      <c r="C325" s="9">
        <v>0</v>
      </c>
      <c r="D325">
        <v>0</v>
      </c>
      <c r="E325" s="9">
        <v>0</v>
      </c>
      <c r="F325">
        <v>0</v>
      </c>
      <c r="G325" s="9">
        <v>0</v>
      </c>
      <c r="H325">
        <v>0</v>
      </c>
      <c r="I325" s="9">
        <v>0</v>
      </c>
      <c r="J325">
        <v>0</v>
      </c>
      <c r="K325" s="9">
        <v>0</v>
      </c>
      <c r="L325">
        <v>0</v>
      </c>
      <c r="M325" s="9">
        <v>0</v>
      </c>
      <c r="N325">
        <v>0</v>
      </c>
      <c r="O325" s="9">
        <v>0</v>
      </c>
    </row>
    <row r="326" spans="1:19" x14ac:dyDescent="0.25">
      <c r="A326">
        <v>13000</v>
      </c>
      <c r="B326">
        <v>0</v>
      </c>
      <c r="C326" s="9">
        <v>0</v>
      </c>
      <c r="D326">
        <v>0</v>
      </c>
      <c r="E326" s="9">
        <v>0</v>
      </c>
      <c r="F326">
        <v>0</v>
      </c>
      <c r="G326" s="9">
        <v>0</v>
      </c>
      <c r="H326">
        <v>0</v>
      </c>
      <c r="I326" s="9">
        <v>0</v>
      </c>
      <c r="J326">
        <v>0</v>
      </c>
      <c r="K326" s="9">
        <v>0</v>
      </c>
      <c r="L326">
        <v>0</v>
      </c>
      <c r="M326" s="9">
        <v>0</v>
      </c>
      <c r="N326">
        <v>0</v>
      </c>
      <c r="O326" s="9">
        <v>0</v>
      </c>
    </row>
    <row r="327" spans="1:19" x14ac:dyDescent="0.25">
      <c r="A327">
        <v>14000</v>
      </c>
      <c r="B327">
        <v>0</v>
      </c>
      <c r="C327" s="9">
        <v>0</v>
      </c>
      <c r="D327">
        <v>0</v>
      </c>
      <c r="E327" s="9">
        <v>0</v>
      </c>
      <c r="F327">
        <v>0</v>
      </c>
      <c r="G327" s="9">
        <v>0</v>
      </c>
      <c r="H327">
        <v>0</v>
      </c>
      <c r="I327" s="9">
        <v>0</v>
      </c>
      <c r="J327">
        <v>0</v>
      </c>
      <c r="K327" s="9">
        <v>0</v>
      </c>
      <c r="L327">
        <v>0</v>
      </c>
      <c r="M327" s="9">
        <v>0</v>
      </c>
      <c r="N327">
        <v>0</v>
      </c>
      <c r="O327" s="9">
        <v>0</v>
      </c>
    </row>
    <row r="328" spans="1:19" x14ac:dyDescent="0.25">
      <c r="A328">
        <v>15000</v>
      </c>
      <c r="B328">
        <v>0</v>
      </c>
      <c r="C328" s="9">
        <v>0</v>
      </c>
      <c r="D328">
        <v>0</v>
      </c>
      <c r="E328" s="9">
        <v>0</v>
      </c>
      <c r="F328">
        <v>0</v>
      </c>
      <c r="G328" s="9">
        <v>0</v>
      </c>
      <c r="H328">
        <v>0</v>
      </c>
      <c r="I328" s="9">
        <v>0</v>
      </c>
      <c r="J328">
        <v>0</v>
      </c>
      <c r="K328" s="9">
        <v>0</v>
      </c>
      <c r="L328">
        <v>0</v>
      </c>
      <c r="M328" s="9">
        <v>0</v>
      </c>
      <c r="N328">
        <v>0</v>
      </c>
      <c r="O328" s="9">
        <v>0</v>
      </c>
    </row>
    <row r="329" spans="1:19" x14ac:dyDescent="0.25">
      <c r="A329">
        <v>16000</v>
      </c>
      <c r="B329">
        <v>0</v>
      </c>
      <c r="C329" s="9">
        <v>0</v>
      </c>
      <c r="D329">
        <v>0</v>
      </c>
      <c r="E329" s="9">
        <v>0</v>
      </c>
      <c r="F329">
        <v>0</v>
      </c>
      <c r="G329" s="9">
        <v>0</v>
      </c>
      <c r="H329">
        <v>0</v>
      </c>
      <c r="I329" s="9">
        <v>0</v>
      </c>
      <c r="J329">
        <v>0</v>
      </c>
      <c r="K329" s="9">
        <v>0</v>
      </c>
      <c r="L329">
        <v>0</v>
      </c>
      <c r="M329" s="9">
        <v>0</v>
      </c>
      <c r="N329">
        <v>0</v>
      </c>
      <c r="O329" s="9">
        <v>0</v>
      </c>
    </row>
    <row r="330" spans="1:19" x14ac:dyDescent="0.25">
      <c r="A330">
        <v>17000</v>
      </c>
      <c r="B330">
        <v>0</v>
      </c>
      <c r="C330" s="9">
        <v>0</v>
      </c>
      <c r="D330">
        <v>0</v>
      </c>
      <c r="E330" s="9">
        <v>0</v>
      </c>
      <c r="F330">
        <v>0</v>
      </c>
      <c r="G330" s="9">
        <v>0</v>
      </c>
      <c r="H330">
        <v>0</v>
      </c>
      <c r="I330" s="9">
        <v>0</v>
      </c>
      <c r="J330">
        <v>0</v>
      </c>
      <c r="K330" s="9">
        <v>0</v>
      </c>
      <c r="L330">
        <v>0</v>
      </c>
      <c r="M330" s="9">
        <v>0</v>
      </c>
      <c r="N330">
        <v>0</v>
      </c>
      <c r="O330" s="9">
        <v>0</v>
      </c>
    </row>
    <row r="331" spans="1:19" x14ac:dyDescent="0.25">
      <c r="A331">
        <v>18000</v>
      </c>
      <c r="B331">
        <v>0</v>
      </c>
      <c r="C331" s="9">
        <v>0</v>
      </c>
      <c r="D331">
        <v>0</v>
      </c>
      <c r="E331" s="9">
        <v>0</v>
      </c>
      <c r="F331">
        <v>0</v>
      </c>
      <c r="G331" s="9">
        <v>0</v>
      </c>
      <c r="H331">
        <v>0</v>
      </c>
      <c r="I331" s="9">
        <v>0</v>
      </c>
      <c r="J331">
        <v>0</v>
      </c>
      <c r="K331" s="9">
        <v>0</v>
      </c>
      <c r="L331">
        <v>0</v>
      </c>
      <c r="M331" s="9">
        <v>0</v>
      </c>
      <c r="N331">
        <v>0</v>
      </c>
      <c r="O331" s="9">
        <v>0</v>
      </c>
    </row>
    <row r="332" spans="1:19" x14ac:dyDescent="0.25">
      <c r="A332">
        <v>19000</v>
      </c>
      <c r="B332">
        <v>0</v>
      </c>
      <c r="C332" s="9">
        <v>0</v>
      </c>
      <c r="D332">
        <v>0</v>
      </c>
      <c r="E332" s="9">
        <v>0</v>
      </c>
      <c r="F332">
        <v>0</v>
      </c>
      <c r="G332" s="9">
        <v>0</v>
      </c>
      <c r="H332">
        <v>0</v>
      </c>
      <c r="I332" s="9">
        <v>0</v>
      </c>
      <c r="J332">
        <v>0</v>
      </c>
      <c r="K332" s="9">
        <v>0</v>
      </c>
      <c r="L332">
        <v>0</v>
      </c>
      <c r="M332" s="9">
        <v>0</v>
      </c>
      <c r="N332">
        <v>0</v>
      </c>
      <c r="O332" s="9">
        <v>0</v>
      </c>
    </row>
    <row r="333" spans="1:19" x14ac:dyDescent="0.25">
      <c r="A333">
        <v>20000</v>
      </c>
      <c r="B333">
        <v>0</v>
      </c>
      <c r="C333" s="9">
        <v>0</v>
      </c>
      <c r="D333">
        <v>0</v>
      </c>
      <c r="E333" s="9">
        <v>0</v>
      </c>
      <c r="F333">
        <v>0</v>
      </c>
      <c r="G333" s="9">
        <v>0</v>
      </c>
      <c r="H333">
        <v>0</v>
      </c>
      <c r="I333" s="9">
        <v>0</v>
      </c>
      <c r="J333">
        <v>0</v>
      </c>
      <c r="K333" s="9">
        <v>0</v>
      </c>
      <c r="L333">
        <v>0</v>
      </c>
      <c r="M333" s="9">
        <v>0</v>
      </c>
      <c r="N333">
        <v>0</v>
      </c>
      <c r="O333" s="9">
        <v>0</v>
      </c>
    </row>
    <row r="334" spans="1:19" x14ac:dyDescent="0.25">
      <c r="A334">
        <v>21000</v>
      </c>
      <c r="B334">
        <v>0</v>
      </c>
      <c r="C334" s="9">
        <v>0</v>
      </c>
      <c r="D334">
        <v>0</v>
      </c>
      <c r="E334" s="9">
        <v>0</v>
      </c>
      <c r="F334">
        <v>0</v>
      </c>
      <c r="G334" s="9">
        <v>0</v>
      </c>
      <c r="H334">
        <v>0</v>
      </c>
      <c r="I334" s="9">
        <v>0</v>
      </c>
      <c r="J334">
        <v>0</v>
      </c>
      <c r="K334" s="9">
        <v>0</v>
      </c>
      <c r="L334">
        <v>0</v>
      </c>
      <c r="M334" s="9">
        <v>0</v>
      </c>
      <c r="N334">
        <v>0</v>
      </c>
      <c r="O334" s="9">
        <v>0</v>
      </c>
    </row>
    <row r="335" spans="1:19" x14ac:dyDescent="0.25">
      <c r="A335">
        <v>22000</v>
      </c>
      <c r="B335">
        <v>0</v>
      </c>
      <c r="C335" s="9">
        <v>0</v>
      </c>
      <c r="D335">
        <v>0</v>
      </c>
      <c r="E335" s="9">
        <v>0</v>
      </c>
      <c r="F335">
        <v>0</v>
      </c>
      <c r="G335" s="9">
        <v>0</v>
      </c>
      <c r="H335">
        <v>0</v>
      </c>
      <c r="I335" s="9">
        <v>0</v>
      </c>
      <c r="J335">
        <v>0</v>
      </c>
      <c r="K335" s="9">
        <v>0</v>
      </c>
      <c r="L335">
        <v>0</v>
      </c>
      <c r="M335" s="9">
        <v>0</v>
      </c>
      <c r="N335">
        <v>0</v>
      </c>
      <c r="O335" s="9">
        <v>0</v>
      </c>
    </row>
    <row r="336" spans="1:19" x14ac:dyDescent="0.25">
      <c r="A336">
        <v>23000</v>
      </c>
      <c r="B336">
        <v>0</v>
      </c>
      <c r="C336" s="9">
        <v>0</v>
      </c>
      <c r="D336">
        <v>0</v>
      </c>
      <c r="E336" s="9">
        <v>0</v>
      </c>
      <c r="F336">
        <v>0</v>
      </c>
      <c r="G336" s="9">
        <v>0</v>
      </c>
      <c r="H336">
        <v>0</v>
      </c>
      <c r="I336" s="9">
        <v>0</v>
      </c>
      <c r="J336">
        <v>0</v>
      </c>
      <c r="K336" s="9">
        <v>0</v>
      </c>
      <c r="L336">
        <v>0</v>
      </c>
      <c r="M336" s="9">
        <v>0</v>
      </c>
      <c r="N336">
        <v>0</v>
      </c>
      <c r="O336" s="9">
        <v>0</v>
      </c>
    </row>
    <row r="337" spans="1:15" x14ac:dyDescent="0.25">
      <c r="A337">
        <v>24000</v>
      </c>
      <c r="B337">
        <v>0</v>
      </c>
      <c r="C337" s="9">
        <v>0</v>
      </c>
      <c r="D337">
        <v>0</v>
      </c>
      <c r="E337" s="9">
        <v>0</v>
      </c>
      <c r="F337">
        <v>0</v>
      </c>
      <c r="G337" s="9">
        <v>0</v>
      </c>
      <c r="H337">
        <v>0</v>
      </c>
      <c r="I337" s="9">
        <v>0</v>
      </c>
      <c r="J337">
        <v>0</v>
      </c>
      <c r="K337" s="9">
        <v>0</v>
      </c>
      <c r="L337">
        <v>0</v>
      </c>
      <c r="M337" s="9">
        <v>0</v>
      </c>
      <c r="N337">
        <v>0</v>
      </c>
      <c r="O337" s="9">
        <v>0</v>
      </c>
    </row>
    <row r="338" spans="1:15" x14ac:dyDescent="0.25">
      <c r="A338">
        <v>25000</v>
      </c>
      <c r="B338">
        <v>0</v>
      </c>
      <c r="C338" s="9">
        <v>0</v>
      </c>
      <c r="D338">
        <v>0</v>
      </c>
      <c r="E338" s="9">
        <v>0</v>
      </c>
      <c r="F338">
        <v>0</v>
      </c>
      <c r="G338" s="9">
        <v>0</v>
      </c>
      <c r="H338">
        <v>0</v>
      </c>
      <c r="I338" s="9">
        <v>0</v>
      </c>
      <c r="J338">
        <v>0</v>
      </c>
      <c r="K338" s="9">
        <v>0</v>
      </c>
      <c r="L338">
        <v>0</v>
      </c>
      <c r="M338" s="9">
        <v>0</v>
      </c>
      <c r="N338">
        <v>0</v>
      </c>
      <c r="O338" s="9">
        <v>0</v>
      </c>
    </row>
    <row r="339" spans="1:15" x14ac:dyDescent="0.25">
      <c r="A339">
        <v>26000</v>
      </c>
      <c r="B339">
        <v>0</v>
      </c>
      <c r="C339" s="9">
        <v>0</v>
      </c>
      <c r="D339">
        <v>0</v>
      </c>
      <c r="E339" s="9">
        <v>0</v>
      </c>
      <c r="F339">
        <v>0</v>
      </c>
      <c r="G339" s="9">
        <v>0</v>
      </c>
      <c r="H339">
        <v>0</v>
      </c>
      <c r="I339" s="9">
        <v>0</v>
      </c>
      <c r="J339">
        <v>0</v>
      </c>
      <c r="K339" s="9">
        <v>0</v>
      </c>
      <c r="L339">
        <v>0</v>
      </c>
      <c r="M339" s="9">
        <v>0</v>
      </c>
      <c r="N339">
        <v>0</v>
      </c>
      <c r="O339" s="9">
        <v>0</v>
      </c>
    </row>
    <row r="340" spans="1:15" x14ac:dyDescent="0.25">
      <c r="A340">
        <v>27000</v>
      </c>
      <c r="B340">
        <v>0</v>
      </c>
      <c r="C340" s="9">
        <v>0</v>
      </c>
      <c r="D340">
        <v>0</v>
      </c>
      <c r="E340" s="9">
        <v>0</v>
      </c>
      <c r="F340">
        <v>0</v>
      </c>
      <c r="G340" s="9">
        <v>0</v>
      </c>
      <c r="H340">
        <v>0</v>
      </c>
      <c r="I340" s="9">
        <v>0</v>
      </c>
      <c r="J340">
        <v>0</v>
      </c>
      <c r="K340" s="9">
        <v>0</v>
      </c>
      <c r="L340">
        <v>0</v>
      </c>
      <c r="M340" s="9">
        <v>0</v>
      </c>
      <c r="N340">
        <v>0</v>
      </c>
      <c r="O340" s="9">
        <v>0</v>
      </c>
    </row>
    <row r="341" spans="1:15" x14ac:dyDescent="0.25">
      <c r="A341">
        <v>28000</v>
      </c>
      <c r="B341">
        <v>0</v>
      </c>
      <c r="C341" s="9">
        <v>0</v>
      </c>
      <c r="D341">
        <v>0</v>
      </c>
      <c r="E341" s="9">
        <v>0</v>
      </c>
      <c r="F341">
        <v>0</v>
      </c>
      <c r="G341" s="9">
        <v>0</v>
      </c>
      <c r="H341">
        <v>0</v>
      </c>
      <c r="I341" s="9">
        <v>0</v>
      </c>
      <c r="J341">
        <v>0</v>
      </c>
      <c r="K341" s="9">
        <v>0</v>
      </c>
      <c r="L341">
        <v>0</v>
      </c>
      <c r="M341" s="9">
        <v>0</v>
      </c>
      <c r="N341">
        <v>0</v>
      </c>
      <c r="O341" s="9">
        <v>0</v>
      </c>
    </row>
    <row r="342" spans="1:15" x14ac:dyDescent="0.25">
      <c r="A342">
        <v>29000</v>
      </c>
      <c r="B342">
        <v>0</v>
      </c>
      <c r="C342" s="9">
        <v>0</v>
      </c>
      <c r="D342">
        <v>0</v>
      </c>
      <c r="E342" s="9">
        <v>0</v>
      </c>
      <c r="F342">
        <v>0</v>
      </c>
      <c r="G342" s="9">
        <v>0</v>
      </c>
      <c r="H342">
        <v>0</v>
      </c>
      <c r="I342" s="9">
        <v>0</v>
      </c>
      <c r="J342">
        <v>0</v>
      </c>
      <c r="K342" s="9">
        <v>0</v>
      </c>
      <c r="L342">
        <v>0</v>
      </c>
      <c r="M342" s="9">
        <v>0</v>
      </c>
      <c r="N342">
        <v>0</v>
      </c>
      <c r="O342" s="9">
        <v>0</v>
      </c>
    </row>
    <row r="343" spans="1:15" x14ac:dyDescent="0.25">
      <c r="A343">
        <v>30000</v>
      </c>
      <c r="B343">
        <v>0</v>
      </c>
      <c r="C343" s="9">
        <v>0</v>
      </c>
      <c r="D343">
        <v>0</v>
      </c>
      <c r="E343" s="9">
        <v>0</v>
      </c>
      <c r="F343">
        <v>0</v>
      </c>
      <c r="G343" s="9">
        <v>0</v>
      </c>
      <c r="H343">
        <v>0</v>
      </c>
      <c r="I343" s="9">
        <v>0</v>
      </c>
      <c r="J343">
        <v>0</v>
      </c>
      <c r="K343" s="9">
        <v>0</v>
      </c>
      <c r="L343">
        <v>0</v>
      </c>
      <c r="M343" s="9">
        <v>0</v>
      </c>
      <c r="N343">
        <v>0</v>
      </c>
      <c r="O343" s="9">
        <v>0</v>
      </c>
    </row>
    <row r="344" spans="1:15" x14ac:dyDescent="0.25">
      <c r="A344">
        <v>31000</v>
      </c>
      <c r="B344">
        <v>0</v>
      </c>
      <c r="C344" s="9">
        <v>0</v>
      </c>
      <c r="D344">
        <v>0</v>
      </c>
      <c r="E344" s="9">
        <v>0</v>
      </c>
      <c r="F344">
        <v>0</v>
      </c>
      <c r="G344" s="9">
        <v>0</v>
      </c>
      <c r="H344">
        <v>0</v>
      </c>
      <c r="I344" s="9">
        <v>0</v>
      </c>
      <c r="J344">
        <v>0</v>
      </c>
      <c r="K344" s="9">
        <v>0</v>
      </c>
      <c r="L344">
        <v>0</v>
      </c>
      <c r="M344" s="9">
        <v>0</v>
      </c>
      <c r="N344">
        <v>0</v>
      </c>
      <c r="O344" s="9">
        <v>0</v>
      </c>
    </row>
    <row r="345" spans="1:15" x14ac:dyDescent="0.25">
      <c r="A345">
        <v>32000</v>
      </c>
      <c r="B345">
        <v>0</v>
      </c>
      <c r="C345" s="9">
        <v>0</v>
      </c>
      <c r="D345">
        <v>0</v>
      </c>
      <c r="E345" s="9">
        <v>0</v>
      </c>
      <c r="F345">
        <v>0</v>
      </c>
      <c r="G345" s="9">
        <v>0</v>
      </c>
      <c r="H345">
        <v>0</v>
      </c>
      <c r="I345" s="9">
        <v>0</v>
      </c>
      <c r="J345">
        <v>0</v>
      </c>
      <c r="K345" s="9">
        <v>0</v>
      </c>
      <c r="L345">
        <v>0</v>
      </c>
      <c r="M345" s="9">
        <v>0</v>
      </c>
      <c r="N345">
        <v>0</v>
      </c>
      <c r="O345" s="9">
        <v>0</v>
      </c>
    </row>
    <row r="346" spans="1:15" x14ac:dyDescent="0.25">
      <c r="A346">
        <v>33000</v>
      </c>
      <c r="B346">
        <v>0</v>
      </c>
      <c r="C346" s="9">
        <v>0</v>
      </c>
      <c r="D346">
        <v>0</v>
      </c>
      <c r="E346" s="9">
        <v>0</v>
      </c>
      <c r="F346">
        <v>0</v>
      </c>
      <c r="G346" s="9">
        <v>0</v>
      </c>
      <c r="H346">
        <v>0</v>
      </c>
      <c r="I346" s="9">
        <v>0</v>
      </c>
      <c r="J346">
        <v>0</v>
      </c>
      <c r="K346" s="9">
        <v>0</v>
      </c>
      <c r="L346">
        <v>0</v>
      </c>
      <c r="M346" s="9">
        <v>0</v>
      </c>
      <c r="N346">
        <v>0</v>
      </c>
      <c r="O346" s="9">
        <v>0</v>
      </c>
    </row>
    <row r="347" spans="1:15" x14ac:dyDescent="0.25">
      <c r="A347">
        <v>34000</v>
      </c>
      <c r="B347">
        <v>0</v>
      </c>
      <c r="C347" s="9">
        <v>0</v>
      </c>
      <c r="D347">
        <v>0</v>
      </c>
      <c r="E347" s="9">
        <v>0</v>
      </c>
      <c r="F347">
        <v>0</v>
      </c>
      <c r="G347" s="9">
        <v>0</v>
      </c>
      <c r="H347">
        <v>0</v>
      </c>
      <c r="I347" s="9">
        <v>0</v>
      </c>
      <c r="J347">
        <v>0</v>
      </c>
      <c r="K347" s="9">
        <v>0</v>
      </c>
      <c r="L347">
        <v>0</v>
      </c>
      <c r="M347" s="9">
        <v>0</v>
      </c>
      <c r="N347">
        <v>0</v>
      </c>
      <c r="O347" s="9">
        <v>0</v>
      </c>
    </row>
    <row r="348" spans="1:15" x14ac:dyDescent="0.25">
      <c r="A348">
        <v>35000</v>
      </c>
      <c r="B348">
        <v>0</v>
      </c>
      <c r="C348" s="9">
        <v>0</v>
      </c>
      <c r="D348">
        <v>0</v>
      </c>
      <c r="E348" s="9">
        <v>0</v>
      </c>
      <c r="F348">
        <v>0</v>
      </c>
      <c r="G348" s="9">
        <v>0</v>
      </c>
      <c r="H348">
        <v>0</v>
      </c>
      <c r="I348" s="9">
        <v>0</v>
      </c>
      <c r="J348">
        <v>0</v>
      </c>
      <c r="K348" s="9">
        <v>0</v>
      </c>
      <c r="L348">
        <v>0</v>
      </c>
      <c r="M348" s="9">
        <v>0</v>
      </c>
      <c r="N348">
        <v>0</v>
      </c>
      <c r="O348" s="9">
        <v>0</v>
      </c>
    </row>
    <row r="349" spans="1:15" x14ac:dyDescent="0.25">
      <c r="A349">
        <v>36000</v>
      </c>
      <c r="B349">
        <v>0</v>
      </c>
      <c r="C349" s="9">
        <v>0</v>
      </c>
      <c r="D349">
        <v>0</v>
      </c>
      <c r="E349" s="9">
        <v>0</v>
      </c>
      <c r="F349">
        <v>0</v>
      </c>
      <c r="G349" s="9">
        <v>0</v>
      </c>
      <c r="H349">
        <v>0</v>
      </c>
      <c r="I349" s="9">
        <v>0</v>
      </c>
      <c r="J349">
        <v>0</v>
      </c>
      <c r="K349" s="9">
        <v>0</v>
      </c>
      <c r="L349">
        <v>0</v>
      </c>
      <c r="M349" s="9">
        <v>0</v>
      </c>
      <c r="N349">
        <v>0</v>
      </c>
      <c r="O349" s="9">
        <v>0</v>
      </c>
    </row>
    <row r="350" spans="1:15" x14ac:dyDescent="0.25">
      <c r="A350">
        <v>37000</v>
      </c>
      <c r="B350">
        <v>650</v>
      </c>
      <c r="C350" s="9">
        <f t="shared" ref="C350:C364" si="115">PRODUCT(A350,B350,1/(950+B350))</f>
        <v>15031.25</v>
      </c>
      <c r="D350">
        <v>740</v>
      </c>
      <c r="E350" s="9">
        <f t="shared" ref="E350:E369" si="116">PRODUCT(A350,D350,1/(950+D350))</f>
        <v>16201.183431952662</v>
      </c>
      <c r="F350">
        <v>0</v>
      </c>
      <c r="G350" s="9">
        <v>0</v>
      </c>
      <c r="H350">
        <v>0</v>
      </c>
      <c r="I350" s="9">
        <v>0</v>
      </c>
      <c r="J350">
        <v>0</v>
      </c>
      <c r="K350" s="9">
        <v>0</v>
      </c>
      <c r="L350">
        <v>0</v>
      </c>
      <c r="M350" s="9">
        <v>0</v>
      </c>
      <c r="N350">
        <v>0</v>
      </c>
      <c r="O350" s="9">
        <v>0</v>
      </c>
    </row>
    <row r="351" spans="1:15" x14ac:dyDescent="0.25">
      <c r="A351">
        <v>38000</v>
      </c>
      <c r="B351">
        <f>SUM(B350,3)</f>
        <v>653</v>
      </c>
      <c r="C351" s="9">
        <f t="shared" si="115"/>
        <v>15479.725514660013</v>
      </c>
      <c r="D351">
        <f t="shared" ref="D351" si="117">SUM(D350,14)</f>
        <v>754</v>
      </c>
      <c r="E351" s="9">
        <f t="shared" si="116"/>
        <v>16814.553990610329</v>
      </c>
      <c r="F351">
        <v>698</v>
      </c>
      <c r="G351" s="9">
        <f t="shared" ref="G351:G374" si="118">PRODUCT(A351,F351,1/(950+F351))</f>
        <v>16094.660194174756</v>
      </c>
      <c r="H351">
        <v>0</v>
      </c>
      <c r="I351" s="9">
        <v>0</v>
      </c>
      <c r="J351">
        <v>0</v>
      </c>
      <c r="K351" s="9">
        <v>0</v>
      </c>
      <c r="L351">
        <v>0</v>
      </c>
      <c r="M351" s="9">
        <v>0</v>
      </c>
      <c r="N351">
        <v>0</v>
      </c>
      <c r="O351" s="9">
        <v>0</v>
      </c>
    </row>
    <row r="352" spans="1:15" x14ac:dyDescent="0.25">
      <c r="A352">
        <v>39000</v>
      </c>
      <c r="B352">
        <f t="shared" ref="B352:B364" si="119">SUM(B351,3)</f>
        <v>656</v>
      </c>
      <c r="C352" s="9">
        <f t="shared" si="115"/>
        <v>15930.261519302616</v>
      </c>
      <c r="D352">
        <v>750</v>
      </c>
      <c r="E352" s="9">
        <f t="shared" si="116"/>
        <v>17205.882352941175</v>
      </c>
      <c r="F352">
        <f t="shared" ref="F352:F353" si="120">SUM(F351,10)</f>
        <v>708</v>
      </c>
      <c r="G352" s="9">
        <f t="shared" si="118"/>
        <v>16653.799758745474</v>
      </c>
      <c r="H352">
        <v>0</v>
      </c>
      <c r="I352" s="9">
        <v>0</v>
      </c>
      <c r="J352">
        <v>0</v>
      </c>
      <c r="K352" s="9">
        <v>0</v>
      </c>
      <c r="L352">
        <v>0</v>
      </c>
      <c r="M352" s="9">
        <v>0</v>
      </c>
      <c r="N352">
        <v>0</v>
      </c>
      <c r="O352" s="9">
        <v>0</v>
      </c>
    </row>
    <row r="353" spans="1:15" x14ac:dyDescent="0.25">
      <c r="A353">
        <v>40000</v>
      </c>
      <c r="B353">
        <f t="shared" si="119"/>
        <v>659</v>
      </c>
      <c r="C353" s="9">
        <f t="shared" si="115"/>
        <v>16382.846488502175</v>
      </c>
      <c r="D353">
        <v>750</v>
      </c>
      <c r="E353" s="9">
        <f t="shared" si="116"/>
        <v>17647.058823529409</v>
      </c>
      <c r="F353">
        <f t="shared" si="120"/>
        <v>718</v>
      </c>
      <c r="G353" s="9">
        <f t="shared" si="118"/>
        <v>17218.225419664268</v>
      </c>
      <c r="H353">
        <v>0</v>
      </c>
      <c r="I353" s="9">
        <v>0</v>
      </c>
      <c r="J353">
        <v>0</v>
      </c>
      <c r="K353" s="9">
        <v>0</v>
      </c>
      <c r="L353">
        <v>0</v>
      </c>
      <c r="M353" s="9">
        <v>0</v>
      </c>
      <c r="N353">
        <v>0</v>
      </c>
      <c r="O353" s="9">
        <v>0</v>
      </c>
    </row>
    <row r="354" spans="1:15" x14ac:dyDescent="0.25">
      <c r="A354">
        <v>41000</v>
      </c>
      <c r="B354">
        <f t="shared" si="119"/>
        <v>662</v>
      </c>
      <c r="C354" s="9">
        <f t="shared" si="115"/>
        <v>16837.468982630275</v>
      </c>
      <c r="D354">
        <v>750</v>
      </c>
      <c r="E354" s="9">
        <f t="shared" si="116"/>
        <v>18088.235294117647</v>
      </c>
      <c r="F354">
        <f>SUM(F353,10)</f>
        <v>728</v>
      </c>
      <c r="G354" s="9">
        <f t="shared" si="118"/>
        <v>17787.842669845053</v>
      </c>
      <c r="H354">
        <v>0</v>
      </c>
      <c r="I354" s="9">
        <v>0</v>
      </c>
      <c r="J354">
        <v>0</v>
      </c>
      <c r="K354" s="9">
        <v>0</v>
      </c>
      <c r="L354">
        <v>0</v>
      </c>
      <c r="M354" s="9">
        <v>0</v>
      </c>
      <c r="N354">
        <v>0</v>
      </c>
      <c r="O354" s="9">
        <v>0</v>
      </c>
    </row>
    <row r="355" spans="1:15" x14ac:dyDescent="0.25">
      <c r="A355">
        <v>42000</v>
      </c>
      <c r="B355">
        <f t="shared" si="119"/>
        <v>665</v>
      </c>
      <c r="C355" s="9">
        <f t="shared" si="115"/>
        <v>17294.117647058825</v>
      </c>
      <c r="D355">
        <v>750</v>
      </c>
      <c r="E355" s="9">
        <f t="shared" si="116"/>
        <v>18529.411764705881</v>
      </c>
      <c r="F355">
        <f t="shared" ref="F355:F356" si="121">SUM(F354,10)</f>
        <v>738</v>
      </c>
      <c r="G355" s="9">
        <f t="shared" si="118"/>
        <v>18362.559241706163</v>
      </c>
      <c r="H355">
        <v>673</v>
      </c>
      <c r="I355" s="9">
        <f t="shared" ref="I355:I376" si="122">PRODUCT(A355,H355,1/(950+H355))</f>
        <v>17415.896487985214</v>
      </c>
      <c r="J355">
        <v>0</v>
      </c>
      <c r="K355" s="9">
        <v>0</v>
      </c>
      <c r="L355">
        <v>0</v>
      </c>
      <c r="M355" s="9">
        <v>0</v>
      </c>
      <c r="N355">
        <v>0</v>
      </c>
      <c r="O355" s="9">
        <v>0</v>
      </c>
    </row>
    <row r="356" spans="1:15" x14ac:dyDescent="0.25">
      <c r="A356">
        <v>43000</v>
      </c>
      <c r="B356">
        <f t="shared" si="119"/>
        <v>668</v>
      </c>
      <c r="C356" s="9">
        <f t="shared" si="115"/>
        <v>17752.781211372061</v>
      </c>
      <c r="D356">
        <v>750</v>
      </c>
      <c r="E356" s="9">
        <f t="shared" si="116"/>
        <v>18970.588235294115</v>
      </c>
      <c r="F356">
        <f t="shared" si="121"/>
        <v>748</v>
      </c>
      <c r="G356" s="9">
        <f t="shared" si="118"/>
        <v>18942.285041224968</v>
      </c>
      <c r="H356">
        <f t="shared" ref="H356:H360" si="123">SUM(H355,9)</f>
        <v>682</v>
      </c>
      <c r="I356" s="9">
        <f t="shared" si="122"/>
        <v>17969.362745098038</v>
      </c>
      <c r="J356">
        <v>691</v>
      </c>
      <c r="K356" s="9">
        <f t="shared" ref="K356:K383" si="124">PRODUCT(A356,J356,1/(950+J356))</f>
        <v>18106.642291285803</v>
      </c>
      <c r="L356">
        <v>0</v>
      </c>
      <c r="M356" s="9">
        <v>0</v>
      </c>
      <c r="N356">
        <v>0</v>
      </c>
      <c r="O356" s="9">
        <v>0</v>
      </c>
    </row>
    <row r="357" spans="1:15" x14ac:dyDescent="0.25">
      <c r="A357">
        <v>44000</v>
      </c>
      <c r="B357">
        <f t="shared" si="119"/>
        <v>671</v>
      </c>
      <c r="C357" s="9">
        <f t="shared" si="115"/>
        <v>18213.448488587292</v>
      </c>
      <c r="D357">
        <v>750</v>
      </c>
      <c r="E357" s="9">
        <f t="shared" si="116"/>
        <v>19411.76470588235</v>
      </c>
      <c r="F357">
        <v>750</v>
      </c>
      <c r="G357" s="9">
        <f t="shared" si="118"/>
        <v>19411.76470588235</v>
      </c>
      <c r="H357">
        <f t="shared" si="123"/>
        <v>691</v>
      </c>
      <c r="I357" s="9">
        <f t="shared" si="122"/>
        <v>18527.726995734309</v>
      </c>
      <c r="J357">
        <f t="shared" ref="J357:J358" si="125">SUM(J356,10)</f>
        <v>701</v>
      </c>
      <c r="K357" s="9">
        <f t="shared" si="124"/>
        <v>18682.010902483344</v>
      </c>
      <c r="L357">
        <v>0</v>
      </c>
      <c r="M357" s="9">
        <v>0</v>
      </c>
      <c r="N357">
        <v>0</v>
      </c>
      <c r="O357" s="9">
        <v>0</v>
      </c>
    </row>
    <row r="358" spans="1:15" x14ac:dyDescent="0.25">
      <c r="A358">
        <v>45000</v>
      </c>
      <c r="B358">
        <f t="shared" si="119"/>
        <v>674</v>
      </c>
      <c r="C358" s="9">
        <f t="shared" si="115"/>
        <v>18676.108374384236</v>
      </c>
      <c r="D358">
        <v>750</v>
      </c>
      <c r="E358" s="9">
        <f t="shared" si="116"/>
        <v>19852.941176470587</v>
      </c>
      <c r="F358">
        <v>750</v>
      </c>
      <c r="G358" s="9">
        <f t="shared" si="118"/>
        <v>19852.941176470587</v>
      </c>
      <c r="H358">
        <f t="shared" si="123"/>
        <v>700</v>
      </c>
      <c r="I358" s="9">
        <f t="shared" si="122"/>
        <v>19090.909090909092</v>
      </c>
      <c r="J358">
        <f t="shared" si="125"/>
        <v>711</v>
      </c>
      <c r="K358" s="9">
        <f t="shared" si="124"/>
        <v>19262.492474413004</v>
      </c>
      <c r="L358">
        <v>0</v>
      </c>
      <c r="M358" s="9">
        <v>0</v>
      </c>
      <c r="N358">
        <v>0</v>
      </c>
      <c r="O358" s="9">
        <v>0</v>
      </c>
    </row>
    <row r="359" spans="1:15" x14ac:dyDescent="0.25">
      <c r="A359">
        <v>46000</v>
      </c>
      <c r="B359">
        <f t="shared" si="119"/>
        <v>677</v>
      </c>
      <c r="C359" s="9">
        <f t="shared" si="115"/>
        <v>19140.749846342962</v>
      </c>
      <c r="D359">
        <v>750</v>
      </c>
      <c r="E359" s="9">
        <f t="shared" si="116"/>
        <v>20294.117647058822</v>
      </c>
      <c r="F359">
        <v>750</v>
      </c>
      <c r="G359" s="9">
        <f t="shared" si="118"/>
        <v>20294.117647058822</v>
      </c>
      <c r="H359">
        <f t="shared" si="123"/>
        <v>709</v>
      </c>
      <c r="I359" s="9">
        <f t="shared" si="122"/>
        <v>19658.830620855937</v>
      </c>
      <c r="J359">
        <f>SUM(J358,11)</f>
        <v>722</v>
      </c>
      <c r="K359" s="9">
        <f t="shared" si="124"/>
        <v>19863.636363636364</v>
      </c>
      <c r="L359">
        <v>0</v>
      </c>
      <c r="M359" s="9">
        <v>0</v>
      </c>
      <c r="N359">
        <v>0</v>
      </c>
      <c r="O359" s="9">
        <v>0</v>
      </c>
    </row>
    <row r="360" spans="1:15" x14ac:dyDescent="0.25">
      <c r="A360">
        <v>47000</v>
      </c>
      <c r="B360">
        <f t="shared" si="119"/>
        <v>680</v>
      </c>
      <c r="C360" s="9">
        <f t="shared" si="115"/>
        <v>19607.361963190186</v>
      </c>
      <c r="D360">
        <v>750</v>
      </c>
      <c r="E360" s="9">
        <f t="shared" si="116"/>
        <v>20735.294117647056</v>
      </c>
      <c r="F360">
        <v>750</v>
      </c>
      <c r="G360" s="9">
        <f t="shared" si="118"/>
        <v>20735.294117647056</v>
      </c>
      <c r="H360">
        <f t="shared" si="123"/>
        <v>718</v>
      </c>
      <c r="I360" s="9">
        <f t="shared" si="122"/>
        <v>20231.414868105516</v>
      </c>
      <c r="J360">
        <f t="shared" ref="J360:J364" si="126">SUM(J359,11)</f>
        <v>733</v>
      </c>
      <c r="K360" s="9">
        <f t="shared" si="124"/>
        <v>20469.994058229353</v>
      </c>
      <c r="L360">
        <v>0</v>
      </c>
      <c r="M360" s="9">
        <v>0</v>
      </c>
      <c r="N360">
        <v>0</v>
      </c>
      <c r="O360" s="9">
        <v>0</v>
      </c>
    </row>
    <row r="361" spans="1:15" x14ac:dyDescent="0.25">
      <c r="A361">
        <v>48000</v>
      </c>
      <c r="B361">
        <f t="shared" si="119"/>
        <v>683</v>
      </c>
      <c r="C361" s="9">
        <f t="shared" si="115"/>
        <v>20075.933864053888</v>
      </c>
      <c r="D361">
        <v>750</v>
      </c>
      <c r="E361" s="9">
        <f t="shared" si="116"/>
        <v>21176.470588235294</v>
      </c>
      <c r="F361">
        <v>750</v>
      </c>
      <c r="G361" s="9">
        <f t="shared" si="118"/>
        <v>21176.470588235294</v>
      </c>
      <c r="H361">
        <f>SUM(H360,10)</f>
        <v>728</v>
      </c>
      <c r="I361" s="9">
        <f t="shared" si="122"/>
        <v>20824.791418355184</v>
      </c>
      <c r="J361">
        <f t="shared" si="126"/>
        <v>744</v>
      </c>
      <c r="K361" s="9">
        <f t="shared" si="124"/>
        <v>21081.463990554897</v>
      </c>
      <c r="L361">
        <v>0</v>
      </c>
      <c r="M361" s="9">
        <v>0</v>
      </c>
      <c r="N361">
        <v>0</v>
      </c>
      <c r="O361" s="9">
        <v>0</v>
      </c>
    </row>
    <row r="362" spans="1:15" x14ac:dyDescent="0.25">
      <c r="A362">
        <v>49000</v>
      </c>
      <c r="B362">
        <f t="shared" si="119"/>
        <v>686</v>
      </c>
      <c r="C362" s="9">
        <f t="shared" si="115"/>
        <v>20546.454767726162</v>
      </c>
      <c r="D362">
        <v>750</v>
      </c>
      <c r="E362" s="9">
        <f t="shared" si="116"/>
        <v>21617.647058823528</v>
      </c>
      <c r="F362">
        <v>750</v>
      </c>
      <c r="G362" s="9">
        <f t="shared" si="118"/>
        <v>21617.647058823528</v>
      </c>
      <c r="H362">
        <f t="shared" ref="H362:H363" si="127">SUM(H361,10)</f>
        <v>738</v>
      </c>
      <c r="I362" s="9">
        <f t="shared" si="122"/>
        <v>21422.985781990523</v>
      </c>
      <c r="J362">
        <f t="shared" si="126"/>
        <v>755</v>
      </c>
      <c r="K362" s="9">
        <f t="shared" si="124"/>
        <v>21697.947214076245</v>
      </c>
      <c r="L362">
        <v>0</v>
      </c>
      <c r="M362" s="9">
        <v>0</v>
      </c>
      <c r="N362">
        <v>0</v>
      </c>
      <c r="O362" s="9">
        <v>0</v>
      </c>
    </row>
    <row r="363" spans="1:15" x14ac:dyDescent="0.25">
      <c r="A363">
        <v>50000</v>
      </c>
      <c r="B363">
        <f t="shared" si="119"/>
        <v>689</v>
      </c>
      <c r="C363" s="9">
        <f t="shared" si="115"/>
        <v>21018.913971934104</v>
      </c>
      <c r="D363">
        <v>750</v>
      </c>
      <c r="E363" s="9">
        <f t="shared" si="116"/>
        <v>22058.823529411762</v>
      </c>
      <c r="F363">
        <v>750</v>
      </c>
      <c r="G363" s="9">
        <f t="shared" si="118"/>
        <v>22058.823529411762</v>
      </c>
      <c r="H363">
        <f t="shared" si="127"/>
        <v>748</v>
      </c>
      <c r="I363" s="9">
        <f t="shared" si="122"/>
        <v>22025.912838633685</v>
      </c>
      <c r="J363">
        <f t="shared" si="126"/>
        <v>766</v>
      </c>
      <c r="K363" s="9">
        <f t="shared" si="124"/>
        <v>22319.347319347318</v>
      </c>
      <c r="L363">
        <v>755</v>
      </c>
      <c r="M363" s="9">
        <f t="shared" ref="M363:M391" si="128">PRODUCT(A363,L363,1/(950+L363))</f>
        <v>22140.762463343108</v>
      </c>
      <c r="N363">
        <v>0</v>
      </c>
      <c r="O363" s="9">
        <v>0</v>
      </c>
    </row>
    <row r="364" spans="1:15" x14ac:dyDescent="0.25">
      <c r="A364">
        <v>51000</v>
      </c>
      <c r="B364">
        <f t="shared" si="119"/>
        <v>692</v>
      </c>
      <c r="C364" s="9">
        <f t="shared" si="115"/>
        <v>21493.300852618755</v>
      </c>
      <c r="D364">
        <v>750</v>
      </c>
      <c r="E364" s="9">
        <f t="shared" si="116"/>
        <v>22499.999999999996</v>
      </c>
      <c r="F364">
        <v>750</v>
      </c>
      <c r="G364" s="9">
        <f t="shared" si="118"/>
        <v>22499.999999999996</v>
      </c>
      <c r="H364">
        <v>750</v>
      </c>
      <c r="I364" s="9">
        <f t="shared" si="122"/>
        <v>22499.999999999996</v>
      </c>
      <c r="J364">
        <f t="shared" si="126"/>
        <v>777</v>
      </c>
      <c r="K364" s="9">
        <f t="shared" si="124"/>
        <v>22945.570353213665</v>
      </c>
      <c r="L364">
        <v>755</v>
      </c>
      <c r="M364" s="9">
        <f t="shared" si="128"/>
        <v>22583.577712609971</v>
      </c>
      <c r="N364">
        <v>0</v>
      </c>
      <c r="O364" s="9">
        <v>0</v>
      </c>
    </row>
    <row r="365" spans="1:15" x14ac:dyDescent="0.25">
      <c r="A365">
        <v>52000</v>
      </c>
      <c r="B365">
        <v>0</v>
      </c>
      <c r="C365">
        <v>0</v>
      </c>
      <c r="D365">
        <v>750</v>
      </c>
      <c r="E365" s="9">
        <f t="shared" si="116"/>
        <v>22941.176470588234</v>
      </c>
      <c r="F365">
        <v>750</v>
      </c>
      <c r="G365" s="9">
        <f t="shared" si="118"/>
        <v>22941.176470588234</v>
      </c>
      <c r="H365">
        <v>750</v>
      </c>
      <c r="I365" s="9">
        <f t="shared" si="122"/>
        <v>22941.176470588234</v>
      </c>
      <c r="J365">
        <v>750</v>
      </c>
      <c r="K365" s="9">
        <f t="shared" si="124"/>
        <v>22941.176470588234</v>
      </c>
      <c r="L365">
        <v>755</v>
      </c>
      <c r="M365" s="9">
        <f t="shared" si="128"/>
        <v>23026.392961876834</v>
      </c>
      <c r="N365">
        <v>0</v>
      </c>
      <c r="O365" s="9">
        <v>0</v>
      </c>
    </row>
    <row r="366" spans="1:15" x14ac:dyDescent="0.25">
      <c r="A366">
        <v>53000</v>
      </c>
      <c r="B366">
        <v>0</v>
      </c>
      <c r="C366">
        <v>0</v>
      </c>
      <c r="D366">
        <v>750</v>
      </c>
      <c r="E366" s="9">
        <f t="shared" si="116"/>
        <v>23382.352941176468</v>
      </c>
      <c r="F366">
        <v>750</v>
      </c>
      <c r="G366" s="9">
        <f t="shared" si="118"/>
        <v>23382.352941176468</v>
      </c>
      <c r="H366">
        <v>750</v>
      </c>
      <c r="I366" s="9">
        <f t="shared" si="122"/>
        <v>23382.352941176468</v>
      </c>
      <c r="J366">
        <v>750</v>
      </c>
      <c r="K366" s="9">
        <f t="shared" si="124"/>
        <v>23382.352941176468</v>
      </c>
      <c r="L366">
        <v>755</v>
      </c>
      <c r="M366" s="9">
        <f t="shared" si="128"/>
        <v>23469.208211143694</v>
      </c>
      <c r="N366">
        <v>0</v>
      </c>
      <c r="O366" s="9">
        <v>0</v>
      </c>
    </row>
    <row r="367" spans="1:15" x14ac:dyDescent="0.25">
      <c r="A367">
        <v>54000</v>
      </c>
      <c r="B367">
        <v>0</v>
      </c>
      <c r="C367">
        <v>0</v>
      </c>
      <c r="D367">
        <v>750</v>
      </c>
      <c r="E367" s="9">
        <f t="shared" si="116"/>
        <v>23823.529411764703</v>
      </c>
      <c r="F367">
        <v>750</v>
      </c>
      <c r="G367" s="9">
        <f t="shared" si="118"/>
        <v>23823.529411764703</v>
      </c>
      <c r="H367">
        <v>750</v>
      </c>
      <c r="I367" s="9">
        <f t="shared" si="122"/>
        <v>23823.529411764703</v>
      </c>
      <c r="J367">
        <v>750</v>
      </c>
      <c r="K367" s="9">
        <f t="shared" si="124"/>
        <v>23823.529411764703</v>
      </c>
      <c r="L367">
        <v>755</v>
      </c>
      <c r="M367" s="9">
        <f t="shared" si="128"/>
        <v>23912.023460410557</v>
      </c>
      <c r="N367">
        <v>0</v>
      </c>
      <c r="O367" s="9">
        <v>0</v>
      </c>
    </row>
    <row r="368" spans="1:15" x14ac:dyDescent="0.25">
      <c r="A368">
        <v>55000</v>
      </c>
      <c r="B368">
        <v>0</v>
      </c>
      <c r="C368">
        <v>0</v>
      </c>
      <c r="D368">
        <v>750</v>
      </c>
      <c r="E368" s="9">
        <f t="shared" si="116"/>
        <v>24264.705882352941</v>
      </c>
      <c r="F368">
        <v>750</v>
      </c>
      <c r="G368" s="9">
        <f t="shared" si="118"/>
        <v>24264.705882352941</v>
      </c>
      <c r="H368">
        <v>750</v>
      </c>
      <c r="I368" s="9">
        <f t="shared" si="122"/>
        <v>24264.705882352941</v>
      </c>
      <c r="J368">
        <v>750</v>
      </c>
      <c r="K368" s="9">
        <f t="shared" si="124"/>
        <v>24264.705882352941</v>
      </c>
      <c r="L368">
        <v>755</v>
      </c>
      <c r="M368" s="9">
        <f t="shared" si="128"/>
        <v>24354.83870967742</v>
      </c>
      <c r="N368">
        <v>0</v>
      </c>
      <c r="O368" s="9">
        <v>0</v>
      </c>
    </row>
    <row r="369" spans="1:15" x14ac:dyDescent="0.25">
      <c r="A369">
        <v>56000</v>
      </c>
      <c r="B369">
        <v>0</v>
      </c>
      <c r="C369">
        <v>0</v>
      </c>
      <c r="D369">
        <v>750</v>
      </c>
      <c r="E369" s="9">
        <f t="shared" si="116"/>
        <v>24705.882352941175</v>
      </c>
      <c r="F369">
        <v>750</v>
      </c>
      <c r="G369" s="9">
        <f t="shared" si="118"/>
        <v>24705.882352941175</v>
      </c>
      <c r="H369">
        <v>750</v>
      </c>
      <c r="I369" s="9">
        <f t="shared" si="122"/>
        <v>24705.882352941175</v>
      </c>
      <c r="J369">
        <v>750</v>
      </c>
      <c r="K369" s="9">
        <f t="shared" si="124"/>
        <v>24705.882352941175</v>
      </c>
      <c r="L369">
        <v>755</v>
      </c>
      <c r="M369" s="9">
        <f t="shared" si="128"/>
        <v>24797.65395894428</v>
      </c>
      <c r="N369">
        <v>0</v>
      </c>
      <c r="O369" s="9">
        <v>0</v>
      </c>
    </row>
    <row r="370" spans="1:15" x14ac:dyDescent="0.25">
      <c r="A370">
        <v>57000</v>
      </c>
      <c r="B370">
        <v>0</v>
      </c>
      <c r="C370">
        <v>0</v>
      </c>
      <c r="D370">
        <v>0</v>
      </c>
      <c r="E370" s="9">
        <v>0</v>
      </c>
      <c r="F370">
        <v>750</v>
      </c>
      <c r="G370" s="9">
        <f t="shared" si="118"/>
        <v>25147.058823529409</v>
      </c>
      <c r="H370">
        <v>750</v>
      </c>
      <c r="I370" s="9">
        <f t="shared" si="122"/>
        <v>25147.058823529409</v>
      </c>
      <c r="J370">
        <v>750</v>
      </c>
      <c r="K370" s="9">
        <f t="shared" si="124"/>
        <v>25147.058823529409</v>
      </c>
      <c r="L370">
        <v>755</v>
      </c>
      <c r="M370" s="9">
        <f t="shared" si="128"/>
        <v>25240.469208211143</v>
      </c>
      <c r="N370">
        <v>0</v>
      </c>
      <c r="O370" s="9">
        <v>0</v>
      </c>
    </row>
    <row r="371" spans="1:15" x14ac:dyDescent="0.25">
      <c r="A371">
        <v>58000</v>
      </c>
      <c r="B371">
        <v>0</v>
      </c>
      <c r="C371">
        <v>0</v>
      </c>
      <c r="D371">
        <v>0</v>
      </c>
      <c r="E371" s="9">
        <v>0</v>
      </c>
      <c r="F371">
        <v>750</v>
      </c>
      <c r="G371" s="9">
        <f t="shared" si="118"/>
        <v>25588.235294117643</v>
      </c>
      <c r="H371">
        <v>750</v>
      </c>
      <c r="I371" s="9">
        <f t="shared" si="122"/>
        <v>25588.235294117643</v>
      </c>
      <c r="J371">
        <v>750</v>
      </c>
      <c r="K371" s="9">
        <f t="shared" si="124"/>
        <v>25588.235294117643</v>
      </c>
      <c r="L371">
        <v>755</v>
      </c>
      <c r="M371" s="9">
        <f t="shared" si="128"/>
        <v>25683.284457478007</v>
      </c>
      <c r="N371">
        <v>0</v>
      </c>
      <c r="O371" s="9">
        <v>0</v>
      </c>
    </row>
    <row r="372" spans="1:15" x14ac:dyDescent="0.25">
      <c r="A372">
        <v>59000</v>
      </c>
      <c r="B372">
        <v>0</v>
      </c>
      <c r="C372">
        <v>0</v>
      </c>
      <c r="D372">
        <v>0</v>
      </c>
      <c r="E372" s="9">
        <v>0</v>
      </c>
      <c r="F372">
        <v>750</v>
      </c>
      <c r="G372" s="9">
        <f t="shared" si="118"/>
        <v>26029.411764705881</v>
      </c>
      <c r="H372">
        <v>750</v>
      </c>
      <c r="I372" s="9">
        <f t="shared" si="122"/>
        <v>26029.411764705881</v>
      </c>
      <c r="J372">
        <v>750</v>
      </c>
      <c r="K372" s="9">
        <f t="shared" si="124"/>
        <v>26029.411764705881</v>
      </c>
      <c r="L372">
        <v>755</v>
      </c>
      <c r="M372" s="9">
        <f t="shared" si="128"/>
        <v>26126.09970674487</v>
      </c>
      <c r="N372">
        <v>0</v>
      </c>
      <c r="O372" s="9">
        <v>0</v>
      </c>
    </row>
    <row r="373" spans="1:15" x14ac:dyDescent="0.25">
      <c r="A373">
        <v>60000</v>
      </c>
      <c r="B373">
        <v>0</v>
      </c>
      <c r="C373">
        <v>0</v>
      </c>
      <c r="D373">
        <v>0</v>
      </c>
      <c r="E373" s="9">
        <v>0</v>
      </c>
      <c r="F373">
        <v>750</v>
      </c>
      <c r="G373" s="9">
        <f t="shared" si="118"/>
        <v>26470.588235294115</v>
      </c>
      <c r="H373">
        <v>750</v>
      </c>
      <c r="I373" s="9">
        <f t="shared" si="122"/>
        <v>26470.588235294115</v>
      </c>
      <c r="J373">
        <v>750</v>
      </c>
      <c r="K373" s="9">
        <f t="shared" si="124"/>
        <v>26470.588235294115</v>
      </c>
      <c r="L373">
        <v>755</v>
      </c>
      <c r="M373" s="9">
        <f t="shared" si="128"/>
        <v>26568.914956011729</v>
      </c>
      <c r="N373">
        <v>0</v>
      </c>
      <c r="O373" s="9">
        <v>0</v>
      </c>
    </row>
    <row r="374" spans="1:15" x14ac:dyDescent="0.25">
      <c r="A374">
        <v>61000</v>
      </c>
      <c r="B374">
        <v>0</v>
      </c>
      <c r="C374">
        <v>0</v>
      </c>
      <c r="D374">
        <v>0</v>
      </c>
      <c r="E374" s="9">
        <v>0</v>
      </c>
      <c r="F374">
        <v>750</v>
      </c>
      <c r="G374" s="9">
        <f t="shared" si="118"/>
        <v>26911.76470588235</v>
      </c>
      <c r="H374">
        <v>750</v>
      </c>
      <c r="I374" s="9">
        <f t="shared" si="122"/>
        <v>26911.76470588235</v>
      </c>
      <c r="J374">
        <v>750</v>
      </c>
      <c r="K374" s="9">
        <f t="shared" si="124"/>
        <v>26911.76470588235</v>
      </c>
      <c r="L374">
        <v>755</v>
      </c>
      <c r="M374" s="9">
        <f t="shared" si="128"/>
        <v>27011.730205278593</v>
      </c>
      <c r="N374">
        <v>0</v>
      </c>
      <c r="O374" s="9">
        <v>0</v>
      </c>
    </row>
    <row r="375" spans="1:15" x14ac:dyDescent="0.25">
      <c r="A375">
        <v>62000</v>
      </c>
      <c r="B375">
        <v>0</v>
      </c>
      <c r="C375">
        <v>0</v>
      </c>
      <c r="D375">
        <v>0</v>
      </c>
      <c r="E375" s="9">
        <v>0</v>
      </c>
      <c r="F375">
        <v>0</v>
      </c>
      <c r="G375" s="9">
        <v>0</v>
      </c>
      <c r="H375">
        <v>750</v>
      </c>
      <c r="I375" s="9">
        <f t="shared" si="122"/>
        <v>27352.941176470587</v>
      </c>
      <c r="J375">
        <v>750</v>
      </c>
      <c r="K375" s="9">
        <f t="shared" si="124"/>
        <v>27352.941176470587</v>
      </c>
      <c r="L375">
        <v>755</v>
      </c>
      <c r="M375" s="9">
        <f t="shared" si="128"/>
        <v>27454.545454545456</v>
      </c>
      <c r="N375">
        <v>0</v>
      </c>
      <c r="O375" s="9">
        <v>0</v>
      </c>
    </row>
    <row r="376" spans="1:15" x14ac:dyDescent="0.25">
      <c r="A376">
        <v>63000</v>
      </c>
      <c r="B376">
        <v>0</v>
      </c>
      <c r="C376">
        <v>0</v>
      </c>
      <c r="D376">
        <v>0</v>
      </c>
      <c r="E376" s="9">
        <v>0</v>
      </c>
      <c r="F376">
        <v>0</v>
      </c>
      <c r="G376" s="9">
        <v>0</v>
      </c>
      <c r="H376">
        <v>750</v>
      </c>
      <c r="I376" s="9">
        <f t="shared" si="122"/>
        <v>27794.117647058822</v>
      </c>
      <c r="J376">
        <v>750</v>
      </c>
      <c r="K376" s="9">
        <f t="shared" si="124"/>
        <v>27794.117647058822</v>
      </c>
      <c r="L376">
        <v>755</v>
      </c>
      <c r="M376" s="9">
        <f t="shared" si="128"/>
        <v>27897.360703812315</v>
      </c>
      <c r="N376">
        <v>0</v>
      </c>
      <c r="O376" s="9">
        <v>0</v>
      </c>
    </row>
    <row r="377" spans="1:15" x14ac:dyDescent="0.25">
      <c r="A377">
        <v>64000</v>
      </c>
      <c r="B377">
        <v>0</v>
      </c>
      <c r="C377">
        <v>0</v>
      </c>
      <c r="D377">
        <v>0</v>
      </c>
      <c r="E377" s="9">
        <v>0</v>
      </c>
      <c r="F377">
        <v>0</v>
      </c>
      <c r="G377" s="9">
        <v>0</v>
      </c>
      <c r="H377">
        <v>0</v>
      </c>
      <c r="I377" s="9">
        <v>0</v>
      </c>
      <c r="J377">
        <v>750</v>
      </c>
      <c r="K377" s="9">
        <f t="shared" si="124"/>
        <v>28235.294117647056</v>
      </c>
      <c r="L377">
        <v>755</v>
      </c>
      <c r="M377" s="9">
        <f t="shared" si="128"/>
        <v>28340.175953079179</v>
      </c>
      <c r="N377">
        <v>0</v>
      </c>
      <c r="O377" s="9">
        <v>0</v>
      </c>
    </row>
    <row r="378" spans="1:15" x14ac:dyDescent="0.25">
      <c r="A378">
        <v>65000</v>
      </c>
      <c r="B378">
        <v>0</v>
      </c>
      <c r="C378">
        <v>0</v>
      </c>
      <c r="D378">
        <v>0</v>
      </c>
      <c r="E378" s="9">
        <v>0</v>
      </c>
      <c r="F378">
        <v>0</v>
      </c>
      <c r="G378" s="9">
        <v>0</v>
      </c>
      <c r="H378">
        <v>0</v>
      </c>
      <c r="I378" s="9">
        <v>0</v>
      </c>
      <c r="J378">
        <v>750</v>
      </c>
      <c r="K378" s="9">
        <f t="shared" si="124"/>
        <v>28676.47058823529</v>
      </c>
      <c r="L378">
        <v>755</v>
      </c>
      <c r="M378" s="9">
        <f t="shared" si="128"/>
        <v>28782.991202346042</v>
      </c>
      <c r="N378">
        <v>0</v>
      </c>
      <c r="O378" s="9">
        <v>0</v>
      </c>
    </row>
    <row r="379" spans="1:15" x14ac:dyDescent="0.25">
      <c r="A379">
        <v>66000</v>
      </c>
      <c r="B379">
        <v>0</v>
      </c>
      <c r="C379">
        <v>0</v>
      </c>
      <c r="D379">
        <v>0</v>
      </c>
      <c r="E379" s="9">
        <v>0</v>
      </c>
      <c r="F379">
        <v>0</v>
      </c>
      <c r="G379" s="9">
        <v>0</v>
      </c>
      <c r="H379">
        <v>0</v>
      </c>
      <c r="I379" s="9">
        <v>0</v>
      </c>
      <c r="J379">
        <v>750</v>
      </c>
      <c r="K379" s="9">
        <f t="shared" si="124"/>
        <v>29117.647058823528</v>
      </c>
      <c r="L379">
        <v>755</v>
      </c>
      <c r="M379" s="9">
        <f t="shared" si="128"/>
        <v>29225.806451612902</v>
      </c>
      <c r="N379">
        <v>0</v>
      </c>
      <c r="O379" s="9">
        <v>0</v>
      </c>
    </row>
    <row r="380" spans="1:15" x14ac:dyDescent="0.25">
      <c r="A380">
        <v>67000</v>
      </c>
      <c r="B380">
        <v>0</v>
      </c>
      <c r="C380">
        <v>0</v>
      </c>
      <c r="D380">
        <v>0</v>
      </c>
      <c r="E380" s="9">
        <v>0</v>
      </c>
      <c r="F380">
        <v>0</v>
      </c>
      <c r="G380" s="9">
        <v>0</v>
      </c>
      <c r="H380">
        <v>0</v>
      </c>
      <c r="I380" s="9">
        <v>0</v>
      </c>
      <c r="J380">
        <v>750</v>
      </c>
      <c r="K380" s="9">
        <f t="shared" si="124"/>
        <v>29558.823529411762</v>
      </c>
      <c r="L380">
        <v>755</v>
      </c>
      <c r="M380" s="9">
        <f t="shared" si="128"/>
        <v>29668.621700879765</v>
      </c>
      <c r="N380">
        <v>0</v>
      </c>
      <c r="O380" s="9">
        <v>0</v>
      </c>
    </row>
    <row r="381" spans="1:15" x14ac:dyDescent="0.25">
      <c r="A381">
        <v>68000</v>
      </c>
      <c r="B381">
        <v>0</v>
      </c>
      <c r="C381">
        <v>0</v>
      </c>
      <c r="D381">
        <v>0</v>
      </c>
      <c r="E381" s="9">
        <v>0</v>
      </c>
      <c r="F381">
        <v>0</v>
      </c>
      <c r="G381" s="9">
        <v>0</v>
      </c>
      <c r="H381">
        <v>0</v>
      </c>
      <c r="I381" s="9">
        <v>0</v>
      </c>
      <c r="J381">
        <v>750</v>
      </c>
      <c r="K381" s="9">
        <f t="shared" si="124"/>
        <v>29999.999999999996</v>
      </c>
      <c r="L381">
        <v>755</v>
      </c>
      <c r="M381" s="9">
        <f t="shared" si="128"/>
        <v>30111.436950146628</v>
      </c>
      <c r="N381">
        <v>550</v>
      </c>
      <c r="O381" s="9">
        <f t="shared" ref="O381:O398" si="129">PRODUCT(A381,N381,1/(620+N381))</f>
        <v>31965.811965811965</v>
      </c>
    </row>
    <row r="382" spans="1:15" x14ac:dyDescent="0.25">
      <c r="A382">
        <v>69000</v>
      </c>
      <c r="B382">
        <v>0</v>
      </c>
      <c r="C382">
        <v>0</v>
      </c>
      <c r="D382">
        <v>0</v>
      </c>
      <c r="E382" s="9">
        <v>0</v>
      </c>
      <c r="F382">
        <v>0</v>
      </c>
      <c r="G382" s="9">
        <v>0</v>
      </c>
      <c r="H382">
        <v>0</v>
      </c>
      <c r="I382" s="9">
        <v>0</v>
      </c>
      <c r="J382">
        <v>750</v>
      </c>
      <c r="K382" s="9">
        <f t="shared" si="124"/>
        <v>30441.176470588234</v>
      </c>
      <c r="L382">
        <v>755</v>
      </c>
      <c r="M382" s="9">
        <f t="shared" si="128"/>
        <v>30554.252199413491</v>
      </c>
      <c r="N382">
        <f>SUM(N381,1)</f>
        <v>551</v>
      </c>
      <c r="O382" s="9">
        <f t="shared" si="129"/>
        <v>32467.122117847994</v>
      </c>
    </row>
    <row r="383" spans="1:15" x14ac:dyDescent="0.25">
      <c r="A383">
        <v>70000</v>
      </c>
      <c r="B383">
        <v>0</v>
      </c>
      <c r="C383">
        <v>0</v>
      </c>
      <c r="D383">
        <v>0</v>
      </c>
      <c r="E383" s="9">
        <v>0</v>
      </c>
      <c r="F383">
        <v>0</v>
      </c>
      <c r="G383" s="9">
        <v>0</v>
      </c>
      <c r="H383">
        <v>0</v>
      </c>
      <c r="I383" s="9">
        <v>0</v>
      </c>
      <c r="J383">
        <v>750</v>
      </c>
      <c r="K383" s="9">
        <f t="shared" si="124"/>
        <v>30882.352941176468</v>
      </c>
      <c r="L383">
        <v>755</v>
      </c>
      <c r="M383" s="9">
        <f t="shared" si="128"/>
        <v>30997.067448680351</v>
      </c>
      <c r="N383">
        <f t="shared" ref="N383:N398" si="130">SUM(N382,1)</f>
        <v>552</v>
      </c>
      <c r="O383" s="9">
        <f t="shared" si="129"/>
        <v>32969.283276450515</v>
      </c>
    </row>
    <row r="384" spans="1:15" x14ac:dyDescent="0.25">
      <c r="A384">
        <v>71000</v>
      </c>
      <c r="B384">
        <v>0</v>
      </c>
      <c r="C384">
        <v>0</v>
      </c>
      <c r="D384">
        <v>0</v>
      </c>
      <c r="E384" s="9">
        <v>0</v>
      </c>
      <c r="F384">
        <v>0</v>
      </c>
      <c r="G384" s="9">
        <v>0</v>
      </c>
      <c r="H384">
        <v>0</v>
      </c>
      <c r="I384" s="9">
        <v>0</v>
      </c>
      <c r="J384">
        <v>0</v>
      </c>
      <c r="K384" s="9">
        <v>0</v>
      </c>
      <c r="L384">
        <v>755</v>
      </c>
      <c r="M384" s="9">
        <f t="shared" si="128"/>
        <v>31439.882697947214</v>
      </c>
      <c r="N384">
        <f t="shared" si="130"/>
        <v>553</v>
      </c>
      <c r="O384" s="9">
        <f t="shared" si="129"/>
        <v>33472.293265132139</v>
      </c>
    </row>
    <row r="385" spans="1:15" x14ac:dyDescent="0.25">
      <c r="A385">
        <v>72000</v>
      </c>
      <c r="B385">
        <v>0</v>
      </c>
      <c r="C385">
        <v>0</v>
      </c>
      <c r="D385">
        <v>0</v>
      </c>
      <c r="E385" s="9">
        <v>0</v>
      </c>
      <c r="F385">
        <v>0</v>
      </c>
      <c r="G385" s="9">
        <v>0</v>
      </c>
      <c r="H385">
        <v>0</v>
      </c>
      <c r="I385" s="9">
        <v>0</v>
      </c>
      <c r="J385">
        <v>0</v>
      </c>
      <c r="K385" s="9">
        <v>0</v>
      </c>
      <c r="L385">
        <v>755</v>
      </c>
      <c r="M385" s="9">
        <f t="shared" si="128"/>
        <v>31882.697947214077</v>
      </c>
      <c r="N385">
        <f t="shared" si="130"/>
        <v>554</v>
      </c>
      <c r="O385" s="9">
        <f t="shared" si="129"/>
        <v>33976.149914821122</v>
      </c>
    </row>
    <row r="386" spans="1:15" x14ac:dyDescent="0.25">
      <c r="A386">
        <v>73000</v>
      </c>
      <c r="B386">
        <v>0</v>
      </c>
      <c r="C386">
        <v>0</v>
      </c>
      <c r="D386">
        <v>0</v>
      </c>
      <c r="E386" s="9">
        <v>0</v>
      </c>
      <c r="F386">
        <v>0</v>
      </c>
      <c r="G386" s="9">
        <v>0</v>
      </c>
      <c r="H386">
        <v>0</v>
      </c>
      <c r="I386" s="9">
        <v>0</v>
      </c>
      <c r="J386">
        <v>0</v>
      </c>
      <c r="K386" s="9">
        <v>0</v>
      </c>
      <c r="L386">
        <v>755</v>
      </c>
      <c r="M386" s="9">
        <f t="shared" si="128"/>
        <v>32325.513196480937</v>
      </c>
      <c r="N386">
        <f t="shared" si="130"/>
        <v>555</v>
      </c>
      <c r="O386" s="9">
        <f t="shared" si="129"/>
        <v>34480.851063829788</v>
      </c>
    </row>
    <row r="387" spans="1:15" x14ac:dyDescent="0.25">
      <c r="A387">
        <v>74000</v>
      </c>
      <c r="B387">
        <v>0</v>
      </c>
      <c r="C387">
        <v>0</v>
      </c>
      <c r="D387">
        <v>0</v>
      </c>
      <c r="E387" s="9">
        <v>0</v>
      </c>
      <c r="F387">
        <v>0</v>
      </c>
      <c r="G387" s="9">
        <v>0</v>
      </c>
      <c r="H387">
        <v>0</v>
      </c>
      <c r="I387" s="9">
        <v>0</v>
      </c>
      <c r="J387">
        <v>0</v>
      </c>
      <c r="K387" s="9">
        <v>0</v>
      </c>
      <c r="L387">
        <v>755</v>
      </c>
      <c r="M387" s="9">
        <f t="shared" si="128"/>
        <v>32768.3284457478</v>
      </c>
      <c r="N387">
        <f t="shared" si="130"/>
        <v>556</v>
      </c>
      <c r="O387" s="9">
        <f t="shared" si="129"/>
        <v>34986.394557823129</v>
      </c>
    </row>
    <row r="388" spans="1:15" x14ac:dyDescent="0.25">
      <c r="A388">
        <v>75000</v>
      </c>
      <c r="B388">
        <v>0</v>
      </c>
      <c r="C388">
        <v>0</v>
      </c>
      <c r="D388">
        <v>0</v>
      </c>
      <c r="E388" s="9">
        <v>0</v>
      </c>
      <c r="F388">
        <v>0</v>
      </c>
      <c r="G388" s="9">
        <v>0</v>
      </c>
      <c r="H388">
        <v>0</v>
      </c>
      <c r="I388" s="9">
        <v>0</v>
      </c>
      <c r="J388">
        <v>0</v>
      </c>
      <c r="K388" s="9">
        <v>0</v>
      </c>
      <c r="L388">
        <v>755</v>
      </c>
      <c r="M388" s="9">
        <f t="shared" si="128"/>
        <v>33211.14369501466</v>
      </c>
      <c r="N388">
        <f t="shared" si="130"/>
        <v>557</v>
      </c>
      <c r="O388" s="9">
        <f t="shared" si="129"/>
        <v>35492.778249787596</v>
      </c>
    </row>
    <row r="389" spans="1:15" x14ac:dyDescent="0.25">
      <c r="A389">
        <v>76000</v>
      </c>
      <c r="B389">
        <v>0</v>
      </c>
      <c r="C389">
        <v>0</v>
      </c>
      <c r="D389">
        <v>0</v>
      </c>
      <c r="E389" s="9">
        <v>0</v>
      </c>
      <c r="F389">
        <v>0</v>
      </c>
      <c r="G389" s="9">
        <v>0</v>
      </c>
      <c r="H389">
        <v>0</v>
      </c>
      <c r="I389" s="9">
        <v>0</v>
      </c>
      <c r="J389">
        <v>0</v>
      </c>
      <c r="K389" s="9">
        <v>0</v>
      </c>
      <c r="L389">
        <v>755</v>
      </c>
      <c r="M389" s="9">
        <f t="shared" si="128"/>
        <v>33653.958944281527</v>
      </c>
      <c r="N389">
        <f t="shared" si="130"/>
        <v>558</v>
      </c>
      <c r="O389" s="9">
        <f t="shared" si="129"/>
        <v>36000</v>
      </c>
    </row>
    <row r="390" spans="1:15" x14ac:dyDescent="0.25">
      <c r="A390">
        <v>77000</v>
      </c>
      <c r="B390">
        <v>0</v>
      </c>
      <c r="C390">
        <v>0</v>
      </c>
      <c r="D390">
        <v>0</v>
      </c>
      <c r="E390" s="9">
        <v>0</v>
      </c>
      <c r="F390">
        <v>0</v>
      </c>
      <c r="G390" s="9">
        <v>0</v>
      </c>
      <c r="H390">
        <v>0</v>
      </c>
      <c r="I390" s="9">
        <v>0</v>
      </c>
      <c r="J390">
        <v>0</v>
      </c>
      <c r="K390" s="9">
        <v>0</v>
      </c>
      <c r="L390">
        <v>755</v>
      </c>
      <c r="M390" s="9">
        <f t="shared" si="128"/>
        <v>34096.774193548386</v>
      </c>
      <c r="N390">
        <f t="shared" si="130"/>
        <v>559</v>
      </c>
      <c r="O390" s="9">
        <f t="shared" si="129"/>
        <v>36508.057675996606</v>
      </c>
    </row>
    <row r="391" spans="1:15" x14ac:dyDescent="0.25">
      <c r="A391">
        <v>78000</v>
      </c>
      <c r="B391">
        <v>0</v>
      </c>
      <c r="C391">
        <v>0</v>
      </c>
      <c r="D391">
        <v>0</v>
      </c>
      <c r="E391" s="9">
        <v>0</v>
      </c>
      <c r="F391">
        <v>0</v>
      </c>
      <c r="G391" s="9">
        <v>0</v>
      </c>
      <c r="H391">
        <v>0</v>
      </c>
      <c r="I391" s="9">
        <v>0</v>
      </c>
      <c r="J391">
        <v>0</v>
      </c>
      <c r="K391" s="9">
        <v>0</v>
      </c>
      <c r="L391">
        <v>755</v>
      </c>
      <c r="M391" s="9">
        <f t="shared" si="128"/>
        <v>34539.589442815246</v>
      </c>
      <c r="N391">
        <f t="shared" si="130"/>
        <v>560</v>
      </c>
      <c r="O391" s="9">
        <f t="shared" si="129"/>
        <v>37016.949152542373</v>
      </c>
    </row>
    <row r="392" spans="1:15" x14ac:dyDescent="0.25">
      <c r="A392">
        <v>79000</v>
      </c>
      <c r="B392">
        <v>0</v>
      </c>
      <c r="C392">
        <v>0</v>
      </c>
      <c r="D392">
        <v>0</v>
      </c>
      <c r="E392" s="9">
        <v>0</v>
      </c>
      <c r="F392">
        <v>0</v>
      </c>
      <c r="G392" s="9">
        <v>0</v>
      </c>
      <c r="H392">
        <v>0</v>
      </c>
      <c r="I392" s="9">
        <v>0</v>
      </c>
      <c r="J392">
        <v>0</v>
      </c>
      <c r="K392" s="9">
        <v>0</v>
      </c>
      <c r="L392">
        <v>0</v>
      </c>
      <c r="M392" s="9">
        <v>0</v>
      </c>
      <c r="N392">
        <f t="shared" si="130"/>
        <v>561</v>
      </c>
      <c r="O392" s="9">
        <f t="shared" si="129"/>
        <v>37526.672311600334</v>
      </c>
    </row>
    <row r="393" spans="1:15" x14ac:dyDescent="0.25">
      <c r="A393">
        <v>80000</v>
      </c>
      <c r="B393">
        <v>0</v>
      </c>
      <c r="C393">
        <v>0</v>
      </c>
      <c r="D393">
        <v>0</v>
      </c>
      <c r="E393" s="9">
        <v>0</v>
      </c>
      <c r="F393">
        <v>0</v>
      </c>
      <c r="G393" s="9">
        <v>0</v>
      </c>
      <c r="H393">
        <v>0</v>
      </c>
      <c r="I393" s="9">
        <v>0</v>
      </c>
      <c r="J393">
        <v>0</v>
      </c>
      <c r="K393" s="9">
        <v>0</v>
      </c>
      <c r="L393">
        <v>0</v>
      </c>
      <c r="M393" s="9">
        <v>0</v>
      </c>
      <c r="N393">
        <f t="shared" si="130"/>
        <v>562</v>
      </c>
      <c r="O393" s="9">
        <f t="shared" si="129"/>
        <v>38037.225042301186</v>
      </c>
    </row>
    <row r="394" spans="1:15" x14ac:dyDescent="0.25">
      <c r="A394">
        <v>81000</v>
      </c>
      <c r="B394">
        <v>0</v>
      </c>
      <c r="C394">
        <v>0</v>
      </c>
      <c r="D394">
        <v>0</v>
      </c>
      <c r="E394" s="9">
        <v>0</v>
      </c>
      <c r="F394">
        <v>0</v>
      </c>
      <c r="G394" s="9">
        <v>0</v>
      </c>
      <c r="H394">
        <v>0</v>
      </c>
      <c r="I394" s="9">
        <v>0</v>
      </c>
      <c r="J394">
        <v>0</v>
      </c>
      <c r="K394" s="9">
        <v>0</v>
      </c>
      <c r="L394">
        <v>0</v>
      </c>
      <c r="M394" s="9">
        <v>0</v>
      </c>
      <c r="N394">
        <f t="shared" si="130"/>
        <v>563</v>
      </c>
      <c r="O394" s="9">
        <f t="shared" si="129"/>
        <v>38548.605240912933</v>
      </c>
    </row>
    <row r="395" spans="1:15" x14ac:dyDescent="0.25">
      <c r="A395">
        <v>82000</v>
      </c>
      <c r="B395">
        <v>0</v>
      </c>
      <c r="C395">
        <v>0</v>
      </c>
      <c r="D395">
        <v>0</v>
      </c>
      <c r="E395" s="9">
        <v>0</v>
      </c>
      <c r="F395">
        <v>0</v>
      </c>
      <c r="G395" s="9">
        <v>0</v>
      </c>
      <c r="H395">
        <v>0</v>
      </c>
      <c r="I395" s="9">
        <v>0</v>
      </c>
      <c r="J395">
        <v>0</v>
      </c>
      <c r="K395" s="9">
        <v>0</v>
      </c>
      <c r="L395">
        <v>0</v>
      </c>
      <c r="M395" s="9">
        <v>0</v>
      </c>
      <c r="N395">
        <f t="shared" si="130"/>
        <v>564</v>
      </c>
      <c r="O395" s="9">
        <f t="shared" si="129"/>
        <v>39060.810810810814</v>
      </c>
    </row>
    <row r="396" spans="1:15" x14ac:dyDescent="0.25">
      <c r="A396">
        <v>83000</v>
      </c>
      <c r="B396">
        <v>0</v>
      </c>
      <c r="C396">
        <v>0</v>
      </c>
      <c r="D396">
        <v>0</v>
      </c>
      <c r="E396" s="9">
        <v>0</v>
      </c>
      <c r="F396">
        <v>0</v>
      </c>
      <c r="G396" s="9">
        <v>0</v>
      </c>
      <c r="H396">
        <v>0</v>
      </c>
      <c r="I396" s="9">
        <v>0</v>
      </c>
      <c r="J396">
        <v>0</v>
      </c>
      <c r="K396" s="9">
        <v>0</v>
      </c>
      <c r="L396">
        <v>0</v>
      </c>
      <c r="M396" s="9">
        <v>0</v>
      </c>
      <c r="N396">
        <f t="shared" si="130"/>
        <v>565</v>
      </c>
      <c r="O396" s="9">
        <f t="shared" si="129"/>
        <v>39573.839662447259</v>
      </c>
    </row>
    <row r="397" spans="1:15" x14ac:dyDescent="0.25">
      <c r="A397">
        <v>84000</v>
      </c>
      <c r="B397">
        <v>0</v>
      </c>
      <c r="C397">
        <v>0</v>
      </c>
      <c r="D397">
        <v>0</v>
      </c>
      <c r="E397" s="9">
        <v>0</v>
      </c>
      <c r="F397">
        <v>0</v>
      </c>
      <c r="G397" s="9">
        <v>0</v>
      </c>
      <c r="H397">
        <v>0</v>
      </c>
      <c r="I397" s="9">
        <v>0</v>
      </c>
      <c r="J397">
        <v>0</v>
      </c>
      <c r="K397" s="9">
        <v>0</v>
      </c>
      <c r="L397">
        <v>0</v>
      </c>
      <c r="M397" s="9">
        <v>0</v>
      </c>
      <c r="N397">
        <f t="shared" si="130"/>
        <v>566</v>
      </c>
      <c r="O397" s="9">
        <f t="shared" si="129"/>
        <v>40087.689713322092</v>
      </c>
    </row>
    <row r="398" spans="1:15" x14ac:dyDescent="0.25">
      <c r="A398">
        <v>85000</v>
      </c>
      <c r="B398">
        <v>0</v>
      </c>
      <c r="C398">
        <v>0</v>
      </c>
      <c r="D398">
        <v>0</v>
      </c>
      <c r="E398" s="9">
        <v>0</v>
      </c>
      <c r="F398">
        <v>0</v>
      </c>
      <c r="G398" s="9">
        <v>0</v>
      </c>
      <c r="H398">
        <v>0</v>
      </c>
      <c r="I398" s="9">
        <v>0</v>
      </c>
      <c r="J398">
        <v>0</v>
      </c>
      <c r="K398" s="9">
        <v>0</v>
      </c>
      <c r="L398">
        <v>0</v>
      </c>
      <c r="M398" s="9">
        <v>0</v>
      </c>
      <c r="N398">
        <f t="shared" si="130"/>
        <v>567</v>
      </c>
      <c r="O398" s="9">
        <f t="shared" si="129"/>
        <v>40602.358887952818</v>
      </c>
    </row>
    <row r="400" spans="1:15" x14ac:dyDescent="0.25">
      <c r="A400" t="s">
        <v>51</v>
      </c>
      <c r="C400" s="16">
        <v>37000</v>
      </c>
      <c r="E400">
        <v>37000</v>
      </c>
      <c r="G400">
        <v>38000</v>
      </c>
      <c r="I400">
        <v>42000</v>
      </c>
      <c r="K400">
        <v>43000</v>
      </c>
      <c r="M400">
        <v>50000</v>
      </c>
      <c r="O400">
        <v>68000</v>
      </c>
    </row>
    <row r="401" spans="1:15" x14ac:dyDescent="0.25">
      <c r="A401" t="s">
        <v>50</v>
      </c>
      <c r="C401">
        <v>51000</v>
      </c>
      <c r="E401">
        <v>56000</v>
      </c>
      <c r="G401">
        <v>61000</v>
      </c>
      <c r="I401">
        <v>63000</v>
      </c>
      <c r="K401">
        <v>70000</v>
      </c>
      <c r="M401">
        <v>78000</v>
      </c>
      <c r="O401">
        <v>85000</v>
      </c>
    </row>
    <row r="402" spans="1:15" x14ac:dyDescent="0.25">
      <c r="A402" t="s">
        <v>52</v>
      </c>
      <c r="C402" s="16">
        <v>15000</v>
      </c>
      <c r="E402">
        <v>16000</v>
      </c>
      <c r="G402">
        <v>16000</v>
      </c>
      <c r="I402">
        <v>17000</v>
      </c>
      <c r="K402">
        <v>18000</v>
      </c>
      <c r="M402">
        <v>22000</v>
      </c>
      <c r="O402">
        <v>31500</v>
      </c>
    </row>
    <row r="403" spans="1:15" x14ac:dyDescent="0.25">
      <c r="A403" t="s">
        <v>53</v>
      </c>
      <c r="C403">
        <v>21500</v>
      </c>
      <c r="E403">
        <v>25000</v>
      </c>
      <c r="G403">
        <v>27000</v>
      </c>
      <c r="I403">
        <v>28000</v>
      </c>
      <c r="K403">
        <v>31000</v>
      </c>
      <c r="M403">
        <v>34600</v>
      </c>
      <c r="O403">
        <v>41000</v>
      </c>
    </row>
    <row r="404" spans="1:15" ht="30" customHeight="1" x14ac:dyDescent="0.25">
      <c r="A404" s="25" t="s">
        <v>55</v>
      </c>
      <c r="B404" s="26"/>
      <c r="C404">
        <v>60800</v>
      </c>
      <c r="E404">
        <v>60800</v>
      </c>
      <c r="G404">
        <v>61800</v>
      </c>
      <c r="I404">
        <v>65800</v>
      </c>
      <c r="K404">
        <v>66800</v>
      </c>
      <c r="M404">
        <v>73800</v>
      </c>
      <c r="O404">
        <v>91800</v>
      </c>
    </row>
    <row r="405" spans="1:15" ht="29.25" customHeight="1" x14ac:dyDescent="0.25">
      <c r="A405" s="25" t="s">
        <v>56</v>
      </c>
      <c r="B405" s="26"/>
      <c r="C405">
        <v>50300</v>
      </c>
      <c r="E405">
        <v>50300</v>
      </c>
      <c r="G405">
        <v>51300</v>
      </c>
      <c r="I405">
        <v>55300</v>
      </c>
      <c r="K405">
        <v>56300</v>
      </c>
      <c r="M405">
        <v>63300</v>
      </c>
      <c r="O405">
        <v>81300</v>
      </c>
    </row>
    <row r="406" spans="1:15" ht="29.25" customHeight="1" x14ac:dyDescent="0.25">
      <c r="A406" s="25" t="s">
        <v>57</v>
      </c>
      <c r="B406" s="26"/>
      <c r="C406">
        <v>70300</v>
      </c>
      <c r="E406">
        <v>70300</v>
      </c>
      <c r="G406">
        <v>71300</v>
      </c>
      <c r="I406">
        <v>75300</v>
      </c>
      <c r="K406">
        <v>76300</v>
      </c>
      <c r="M406">
        <v>83300</v>
      </c>
      <c r="O406" s="22">
        <v>101250</v>
      </c>
    </row>
    <row r="407" spans="1:15" ht="29.25" customHeight="1" x14ac:dyDescent="0.25">
      <c r="A407" s="25" t="s">
        <v>58</v>
      </c>
      <c r="B407" s="26"/>
      <c r="C407">
        <v>39000</v>
      </c>
      <c r="E407">
        <v>39000</v>
      </c>
      <c r="G407">
        <v>40000</v>
      </c>
      <c r="I407">
        <v>44000</v>
      </c>
      <c r="K407">
        <v>45000</v>
      </c>
      <c r="M407">
        <v>52000</v>
      </c>
      <c r="O407">
        <v>70000</v>
      </c>
    </row>
  </sheetData>
  <mergeCells count="65">
    <mergeCell ref="L156:M156"/>
    <mergeCell ref="N156:O156"/>
    <mergeCell ref="J2:K2"/>
    <mergeCell ref="L2:M2"/>
    <mergeCell ref="N2:O2"/>
    <mergeCell ref="A2:A3"/>
    <mergeCell ref="B2:C2"/>
    <mergeCell ref="D2:E2"/>
    <mergeCell ref="F2:G2"/>
    <mergeCell ref="H2:I2"/>
    <mergeCell ref="A73:B73"/>
    <mergeCell ref="A74:B74"/>
    <mergeCell ref="A75:B75"/>
    <mergeCell ref="A79:A80"/>
    <mergeCell ref="B79:C79"/>
    <mergeCell ref="A150:B150"/>
    <mergeCell ref="A76:B76"/>
    <mergeCell ref="J79:K79"/>
    <mergeCell ref="L79:M79"/>
    <mergeCell ref="N79:O79"/>
    <mergeCell ref="D79:E79"/>
    <mergeCell ref="F79:G79"/>
    <mergeCell ref="H79:I79"/>
    <mergeCell ref="J236:K236"/>
    <mergeCell ref="L236:M236"/>
    <mergeCell ref="N236:O236"/>
    <mergeCell ref="A151:B151"/>
    <mergeCell ref="A152:B152"/>
    <mergeCell ref="A153:B153"/>
    <mergeCell ref="A229:B229"/>
    <mergeCell ref="A230:B230"/>
    <mergeCell ref="A231:B231"/>
    <mergeCell ref="A232:B232"/>
    <mergeCell ref="A156:A157"/>
    <mergeCell ref="B156:C156"/>
    <mergeCell ref="D156:E156"/>
    <mergeCell ref="F156:G156"/>
    <mergeCell ref="H156:I156"/>
    <mergeCell ref="J156:K156"/>
    <mergeCell ref="A236:A237"/>
    <mergeCell ref="B236:C236"/>
    <mergeCell ref="D236:E236"/>
    <mergeCell ref="F236:G236"/>
    <mergeCell ref="H236:I236"/>
    <mergeCell ref="H323:I323"/>
    <mergeCell ref="A317:B317"/>
    <mergeCell ref="A318:B318"/>
    <mergeCell ref="A319:B319"/>
    <mergeCell ref="A320:B320"/>
    <mergeCell ref="A406:B406"/>
    <mergeCell ref="A407:B407"/>
    <mergeCell ref="A1:O1"/>
    <mergeCell ref="A78:O78"/>
    <mergeCell ref="A155:O155"/>
    <mergeCell ref="A235:O235"/>
    <mergeCell ref="A322:O322"/>
    <mergeCell ref="J323:K323"/>
    <mergeCell ref="L323:M323"/>
    <mergeCell ref="N323:O323"/>
    <mergeCell ref="A404:B404"/>
    <mergeCell ref="A405:B405"/>
    <mergeCell ref="A323:A324"/>
    <mergeCell ref="B323:C323"/>
    <mergeCell ref="D323:E323"/>
    <mergeCell ref="F323:G32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9"/>
  <sheetViews>
    <sheetView topLeftCell="A133" workbookViewId="0">
      <selection activeCell="G7" sqref="G7"/>
    </sheetView>
  </sheetViews>
  <sheetFormatPr baseColWidth="10" defaultRowHeight="15" x14ac:dyDescent="0.25"/>
  <cols>
    <col min="2" max="2" width="12" bestFit="1" customWidth="1"/>
  </cols>
  <sheetData>
    <row r="1" spans="1:26" ht="38.25" customHeight="1" x14ac:dyDescent="0.25">
      <c r="A1" s="25" t="s">
        <v>62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25">
      <c r="A2" s="25" t="s">
        <v>39</v>
      </c>
      <c r="B2" s="24" t="s">
        <v>64</v>
      </c>
      <c r="C2" s="24"/>
      <c r="D2" s="24" t="s">
        <v>63</v>
      </c>
      <c r="E2" s="24"/>
      <c r="F2" s="24" t="s">
        <v>43</v>
      </c>
      <c r="G2" s="24"/>
      <c r="H2" s="24" t="s">
        <v>44</v>
      </c>
      <c r="I2" s="24"/>
      <c r="J2" s="24" t="s">
        <v>45</v>
      </c>
      <c r="K2" s="24"/>
      <c r="L2" s="24" t="s">
        <v>46</v>
      </c>
      <c r="M2" s="24"/>
      <c r="N2" s="24" t="s">
        <v>47</v>
      </c>
      <c r="O2" s="24"/>
    </row>
    <row r="3" spans="1:26" x14ac:dyDescent="0.25">
      <c r="A3" s="25"/>
      <c r="B3" t="s">
        <v>40</v>
      </c>
      <c r="C3" t="s">
        <v>41</v>
      </c>
      <c r="D3" t="s">
        <v>40</v>
      </c>
      <c r="E3" t="s">
        <v>41</v>
      </c>
      <c r="F3" t="s">
        <v>40</v>
      </c>
      <c r="G3" t="s">
        <v>41</v>
      </c>
      <c r="H3" t="s">
        <v>40</v>
      </c>
      <c r="I3" t="s">
        <v>41</v>
      </c>
      <c r="J3" t="s">
        <v>40</v>
      </c>
      <c r="K3" t="s">
        <v>41</v>
      </c>
      <c r="L3" t="s">
        <v>40</v>
      </c>
      <c r="M3" t="s">
        <v>41</v>
      </c>
      <c r="N3" t="s">
        <v>40</v>
      </c>
      <c r="O3" t="s">
        <v>41</v>
      </c>
    </row>
    <row r="4" spans="1:26" x14ac:dyDescent="0.25">
      <c r="A4" s="4">
        <v>4800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26" x14ac:dyDescent="0.25">
      <c r="A5" s="4">
        <v>5500</v>
      </c>
      <c r="B5">
        <v>0</v>
      </c>
      <c r="C5" s="9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26" x14ac:dyDescent="0.25">
      <c r="A6">
        <v>6500</v>
      </c>
      <c r="B6">
        <v>450</v>
      </c>
      <c r="C6" s="9">
        <f>PRODUCT(A6,B6,1/(300+B6))</f>
        <v>3900</v>
      </c>
      <c r="D6">
        <v>450</v>
      </c>
      <c r="E6" s="9">
        <f>PRODUCT(A6,D6,1/(300+D6))</f>
        <v>3900</v>
      </c>
      <c r="F6">
        <v>0</v>
      </c>
      <c r="G6" s="9">
        <v>0</v>
      </c>
      <c r="H6">
        <v>0</v>
      </c>
      <c r="I6" s="9">
        <v>0</v>
      </c>
      <c r="J6">
        <v>0</v>
      </c>
      <c r="K6" s="9">
        <v>0</v>
      </c>
      <c r="L6">
        <v>0</v>
      </c>
      <c r="M6" s="9">
        <v>0</v>
      </c>
      <c r="N6">
        <v>0</v>
      </c>
      <c r="O6" s="9">
        <v>0</v>
      </c>
    </row>
    <row r="7" spans="1:26" x14ac:dyDescent="0.25">
      <c r="A7">
        <v>7500</v>
      </c>
      <c r="B7">
        <v>465</v>
      </c>
      <c r="C7" s="9">
        <f t="shared" ref="C7:C17" si="0">PRODUCT(A7,B7,1/(300+B7))</f>
        <v>4558.823529411764</v>
      </c>
      <c r="D7">
        <f>SUM(D6,15)</f>
        <v>465</v>
      </c>
      <c r="E7" s="9">
        <f t="shared" ref="E7:E25" si="1">PRODUCT(A7,D7,1/(300+D7))</f>
        <v>4558.823529411764</v>
      </c>
      <c r="F7">
        <v>460</v>
      </c>
      <c r="G7" s="9">
        <f t="shared" ref="G7:G25" si="2">PRODUCT(A7,F7,1/(300+F7))</f>
        <v>4539.4736842105258</v>
      </c>
      <c r="H7">
        <v>0</v>
      </c>
      <c r="I7" s="9">
        <v>0</v>
      </c>
      <c r="J7">
        <v>0</v>
      </c>
      <c r="K7" s="9">
        <v>0</v>
      </c>
      <c r="L7">
        <v>0</v>
      </c>
      <c r="M7" s="9">
        <v>0</v>
      </c>
      <c r="N7">
        <v>0</v>
      </c>
      <c r="O7" s="9">
        <v>0</v>
      </c>
    </row>
    <row r="8" spans="1:26" x14ac:dyDescent="0.25">
      <c r="A8">
        <v>8500</v>
      </c>
      <c r="B8">
        <v>480</v>
      </c>
      <c r="C8" s="9">
        <f t="shared" si="0"/>
        <v>5230.7692307692305</v>
      </c>
      <c r="D8">
        <f t="shared" ref="D8:D9" si="3">SUM(D7,15)</f>
        <v>480</v>
      </c>
      <c r="E8" s="9">
        <f t="shared" si="1"/>
        <v>5230.7692307692305</v>
      </c>
      <c r="F8">
        <f>SUM(F7,13)</f>
        <v>473</v>
      </c>
      <c r="G8" s="9">
        <f t="shared" si="2"/>
        <v>5201.1642949547222</v>
      </c>
      <c r="H8">
        <v>470</v>
      </c>
      <c r="I8" s="9">
        <f>PRODUCT(A8,H8,1/(H8+300))</f>
        <v>5188.3116883116882</v>
      </c>
      <c r="J8">
        <v>0</v>
      </c>
      <c r="K8">
        <v>0</v>
      </c>
      <c r="L8">
        <v>0</v>
      </c>
      <c r="M8" s="9">
        <v>0</v>
      </c>
      <c r="N8">
        <v>0</v>
      </c>
      <c r="O8" s="9">
        <v>0</v>
      </c>
    </row>
    <row r="9" spans="1:26" x14ac:dyDescent="0.25">
      <c r="A9">
        <v>9500</v>
      </c>
      <c r="B9">
        <v>495</v>
      </c>
      <c r="C9" s="9">
        <f t="shared" si="0"/>
        <v>5915.0943396226412</v>
      </c>
      <c r="D9">
        <f t="shared" si="3"/>
        <v>495</v>
      </c>
      <c r="E9" s="9">
        <f t="shared" si="1"/>
        <v>5915.0943396226412</v>
      </c>
      <c r="F9">
        <f t="shared" ref="F9:F10" si="4">SUM(F8,13)</f>
        <v>486</v>
      </c>
      <c r="G9" s="9">
        <f t="shared" si="2"/>
        <v>5874.0458015267177</v>
      </c>
      <c r="H9">
        <f>SUM(H8,12)</f>
        <v>482</v>
      </c>
      <c r="I9" s="9">
        <f>PRODUCT(A9,H9,1/(H9+300))</f>
        <v>5855.4987212276219</v>
      </c>
      <c r="J9">
        <v>490</v>
      </c>
      <c r="K9" s="9">
        <f>PRODUCT(A9,J9,1/(J9+300))</f>
        <v>5892.4050632911394</v>
      </c>
      <c r="L9">
        <v>0</v>
      </c>
      <c r="M9" s="9">
        <v>0</v>
      </c>
      <c r="N9">
        <v>0</v>
      </c>
      <c r="O9" s="9">
        <v>0</v>
      </c>
    </row>
    <row r="10" spans="1:26" x14ac:dyDescent="0.25">
      <c r="A10">
        <v>10500</v>
      </c>
      <c r="B10">
        <v>505</v>
      </c>
      <c r="C10" s="9">
        <f t="shared" si="0"/>
        <v>6586.9565217391309</v>
      </c>
      <c r="D10">
        <f>SUM(D9,10)</f>
        <v>505</v>
      </c>
      <c r="E10" s="9">
        <f t="shared" si="1"/>
        <v>6586.9565217391309</v>
      </c>
      <c r="F10">
        <f t="shared" si="4"/>
        <v>499</v>
      </c>
      <c r="G10" s="9">
        <f t="shared" si="2"/>
        <v>6557.5719649561952</v>
      </c>
      <c r="H10">
        <f t="shared" ref="H10:H12" si="5">SUM(H9,12)</f>
        <v>494</v>
      </c>
      <c r="I10" s="9">
        <f t="shared" ref="I10:I25" si="6">PRODUCT(A10,H10,1/(H10+300))</f>
        <v>6532.7455919395461</v>
      </c>
      <c r="J10">
        <f>SUM(J9,8)</f>
        <v>498</v>
      </c>
      <c r="K10" s="9">
        <f>PRODUCT(A10,J10,1/(J10+300))</f>
        <v>6552.6315789473683</v>
      </c>
      <c r="L10">
        <v>506</v>
      </c>
      <c r="M10" s="9">
        <f>PRODUCT(A10,L10,1/(L10+300))</f>
        <v>6591.8114143920593</v>
      </c>
      <c r="N10">
        <v>0</v>
      </c>
      <c r="O10" s="9">
        <v>0</v>
      </c>
    </row>
    <row r="11" spans="1:26" x14ac:dyDescent="0.25">
      <c r="A11">
        <v>11500</v>
      </c>
      <c r="B11">
        <v>515</v>
      </c>
      <c r="C11" s="9">
        <f t="shared" si="0"/>
        <v>7266.8711656441719</v>
      </c>
      <c r="D11">
        <f t="shared" ref="D11:D16" si="7">SUM(D10,10)</f>
        <v>515</v>
      </c>
      <c r="E11" s="9">
        <f t="shared" si="1"/>
        <v>7266.8711656441719</v>
      </c>
      <c r="F11">
        <f>SUM(F10,11)</f>
        <v>510</v>
      </c>
      <c r="G11" s="9">
        <f t="shared" si="2"/>
        <v>7240.7407407407409</v>
      </c>
      <c r="H11">
        <f t="shared" si="5"/>
        <v>506</v>
      </c>
      <c r="I11" s="9">
        <f t="shared" si="6"/>
        <v>7219.6029776674941</v>
      </c>
      <c r="J11">
        <f t="shared" ref="J11:J13" si="8">SUM(J10,8)</f>
        <v>506</v>
      </c>
      <c r="K11" s="9">
        <f t="shared" ref="K11:K26" si="9">PRODUCT(A11,J11,1/(J11+300))</f>
        <v>7219.6029776674941</v>
      </c>
      <c r="L11">
        <f>SUM(L10,7)</f>
        <v>513</v>
      </c>
      <c r="M11" s="9">
        <f t="shared" ref="M11:M28" si="10">PRODUCT(A11,L11,1/(L11+300))</f>
        <v>7256.4575645756458</v>
      </c>
      <c r="N11">
        <v>0</v>
      </c>
      <c r="O11" s="9">
        <v>0</v>
      </c>
    </row>
    <row r="12" spans="1:26" x14ac:dyDescent="0.25">
      <c r="A12">
        <v>12500</v>
      </c>
      <c r="B12">
        <v>525</v>
      </c>
      <c r="C12" s="9">
        <f t="shared" si="0"/>
        <v>7954.545454545455</v>
      </c>
      <c r="D12">
        <f t="shared" si="7"/>
        <v>525</v>
      </c>
      <c r="E12" s="9">
        <f t="shared" si="1"/>
        <v>7954.545454545455</v>
      </c>
      <c r="F12">
        <f t="shared" ref="F12:F13" si="11">SUM(F11,11)</f>
        <v>521</v>
      </c>
      <c r="G12" s="9">
        <f t="shared" si="2"/>
        <v>7932.3995127892813</v>
      </c>
      <c r="H12">
        <f t="shared" si="5"/>
        <v>518</v>
      </c>
      <c r="I12" s="9">
        <f t="shared" si="6"/>
        <v>7915.647921760391</v>
      </c>
      <c r="J12">
        <f t="shared" si="8"/>
        <v>514</v>
      </c>
      <c r="K12" s="9">
        <f t="shared" si="9"/>
        <v>7893.1203931203927</v>
      </c>
      <c r="L12">
        <f t="shared" ref="L12:L13" si="12">SUM(L11,7)</f>
        <v>520</v>
      </c>
      <c r="M12" s="9">
        <f t="shared" si="10"/>
        <v>7926.8292682926831</v>
      </c>
      <c r="N12">
        <v>530</v>
      </c>
      <c r="O12" s="9">
        <f>PRODUCT(A12,N12,1/(300+N12))</f>
        <v>7981.9277108433744</v>
      </c>
    </row>
    <row r="13" spans="1:26" x14ac:dyDescent="0.25">
      <c r="A13">
        <v>13500</v>
      </c>
      <c r="B13">
        <v>535</v>
      </c>
      <c r="C13" s="9">
        <f t="shared" si="0"/>
        <v>8649.7005988023957</v>
      </c>
      <c r="D13">
        <f t="shared" si="7"/>
        <v>535</v>
      </c>
      <c r="E13" s="9">
        <f t="shared" si="1"/>
        <v>8649.7005988023957</v>
      </c>
      <c r="F13">
        <f t="shared" si="11"/>
        <v>532</v>
      </c>
      <c r="G13" s="9">
        <f t="shared" si="2"/>
        <v>8632.211538461539</v>
      </c>
      <c r="H13">
        <f>SUM(H12,10)</f>
        <v>528</v>
      </c>
      <c r="I13" s="9">
        <f t="shared" si="6"/>
        <v>8608.6956521739121</v>
      </c>
      <c r="J13">
        <f t="shared" si="8"/>
        <v>522</v>
      </c>
      <c r="K13" s="9">
        <f t="shared" si="9"/>
        <v>8572.9927007299266</v>
      </c>
      <c r="L13">
        <f t="shared" si="12"/>
        <v>527</v>
      </c>
      <c r="M13" s="9">
        <f t="shared" si="10"/>
        <v>8602.7811366384522</v>
      </c>
      <c r="N13">
        <f>SUM(N12,14)</f>
        <v>544</v>
      </c>
      <c r="O13" s="9">
        <f t="shared" ref="O13:O33" si="13">PRODUCT(A13,N13,1/(300+N13))</f>
        <v>8701.4218009478682</v>
      </c>
    </row>
    <row r="14" spans="1:26" x14ac:dyDescent="0.25">
      <c r="A14">
        <v>14500</v>
      </c>
      <c r="B14">
        <v>545</v>
      </c>
      <c r="C14" s="9">
        <f t="shared" si="0"/>
        <v>9352.0710059171597</v>
      </c>
      <c r="D14">
        <f t="shared" si="7"/>
        <v>545</v>
      </c>
      <c r="E14" s="9">
        <f t="shared" si="1"/>
        <v>9352.0710059171597</v>
      </c>
      <c r="F14">
        <f>SUM(F13,10)</f>
        <v>542</v>
      </c>
      <c r="G14" s="9">
        <f t="shared" si="2"/>
        <v>9333.7292161520199</v>
      </c>
      <c r="H14">
        <f t="shared" ref="H14:H16" si="14">SUM(H13,10)</f>
        <v>538</v>
      </c>
      <c r="I14" s="9">
        <f t="shared" si="6"/>
        <v>9309.0692124105008</v>
      </c>
      <c r="J14">
        <f t="shared" ref="J14:J19" si="15">SUM(J13,9)</f>
        <v>531</v>
      </c>
      <c r="K14" s="9">
        <f t="shared" si="9"/>
        <v>9265.3429602888082</v>
      </c>
      <c r="L14">
        <f>SUM(L13,8)</f>
        <v>535</v>
      </c>
      <c r="M14" s="9">
        <f t="shared" si="10"/>
        <v>9290.4191616766475</v>
      </c>
      <c r="N14">
        <f>SUM(N13,14)</f>
        <v>558</v>
      </c>
      <c r="O14" s="9">
        <f t="shared" si="13"/>
        <v>9430.0699300699307</v>
      </c>
    </row>
    <row r="15" spans="1:26" x14ac:dyDescent="0.25">
      <c r="A15">
        <v>15500</v>
      </c>
      <c r="B15">
        <v>555</v>
      </c>
      <c r="C15" s="9">
        <f t="shared" si="0"/>
        <v>10061.403508771929</v>
      </c>
      <c r="D15">
        <f t="shared" si="7"/>
        <v>555</v>
      </c>
      <c r="E15" s="9">
        <f t="shared" si="1"/>
        <v>10061.403508771929</v>
      </c>
      <c r="F15">
        <f t="shared" ref="F15" si="16">SUM(F14,10)</f>
        <v>552</v>
      </c>
      <c r="G15" s="9">
        <f t="shared" si="2"/>
        <v>10042.25352112676</v>
      </c>
      <c r="H15">
        <f t="shared" si="14"/>
        <v>548</v>
      </c>
      <c r="I15" s="9">
        <f t="shared" si="6"/>
        <v>10016.509433962265</v>
      </c>
      <c r="J15">
        <f t="shared" si="15"/>
        <v>540</v>
      </c>
      <c r="K15" s="9">
        <f t="shared" si="9"/>
        <v>9964.2857142857156</v>
      </c>
      <c r="L15">
        <f t="shared" ref="L15:L19" si="17">SUM(L14,8)</f>
        <v>543</v>
      </c>
      <c r="M15" s="9">
        <f t="shared" si="10"/>
        <v>9983.9857651245566</v>
      </c>
      <c r="N15">
        <f>SUM(N14,15)</f>
        <v>573</v>
      </c>
      <c r="O15" s="9">
        <f t="shared" si="13"/>
        <v>10173.539518900345</v>
      </c>
    </row>
    <row r="16" spans="1:26" ht="18" customHeight="1" x14ac:dyDescent="0.25">
      <c r="A16">
        <v>16500</v>
      </c>
      <c r="B16">
        <v>565</v>
      </c>
      <c r="C16" s="9">
        <f t="shared" si="0"/>
        <v>10777.456647398845</v>
      </c>
      <c r="D16">
        <f t="shared" si="7"/>
        <v>565</v>
      </c>
      <c r="E16" s="9">
        <f t="shared" si="1"/>
        <v>10777.456647398845</v>
      </c>
      <c r="F16">
        <f>SUM(F15,9)</f>
        <v>561</v>
      </c>
      <c r="G16" s="9">
        <f t="shared" si="2"/>
        <v>10750.871080139374</v>
      </c>
      <c r="H16">
        <f t="shared" si="14"/>
        <v>558</v>
      </c>
      <c r="I16" s="9">
        <f t="shared" si="6"/>
        <v>10730.76923076923</v>
      </c>
      <c r="J16">
        <f t="shared" si="15"/>
        <v>549</v>
      </c>
      <c r="K16" s="9">
        <f t="shared" si="9"/>
        <v>10669.611307420493</v>
      </c>
      <c r="L16">
        <f t="shared" si="17"/>
        <v>551</v>
      </c>
      <c r="M16" s="9">
        <f t="shared" si="10"/>
        <v>10683.31374853114</v>
      </c>
      <c r="N16" s="19">
        <f>SUM(N15,15)</f>
        <v>588</v>
      </c>
      <c r="O16" s="20">
        <f t="shared" si="13"/>
        <v>10925.675675675675</v>
      </c>
    </row>
    <row r="17" spans="1:15" x14ac:dyDescent="0.25">
      <c r="A17">
        <v>17500</v>
      </c>
      <c r="B17" s="19">
        <v>575</v>
      </c>
      <c r="C17" s="20">
        <f t="shared" si="0"/>
        <v>11500</v>
      </c>
      <c r="D17">
        <f>SUM(D16,8)</f>
        <v>573</v>
      </c>
      <c r="E17" s="9">
        <f t="shared" si="1"/>
        <v>11486.254295532646</v>
      </c>
      <c r="F17">
        <f t="shared" ref="F17:F19" si="18">SUM(F16,9)</f>
        <v>570</v>
      </c>
      <c r="G17" s="9">
        <f t="shared" si="2"/>
        <v>11465.51724137931</v>
      </c>
      <c r="H17">
        <f>SUM(H16,8)</f>
        <v>566</v>
      </c>
      <c r="I17" s="9">
        <f t="shared" si="6"/>
        <v>11437.644341801386</v>
      </c>
      <c r="J17">
        <f t="shared" si="15"/>
        <v>558</v>
      </c>
      <c r="K17" s="9">
        <f t="shared" si="9"/>
        <v>11381.11888111888</v>
      </c>
      <c r="L17">
        <f t="shared" si="17"/>
        <v>559</v>
      </c>
      <c r="M17" s="9">
        <f t="shared" si="10"/>
        <v>11388.242142025611</v>
      </c>
      <c r="N17" s="19">
        <f>SUM(N16,16)</f>
        <v>604</v>
      </c>
      <c r="O17" s="20">
        <f t="shared" si="13"/>
        <v>11692.477876106195</v>
      </c>
    </row>
    <row r="18" spans="1:15" x14ac:dyDescent="0.25">
      <c r="A18">
        <v>18500</v>
      </c>
      <c r="B18">
        <v>0</v>
      </c>
      <c r="C18" s="9">
        <f t="shared" ref="C18:C31" si="19">PRODUCT(A18,B19,1/(300+B19))</f>
        <v>0</v>
      </c>
      <c r="D18" s="19">
        <f>SUM(D17,6)</f>
        <v>579</v>
      </c>
      <c r="E18" s="20">
        <f t="shared" si="1"/>
        <v>12186.006825938566</v>
      </c>
      <c r="F18">
        <f t="shared" si="18"/>
        <v>579</v>
      </c>
      <c r="G18" s="9">
        <f t="shared" si="2"/>
        <v>12186.006825938566</v>
      </c>
      <c r="H18">
        <f t="shared" ref="H18:H25" si="20">SUM(H17,8)</f>
        <v>574</v>
      </c>
      <c r="I18" s="9">
        <f t="shared" si="6"/>
        <v>12149.885583524028</v>
      </c>
      <c r="J18">
        <f t="shared" si="15"/>
        <v>567</v>
      </c>
      <c r="K18" s="9">
        <f t="shared" si="9"/>
        <v>12098.615916955017</v>
      </c>
      <c r="L18">
        <f t="shared" si="17"/>
        <v>567</v>
      </c>
      <c r="M18" s="9">
        <f t="shared" si="10"/>
        <v>12098.615916955017</v>
      </c>
      <c r="N18" s="19">
        <f>SUM(N17,16)</f>
        <v>620</v>
      </c>
      <c r="O18" s="20">
        <f t="shared" si="13"/>
        <v>12467.391304347826</v>
      </c>
    </row>
    <row r="19" spans="1:15" x14ac:dyDescent="0.25">
      <c r="A19">
        <v>19500</v>
      </c>
      <c r="B19">
        <v>0</v>
      </c>
      <c r="C19" s="9">
        <f t="shared" si="19"/>
        <v>0</v>
      </c>
      <c r="D19" s="19">
        <f>SUM(D18,6)</f>
        <v>585</v>
      </c>
      <c r="E19" s="20">
        <f t="shared" si="1"/>
        <v>12889.830508474577</v>
      </c>
      <c r="F19">
        <f t="shared" si="18"/>
        <v>588</v>
      </c>
      <c r="G19" s="9">
        <f t="shared" si="2"/>
        <v>12912.162162162162</v>
      </c>
      <c r="H19">
        <f t="shared" si="20"/>
        <v>582</v>
      </c>
      <c r="I19" s="9">
        <f t="shared" si="6"/>
        <v>12867.34693877551</v>
      </c>
      <c r="J19">
        <f t="shared" si="15"/>
        <v>576</v>
      </c>
      <c r="K19" s="9">
        <f t="shared" si="9"/>
        <v>12821.917808219177</v>
      </c>
      <c r="L19">
        <f t="shared" si="17"/>
        <v>575</v>
      </c>
      <c r="M19" s="9">
        <f t="shared" si="10"/>
        <v>12814.285714285716</v>
      </c>
      <c r="N19" s="19">
        <f t="shared" ref="N19:N20" si="21">SUM(N18,16)</f>
        <v>636</v>
      </c>
      <c r="O19" s="20">
        <f t="shared" si="13"/>
        <v>13250.000000000002</v>
      </c>
    </row>
    <row r="20" spans="1:15" x14ac:dyDescent="0.25">
      <c r="A20">
        <v>20500</v>
      </c>
      <c r="B20">
        <v>0</v>
      </c>
      <c r="C20" s="9">
        <f t="shared" si="19"/>
        <v>0</v>
      </c>
      <c r="D20" s="19">
        <f t="shared" ref="D20:D25" si="22">SUM(D19,6)</f>
        <v>591</v>
      </c>
      <c r="E20" s="20">
        <f t="shared" si="1"/>
        <v>13597.643097643098</v>
      </c>
      <c r="F20">
        <f t="shared" ref="F20:F21" si="23">SUM(F19,8)</f>
        <v>596</v>
      </c>
      <c r="G20" s="9">
        <f t="shared" si="2"/>
        <v>13636.160714285714</v>
      </c>
      <c r="H20">
        <f t="shared" si="20"/>
        <v>590</v>
      </c>
      <c r="I20" s="9">
        <f t="shared" si="6"/>
        <v>13589.887640449439</v>
      </c>
      <c r="J20">
        <f>SUM(J19,7)</f>
        <v>583</v>
      </c>
      <c r="K20" s="9">
        <f t="shared" si="9"/>
        <v>13535.107587768971</v>
      </c>
      <c r="L20">
        <f>SUM(L19,7)</f>
        <v>582</v>
      </c>
      <c r="M20" s="9">
        <f t="shared" si="10"/>
        <v>13527.210884353743</v>
      </c>
      <c r="N20" s="19">
        <f t="shared" si="21"/>
        <v>652</v>
      </c>
      <c r="O20" s="20">
        <f t="shared" si="13"/>
        <v>14039.915966386554</v>
      </c>
    </row>
    <row r="21" spans="1:15" x14ac:dyDescent="0.25">
      <c r="A21">
        <v>21500</v>
      </c>
      <c r="B21">
        <v>0</v>
      </c>
      <c r="C21" s="9">
        <f t="shared" si="19"/>
        <v>0</v>
      </c>
      <c r="D21" s="19">
        <f t="shared" si="22"/>
        <v>597</v>
      </c>
      <c r="E21" s="20">
        <f t="shared" si="1"/>
        <v>14309.364548494983</v>
      </c>
      <c r="F21">
        <f t="shared" si="23"/>
        <v>604</v>
      </c>
      <c r="G21" s="9">
        <f t="shared" si="2"/>
        <v>14365.044247787611</v>
      </c>
      <c r="H21">
        <f t="shared" si="20"/>
        <v>598</v>
      </c>
      <c r="I21" s="9">
        <f t="shared" si="6"/>
        <v>14317.371937639198</v>
      </c>
      <c r="J21">
        <f t="shared" ref="J21:J24" si="24">SUM(J20,7)</f>
        <v>590</v>
      </c>
      <c r="K21" s="9">
        <f t="shared" si="9"/>
        <v>14252.808988764045</v>
      </c>
      <c r="L21">
        <f t="shared" ref="L21:L22" si="25">SUM(L20,7)</f>
        <v>589</v>
      </c>
      <c r="M21" s="9">
        <f t="shared" si="10"/>
        <v>14244.656917885266</v>
      </c>
      <c r="N21" s="19">
        <f>SUM(N20,17)</f>
        <v>669</v>
      </c>
      <c r="O21" s="20">
        <f t="shared" si="13"/>
        <v>14843.653250773992</v>
      </c>
    </row>
    <row r="22" spans="1:15" x14ac:dyDescent="0.25">
      <c r="A22">
        <v>22500</v>
      </c>
      <c r="B22">
        <v>0</v>
      </c>
      <c r="C22" s="9">
        <f t="shared" si="19"/>
        <v>0</v>
      </c>
      <c r="D22" s="19">
        <f t="shared" si="22"/>
        <v>603</v>
      </c>
      <c r="E22" s="20">
        <f t="shared" si="1"/>
        <v>15024.916943521594</v>
      </c>
      <c r="F22">
        <f>SUM(F21,6)</f>
        <v>610</v>
      </c>
      <c r="G22" s="9">
        <f t="shared" si="2"/>
        <v>15082.417582417582</v>
      </c>
      <c r="H22">
        <f t="shared" si="20"/>
        <v>606</v>
      </c>
      <c r="I22" s="9">
        <f t="shared" si="6"/>
        <v>15049.668874172185</v>
      </c>
      <c r="J22">
        <f t="shared" si="24"/>
        <v>597</v>
      </c>
      <c r="K22" s="9">
        <f t="shared" si="9"/>
        <v>14974.916387959865</v>
      </c>
      <c r="L22">
        <f t="shared" si="25"/>
        <v>596</v>
      </c>
      <c r="M22" s="9">
        <f t="shared" si="10"/>
        <v>14966.517857142857</v>
      </c>
      <c r="N22" s="19">
        <f t="shared" ref="N22:N24" si="26">SUM(N21,17)</f>
        <v>686</v>
      </c>
      <c r="O22" s="20">
        <f t="shared" si="13"/>
        <v>15654.158215010142</v>
      </c>
    </row>
    <row r="23" spans="1:15" x14ac:dyDescent="0.25">
      <c r="A23">
        <v>23500</v>
      </c>
      <c r="B23">
        <v>0</v>
      </c>
      <c r="C23" s="9">
        <f t="shared" si="19"/>
        <v>0</v>
      </c>
      <c r="D23" s="19">
        <f t="shared" si="22"/>
        <v>609</v>
      </c>
      <c r="E23" s="20">
        <f t="shared" si="1"/>
        <v>15744.224422442243</v>
      </c>
      <c r="F23">
        <f>SUM(F22,6)</f>
        <v>616</v>
      </c>
      <c r="G23" s="9">
        <f t="shared" si="2"/>
        <v>15803.493449781659</v>
      </c>
      <c r="H23">
        <f t="shared" si="20"/>
        <v>614</v>
      </c>
      <c r="I23" s="9">
        <f t="shared" si="6"/>
        <v>15786.652078774616</v>
      </c>
      <c r="J23">
        <f t="shared" si="24"/>
        <v>604</v>
      </c>
      <c r="K23" s="9">
        <f t="shared" si="9"/>
        <v>15701.327433628318</v>
      </c>
      <c r="L23">
        <f>SUM(L22,5)</f>
        <v>601</v>
      </c>
      <c r="M23" s="9">
        <f t="shared" si="10"/>
        <v>15675.360710321866</v>
      </c>
      <c r="N23" s="19">
        <f t="shared" si="26"/>
        <v>703</v>
      </c>
      <c r="O23" s="20">
        <f t="shared" si="13"/>
        <v>16471.086739780658</v>
      </c>
    </row>
    <row r="24" spans="1:15" x14ac:dyDescent="0.25">
      <c r="A24">
        <v>24500</v>
      </c>
      <c r="B24">
        <v>0</v>
      </c>
      <c r="C24" s="9">
        <f t="shared" si="19"/>
        <v>0</v>
      </c>
      <c r="D24" s="19">
        <f t="shared" si="22"/>
        <v>615</v>
      </c>
      <c r="E24" s="20">
        <f t="shared" si="1"/>
        <v>16467.213114754097</v>
      </c>
      <c r="F24">
        <f t="shared" ref="F24" si="27">SUM(F23,6)</f>
        <v>622</v>
      </c>
      <c r="G24" s="9">
        <f t="shared" si="2"/>
        <v>16528.199566160521</v>
      </c>
      <c r="H24">
        <f t="shared" si="20"/>
        <v>622</v>
      </c>
      <c r="I24" s="9">
        <f t="shared" si="6"/>
        <v>16528.199566160521</v>
      </c>
      <c r="J24">
        <f t="shared" si="24"/>
        <v>611</v>
      </c>
      <c r="K24" s="9">
        <f t="shared" si="9"/>
        <v>16431.942919868277</v>
      </c>
      <c r="L24">
        <f t="shared" ref="L24:L28" si="28">SUM(L23,5)</f>
        <v>606</v>
      </c>
      <c r="M24" s="9">
        <f t="shared" si="10"/>
        <v>16387.417218543047</v>
      </c>
      <c r="N24" s="19">
        <f t="shared" si="26"/>
        <v>720</v>
      </c>
      <c r="O24" s="20">
        <f t="shared" si="13"/>
        <v>17294.117647058822</v>
      </c>
    </row>
    <row r="25" spans="1:15" x14ac:dyDescent="0.25">
      <c r="A25">
        <v>25500</v>
      </c>
      <c r="B25">
        <v>0</v>
      </c>
      <c r="C25" s="9">
        <f t="shared" si="19"/>
        <v>0</v>
      </c>
      <c r="D25" s="19">
        <f t="shared" si="22"/>
        <v>621</v>
      </c>
      <c r="E25" s="20">
        <f t="shared" si="1"/>
        <v>17193.811074918569</v>
      </c>
      <c r="F25">
        <f>SUM(F24,4)</f>
        <v>626</v>
      </c>
      <c r="G25" s="9">
        <f t="shared" si="2"/>
        <v>17238.660907127432</v>
      </c>
      <c r="H25">
        <f t="shared" si="20"/>
        <v>630</v>
      </c>
      <c r="I25" s="9">
        <f t="shared" si="6"/>
        <v>17274.193548387098</v>
      </c>
      <c r="J25">
        <f>SUM(J24,6)</f>
        <v>617</v>
      </c>
      <c r="K25" s="9">
        <f t="shared" si="9"/>
        <v>17157.579062159217</v>
      </c>
      <c r="L25">
        <f t="shared" si="28"/>
        <v>611</v>
      </c>
      <c r="M25" s="9">
        <f t="shared" si="10"/>
        <v>17102.634467618002</v>
      </c>
      <c r="N25" s="19">
        <f>SUM(N24,18)</f>
        <v>738</v>
      </c>
      <c r="O25" s="20">
        <f t="shared" si="13"/>
        <v>18130.057803468208</v>
      </c>
    </row>
    <row r="26" spans="1:15" x14ac:dyDescent="0.25">
      <c r="A26">
        <v>26500</v>
      </c>
      <c r="B26">
        <v>0</v>
      </c>
      <c r="C26" s="9">
        <f t="shared" si="19"/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f>SUM(J25,6)</f>
        <v>623</v>
      </c>
      <c r="K26" s="9">
        <f t="shared" si="9"/>
        <v>17886.782231852652</v>
      </c>
      <c r="L26">
        <f t="shared" si="28"/>
        <v>616</v>
      </c>
      <c r="M26" s="9">
        <f t="shared" si="10"/>
        <v>17820.960698689956</v>
      </c>
      <c r="N26" s="19">
        <f>SUM(N25,18)</f>
        <v>756</v>
      </c>
      <c r="O26" s="20">
        <f t="shared" si="13"/>
        <v>18971.590909090908</v>
      </c>
    </row>
    <row r="27" spans="1:15" x14ac:dyDescent="0.25">
      <c r="A27">
        <v>27500</v>
      </c>
      <c r="B27">
        <v>0</v>
      </c>
      <c r="C27" s="9">
        <f t="shared" si="19"/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f t="shared" si="28"/>
        <v>621</v>
      </c>
      <c r="M27" s="9">
        <f t="shared" si="10"/>
        <v>18542.345276872966</v>
      </c>
      <c r="N27" s="19">
        <f t="shared" ref="N27:N28" si="29">SUM(N26,18)</f>
        <v>774</v>
      </c>
      <c r="O27" s="20">
        <f t="shared" si="13"/>
        <v>19818.435754189944</v>
      </c>
    </row>
    <row r="28" spans="1:15" x14ac:dyDescent="0.25">
      <c r="A28">
        <v>28500</v>
      </c>
      <c r="B28">
        <v>0</v>
      </c>
      <c r="C28" s="9">
        <f t="shared" si="19"/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f t="shared" si="28"/>
        <v>626</v>
      </c>
      <c r="M28" s="9">
        <f t="shared" si="10"/>
        <v>19266.738660907129</v>
      </c>
      <c r="N28" s="19">
        <f t="shared" si="29"/>
        <v>792</v>
      </c>
      <c r="O28" s="20">
        <f t="shared" si="13"/>
        <v>20670.329670329669</v>
      </c>
    </row>
    <row r="29" spans="1:15" x14ac:dyDescent="0.25">
      <c r="A29">
        <v>29500</v>
      </c>
      <c r="B29">
        <v>0</v>
      </c>
      <c r="C29" s="9">
        <f t="shared" si="19"/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810</v>
      </c>
      <c r="O29" s="20">
        <f t="shared" si="13"/>
        <v>21527.027027027027</v>
      </c>
    </row>
    <row r="30" spans="1:15" x14ac:dyDescent="0.25">
      <c r="A30">
        <v>30500</v>
      </c>
      <c r="B30">
        <v>0</v>
      </c>
      <c r="C30" s="9">
        <f t="shared" si="19"/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9">
        <v>820</v>
      </c>
      <c r="O30" s="20">
        <f t="shared" si="13"/>
        <v>22330.357142857141</v>
      </c>
    </row>
    <row r="31" spans="1:15" x14ac:dyDescent="0.25">
      <c r="A31">
        <v>31500</v>
      </c>
      <c r="B31">
        <v>0</v>
      </c>
      <c r="C31" s="9">
        <f t="shared" si="19"/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9">
        <v>830</v>
      </c>
      <c r="O31" s="20">
        <f t="shared" si="13"/>
        <v>23137.16814159292</v>
      </c>
    </row>
    <row r="32" spans="1:15" x14ac:dyDescent="0.25">
      <c r="A32">
        <v>32500</v>
      </c>
      <c r="B32">
        <v>0</v>
      </c>
      <c r="C32" s="9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19">
        <v>840</v>
      </c>
      <c r="O32" s="20">
        <f t="shared" si="13"/>
        <v>23947.368421052633</v>
      </c>
    </row>
    <row r="33" spans="1:26" x14ac:dyDescent="0.25">
      <c r="A33">
        <v>33500</v>
      </c>
      <c r="B33">
        <v>0</v>
      </c>
      <c r="C33" s="9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19">
        <v>850</v>
      </c>
      <c r="O33" s="20">
        <f t="shared" si="13"/>
        <v>24760.869565217392</v>
      </c>
    </row>
    <row r="34" spans="1:26" x14ac:dyDescent="0.25">
      <c r="A34">
        <v>34500</v>
      </c>
      <c r="B34">
        <v>0</v>
      </c>
      <c r="C34" s="9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26" x14ac:dyDescent="0.25">
      <c r="A35">
        <v>35500</v>
      </c>
      <c r="B35">
        <v>0</v>
      </c>
      <c r="C35" s="9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26" x14ac:dyDescent="0.25">
      <c r="A36">
        <v>36500</v>
      </c>
      <c r="B36">
        <v>0</v>
      </c>
      <c r="C36" s="9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26" x14ac:dyDescent="0.25">
      <c r="A37">
        <v>37500</v>
      </c>
      <c r="B37">
        <v>0</v>
      </c>
      <c r="C37" s="9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26" x14ac:dyDescent="0.25">
      <c r="A38" t="s">
        <v>51</v>
      </c>
      <c r="C38">
        <v>6100</v>
      </c>
      <c r="E38">
        <v>6500</v>
      </c>
      <c r="G38">
        <v>7500</v>
      </c>
      <c r="I38">
        <v>8500</v>
      </c>
      <c r="K38">
        <v>9500</v>
      </c>
      <c r="M38">
        <v>10500</v>
      </c>
      <c r="O38">
        <v>12500</v>
      </c>
    </row>
    <row r="39" spans="1:26" x14ac:dyDescent="0.25">
      <c r="A39" t="s">
        <v>50</v>
      </c>
      <c r="C39">
        <v>17500</v>
      </c>
      <c r="E39" s="19">
        <v>25500</v>
      </c>
      <c r="G39">
        <v>25500</v>
      </c>
      <c r="I39">
        <v>25500</v>
      </c>
      <c r="K39">
        <v>26500</v>
      </c>
      <c r="M39">
        <v>28500</v>
      </c>
      <c r="O39">
        <v>33500</v>
      </c>
    </row>
    <row r="40" spans="1:26" x14ac:dyDescent="0.25">
      <c r="A40" t="s">
        <v>52</v>
      </c>
      <c r="C40">
        <v>3500</v>
      </c>
      <c r="E40">
        <v>3900</v>
      </c>
      <c r="G40">
        <v>4500</v>
      </c>
      <c r="I40" s="19">
        <v>5000</v>
      </c>
      <c r="K40" s="19">
        <v>5800</v>
      </c>
      <c r="M40" s="19">
        <v>6500</v>
      </c>
      <c r="O40" s="19">
        <v>7900</v>
      </c>
    </row>
    <row r="41" spans="1:26" x14ac:dyDescent="0.25">
      <c r="A41" t="s">
        <v>53</v>
      </c>
      <c r="C41" s="19">
        <v>11500</v>
      </c>
      <c r="E41" s="19">
        <v>17200</v>
      </c>
      <c r="G41">
        <v>17310</v>
      </c>
      <c r="I41">
        <v>17340</v>
      </c>
      <c r="K41">
        <v>18035</v>
      </c>
      <c r="M41">
        <v>19500</v>
      </c>
      <c r="O41">
        <v>24800</v>
      </c>
    </row>
    <row r="42" spans="1:26" ht="29.25" customHeight="1" x14ac:dyDescent="0.25">
      <c r="A42" s="25" t="s">
        <v>55</v>
      </c>
      <c r="B42" s="26"/>
      <c r="C42" s="19">
        <v>14000</v>
      </c>
      <c r="E42">
        <v>14400</v>
      </c>
      <c r="G42" s="19">
        <v>15400</v>
      </c>
      <c r="I42">
        <v>16400</v>
      </c>
      <c r="K42" s="19">
        <v>17400</v>
      </c>
      <c r="M42" s="19">
        <v>18400</v>
      </c>
      <c r="O42" s="19">
        <v>20400</v>
      </c>
    </row>
    <row r="43" spans="1:26" ht="29.25" customHeight="1" x14ac:dyDescent="0.25">
      <c r="A43" s="25" t="s">
        <v>65</v>
      </c>
      <c r="B43" s="26"/>
      <c r="C43" s="19">
        <v>11000</v>
      </c>
      <c r="E43">
        <v>11400</v>
      </c>
      <c r="G43" s="19">
        <v>12400</v>
      </c>
      <c r="I43" s="19">
        <v>13400</v>
      </c>
      <c r="K43" s="19">
        <v>14400</v>
      </c>
      <c r="M43" s="19">
        <v>15400</v>
      </c>
      <c r="O43" s="19">
        <v>17400</v>
      </c>
    </row>
    <row r="44" spans="1:26" ht="29.25" customHeight="1" x14ac:dyDescent="0.25">
      <c r="A44" s="25" t="s">
        <v>58</v>
      </c>
      <c r="B44" s="26"/>
      <c r="C44" s="19">
        <v>7100</v>
      </c>
      <c r="E44">
        <v>7100</v>
      </c>
      <c r="G44">
        <v>8100</v>
      </c>
      <c r="I44">
        <v>9100</v>
      </c>
      <c r="K44">
        <v>10100</v>
      </c>
      <c r="M44">
        <v>11100</v>
      </c>
      <c r="O44">
        <v>13100</v>
      </c>
    </row>
    <row r="45" spans="1:26" ht="29.25" customHeight="1" x14ac:dyDescent="0.25">
      <c r="A45" s="17"/>
      <c r="B45" s="18"/>
    </row>
    <row r="46" spans="1:26" ht="38.25" customHeight="1" x14ac:dyDescent="0.25">
      <c r="A46" s="25" t="s">
        <v>66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25">
      <c r="A47" s="25" t="s">
        <v>39</v>
      </c>
      <c r="B47" s="24" t="s">
        <v>64</v>
      </c>
      <c r="C47" s="24"/>
      <c r="D47" s="24" t="s">
        <v>63</v>
      </c>
      <c r="E47" s="24"/>
      <c r="F47" s="24" t="s">
        <v>43</v>
      </c>
      <c r="G47" s="24"/>
      <c r="H47" s="24" t="s">
        <v>44</v>
      </c>
      <c r="I47" s="24"/>
      <c r="J47" s="24" t="s">
        <v>45</v>
      </c>
      <c r="K47" s="24"/>
      <c r="L47" s="24" t="s">
        <v>46</v>
      </c>
      <c r="M47" s="24"/>
      <c r="N47" s="24" t="s">
        <v>47</v>
      </c>
      <c r="O47" s="24"/>
    </row>
    <row r="48" spans="1:26" x14ac:dyDescent="0.25">
      <c r="A48" s="25"/>
      <c r="B48" t="s">
        <v>40</v>
      </c>
      <c r="C48" t="s">
        <v>41</v>
      </c>
      <c r="D48" t="s">
        <v>40</v>
      </c>
      <c r="E48" t="s">
        <v>41</v>
      </c>
      <c r="F48" t="s">
        <v>40</v>
      </c>
      <c r="G48" t="s">
        <v>41</v>
      </c>
      <c r="H48" t="s">
        <v>40</v>
      </c>
      <c r="I48" t="s">
        <v>41</v>
      </c>
      <c r="J48" t="s">
        <v>40</v>
      </c>
      <c r="K48" t="s">
        <v>41</v>
      </c>
      <c r="L48" t="s">
        <v>40</v>
      </c>
      <c r="M48" t="s">
        <v>41</v>
      </c>
      <c r="N48" t="s">
        <v>40</v>
      </c>
      <c r="O48" t="s">
        <v>41</v>
      </c>
    </row>
    <row r="49" spans="1:15" x14ac:dyDescent="0.25">
      <c r="A49" s="4">
        <v>4800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s="4">
        <v>5500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>
        <v>6800</v>
      </c>
      <c r="B51">
        <v>450</v>
      </c>
      <c r="C51" s="9">
        <f>PRODUCT(A51,B51,1/(420+B51))</f>
        <v>3517.2413793103447</v>
      </c>
      <c r="D51">
        <v>450</v>
      </c>
      <c r="E51" s="9">
        <f t="shared" ref="E51:E71" si="30">PRODUCT(A51,D51,1/(420+D51))</f>
        <v>3517.2413793103447</v>
      </c>
      <c r="F51">
        <v>0</v>
      </c>
      <c r="G51" s="9">
        <v>0</v>
      </c>
      <c r="H51">
        <v>0</v>
      </c>
      <c r="I51" s="9">
        <v>0</v>
      </c>
      <c r="J51">
        <v>0</v>
      </c>
      <c r="K51" s="9">
        <v>0</v>
      </c>
      <c r="L51">
        <v>0</v>
      </c>
      <c r="M51" s="9">
        <v>0</v>
      </c>
      <c r="N51">
        <v>0</v>
      </c>
      <c r="O51" s="9">
        <v>0</v>
      </c>
    </row>
    <row r="52" spans="1:15" x14ac:dyDescent="0.25">
      <c r="A52">
        <v>7500</v>
      </c>
      <c r="B52">
        <v>465</v>
      </c>
      <c r="C52" s="9">
        <f t="shared" ref="C52:C64" si="31">PRODUCT(A52,B52,1/(420+B52))</f>
        <v>3940.6779661016949</v>
      </c>
      <c r="D52">
        <v>465</v>
      </c>
      <c r="E52" s="9">
        <f t="shared" si="30"/>
        <v>3940.6779661016949</v>
      </c>
      <c r="F52">
        <v>460</v>
      </c>
      <c r="G52" s="9">
        <f>PRODUCT(A52,F52,1/(420+F52))</f>
        <v>3920.454545454545</v>
      </c>
      <c r="H52">
        <v>0</v>
      </c>
      <c r="I52" s="9">
        <v>0</v>
      </c>
      <c r="J52">
        <v>0</v>
      </c>
      <c r="K52" s="9">
        <v>0</v>
      </c>
      <c r="L52">
        <v>0</v>
      </c>
      <c r="M52" s="9">
        <v>0</v>
      </c>
      <c r="N52">
        <v>0</v>
      </c>
      <c r="O52" s="9">
        <v>0</v>
      </c>
    </row>
    <row r="53" spans="1:15" x14ac:dyDescent="0.25">
      <c r="A53">
        <v>8500</v>
      </c>
      <c r="B53">
        <v>480</v>
      </c>
      <c r="C53" s="9">
        <f t="shared" si="31"/>
        <v>4533.333333333333</v>
      </c>
      <c r="D53">
        <f t="shared" ref="D53:D54" si="32">SUM(D52,15)</f>
        <v>480</v>
      </c>
      <c r="E53" s="9">
        <f t="shared" si="30"/>
        <v>4533.333333333333</v>
      </c>
      <c r="F53">
        <f>SUM(F52,15)</f>
        <v>475</v>
      </c>
      <c r="G53" s="9">
        <f t="shared" ref="G53:G73" si="33">PRODUCT(A53,F53,1/(420+F53))</f>
        <v>4511.1731843575417</v>
      </c>
      <c r="H53">
        <v>470</v>
      </c>
      <c r="I53" s="9">
        <f>PRODUCT(A53,H53,1/(H53+420))</f>
        <v>4488.7640449438204</v>
      </c>
      <c r="J53">
        <v>0</v>
      </c>
      <c r="K53" s="9">
        <v>0</v>
      </c>
      <c r="L53">
        <v>0</v>
      </c>
      <c r="M53" s="9">
        <v>0</v>
      </c>
      <c r="N53">
        <v>0</v>
      </c>
      <c r="O53" s="9">
        <v>0</v>
      </c>
    </row>
    <row r="54" spans="1:15" x14ac:dyDescent="0.25">
      <c r="A54">
        <v>9500</v>
      </c>
      <c r="B54">
        <v>495</v>
      </c>
      <c r="C54" s="9">
        <f t="shared" si="31"/>
        <v>5139.3442622950815</v>
      </c>
      <c r="D54">
        <f t="shared" si="32"/>
        <v>495</v>
      </c>
      <c r="E54" s="9">
        <f t="shared" si="30"/>
        <v>5139.3442622950815</v>
      </c>
      <c r="F54">
        <f t="shared" ref="F54" si="34">SUM(F53,15)</f>
        <v>490</v>
      </c>
      <c r="G54" s="9">
        <f t="shared" si="33"/>
        <v>5115.3846153846152</v>
      </c>
      <c r="H54">
        <f>SUM(H53,14)</f>
        <v>484</v>
      </c>
      <c r="I54" s="9">
        <f t="shared" ref="I54:I74" si="35">PRODUCT(A54,H54,1/(H54+420))</f>
        <v>5086.283185840708</v>
      </c>
      <c r="J54">
        <v>460</v>
      </c>
      <c r="K54" s="9">
        <f>PRODUCT(A54,J54,1/(J54+420))</f>
        <v>4965.909090909091</v>
      </c>
      <c r="L54">
        <v>0</v>
      </c>
      <c r="M54" s="9">
        <v>0</v>
      </c>
      <c r="N54">
        <v>0</v>
      </c>
      <c r="O54" s="9">
        <v>0</v>
      </c>
    </row>
    <row r="55" spans="1:15" x14ac:dyDescent="0.25">
      <c r="A55">
        <v>10500</v>
      </c>
      <c r="B55">
        <v>505</v>
      </c>
      <c r="C55" s="9">
        <f t="shared" si="31"/>
        <v>5732.4324324324325</v>
      </c>
      <c r="D55">
        <f>SUM(D54,10)</f>
        <v>505</v>
      </c>
      <c r="E55" s="9">
        <f t="shared" si="30"/>
        <v>5732.4324324324325</v>
      </c>
      <c r="F55">
        <f>SUM(F54,10)</f>
        <v>500</v>
      </c>
      <c r="G55" s="9">
        <f t="shared" si="33"/>
        <v>5706.521739130435</v>
      </c>
      <c r="H55">
        <f>SUM(H54,10)</f>
        <v>494</v>
      </c>
      <c r="I55" s="9">
        <f t="shared" si="35"/>
        <v>5675.0547045951862</v>
      </c>
      <c r="J55">
        <f>SUM(J54,9)</f>
        <v>469</v>
      </c>
      <c r="K55" s="9">
        <f t="shared" ref="K55:K75" si="36">PRODUCT(A55,J55,1/(J55+420))</f>
        <v>5539.3700787401576</v>
      </c>
      <c r="L55">
        <v>470</v>
      </c>
      <c r="M55" s="9">
        <f>PRODUCT(A55,L55,1/(L55+420))</f>
        <v>5544.9438202247193</v>
      </c>
      <c r="N55">
        <v>0</v>
      </c>
      <c r="O55" s="9">
        <v>0</v>
      </c>
    </row>
    <row r="56" spans="1:15" x14ac:dyDescent="0.25">
      <c r="A56">
        <v>11500</v>
      </c>
      <c r="B56">
        <v>515</v>
      </c>
      <c r="C56" s="9">
        <f t="shared" si="31"/>
        <v>6334.2245989304811</v>
      </c>
      <c r="D56">
        <f t="shared" ref="D56:D71" si="37">SUM(D55,10)</f>
        <v>515</v>
      </c>
      <c r="E56" s="9">
        <f t="shared" si="30"/>
        <v>6334.2245989304811</v>
      </c>
      <c r="F56">
        <f t="shared" ref="F56:F63" si="38">SUM(F55,10)</f>
        <v>510</v>
      </c>
      <c r="G56" s="9">
        <f t="shared" si="33"/>
        <v>6306.4516129032254</v>
      </c>
      <c r="H56">
        <f t="shared" ref="H56:H57" si="39">SUM(H55,10)</f>
        <v>504</v>
      </c>
      <c r="I56" s="9">
        <f t="shared" si="35"/>
        <v>6272.727272727273</v>
      </c>
      <c r="J56">
        <f t="shared" ref="J56:J64" si="40">SUM(J55,9)</f>
        <v>478</v>
      </c>
      <c r="K56" s="9">
        <f t="shared" si="36"/>
        <v>6121.3808463251671</v>
      </c>
      <c r="L56">
        <f>SUM(L55,9)</f>
        <v>479</v>
      </c>
      <c r="M56" s="9">
        <f t="shared" ref="M56:M76" si="41">PRODUCT(A56,L56,1/(L56+420))</f>
        <v>6127.3637374860955</v>
      </c>
      <c r="N56">
        <v>0</v>
      </c>
      <c r="O56" s="9">
        <v>0</v>
      </c>
    </row>
    <row r="57" spans="1:15" x14ac:dyDescent="0.25">
      <c r="A57">
        <v>12500</v>
      </c>
      <c r="B57">
        <v>525</v>
      </c>
      <c r="C57" s="9">
        <f t="shared" si="31"/>
        <v>6944.4444444444453</v>
      </c>
      <c r="D57">
        <f t="shared" si="37"/>
        <v>525</v>
      </c>
      <c r="E57" s="9">
        <f t="shared" si="30"/>
        <v>6944.4444444444453</v>
      </c>
      <c r="F57">
        <f t="shared" si="38"/>
        <v>520</v>
      </c>
      <c r="G57" s="9">
        <f t="shared" si="33"/>
        <v>6914.8936170212764</v>
      </c>
      <c r="H57">
        <f t="shared" si="39"/>
        <v>514</v>
      </c>
      <c r="I57" s="9">
        <f t="shared" si="35"/>
        <v>6879.0149892933623</v>
      </c>
      <c r="J57">
        <f t="shared" si="40"/>
        <v>487</v>
      </c>
      <c r="K57" s="9">
        <f t="shared" si="36"/>
        <v>6711.6868798235946</v>
      </c>
      <c r="L57">
        <f t="shared" ref="L57:L64" si="42">SUM(L56,9)</f>
        <v>488</v>
      </c>
      <c r="M57" s="9">
        <f t="shared" si="41"/>
        <v>6718.0616740088108</v>
      </c>
      <c r="N57">
        <v>0</v>
      </c>
      <c r="O57" s="9">
        <v>0</v>
      </c>
    </row>
    <row r="58" spans="1:15" x14ac:dyDescent="0.25">
      <c r="A58">
        <v>13500</v>
      </c>
      <c r="B58">
        <v>535</v>
      </c>
      <c r="C58" s="9">
        <f t="shared" si="31"/>
        <v>7562.8272251308908</v>
      </c>
      <c r="D58">
        <f t="shared" si="37"/>
        <v>535</v>
      </c>
      <c r="E58" s="9">
        <f t="shared" si="30"/>
        <v>7562.8272251308908</v>
      </c>
      <c r="F58">
        <f t="shared" si="38"/>
        <v>530</v>
      </c>
      <c r="G58" s="9">
        <f t="shared" si="33"/>
        <v>7531.5789473684208</v>
      </c>
      <c r="H58">
        <f>SUM(H57,9)</f>
        <v>523</v>
      </c>
      <c r="I58" s="9">
        <f t="shared" si="35"/>
        <v>7487.2746553552497</v>
      </c>
      <c r="J58">
        <f t="shared" si="40"/>
        <v>496</v>
      </c>
      <c r="K58" s="9">
        <f t="shared" si="36"/>
        <v>7310.04366812227</v>
      </c>
      <c r="L58">
        <f t="shared" si="42"/>
        <v>497</v>
      </c>
      <c r="M58" s="9">
        <f t="shared" si="41"/>
        <v>7316.7938931297713</v>
      </c>
      <c r="N58">
        <v>0</v>
      </c>
      <c r="O58" s="9">
        <v>0</v>
      </c>
    </row>
    <row r="59" spans="1:15" x14ac:dyDescent="0.25">
      <c r="A59">
        <v>14500</v>
      </c>
      <c r="B59">
        <v>545</v>
      </c>
      <c r="C59" s="9">
        <f t="shared" si="31"/>
        <v>8189.1191709844552</v>
      </c>
      <c r="D59">
        <f t="shared" si="37"/>
        <v>545</v>
      </c>
      <c r="E59" s="9">
        <f t="shared" si="30"/>
        <v>8189.1191709844552</v>
      </c>
      <c r="F59">
        <f>SUM(F58,10)</f>
        <v>540</v>
      </c>
      <c r="G59" s="9">
        <f t="shared" si="33"/>
        <v>8156.25</v>
      </c>
      <c r="H59">
        <f t="shared" ref="H59:H61" si="43">SUM(H58,9)</f>
        <v>532</v>
      </c>
      <c r="I59" s="9">
        <f t="shared" si="35"/>
        <v>8102.9411764705883</v>
      </c>
      <c r="J59">
        <f t="shared" si="40"/>
        <v>505</v>
      </c>
      <c r="K59" s="9">
        <f t="shared" si="36"/>
        <v>7916.2162162162167</v>
      </c>
      <c r="L59">
        <f t="shared" si="42"/>
        <v>506</v>
      </c>
      <c r="M59" s="9">
        <f t="shared" si="41"/>
        <v>7923.3261339092878</v>
      </c>
      <c r="N59">
        <v>0</v>
      </c>
      <c r="O59" s="9">
        <v>0</v>
      </c>
    </row>
    <row r="60" spans="1:15" x14ac:dyDescent="0.25">
      <c r="A60">
        <v>15500</v>
      </c>
      <c r="B60">
        <v>555</v>
      </c>
      <c r="C60" s="9">
        <f t="shared" si="31"/>
        <v>8823.0769230769238</v>
      </c>
      <c r="D60">
        <f t="shared" si="37"/>
        <v>555</v>
      </c>
      <c r="E60" s="9">
        <f t="shared" si="30"/>
        <v>8823.0769230769238</v>
      </c>
      <c r="F60">
        <f t="shared" si="38"/>
        <v>550</v>
      </c>
      <c r="G60" s="9">
        <f t="shared" si="33"/>
        <v>8788.6597938144332</v>
      </c>
      <c r="H60">
        <f t="shared" si="43"/>
        <v>541</v>
      </c>
      <c r="I60" s="9">
        <f t="shared" si="35"/>
        <v>8725.8064516129034</v>
      </c>
      <c r="J60">
        <f t="shared" si="40"/>
        <v>514</v>
      </c>
      <c r="K60" s="9">
        <f t="shared" si="36"/>
        <v>8529.9785867237697</v>
      </c>
      <c r="L60">
        <f>SUM(L59,9)</f>
        <v>515</v>
      </c>
      <c r="M60" s="9">
        <f t="shared" si="41"/>
        <v>8537.4331550802144</v>
      </c>
      <c r="N60">
        <v>0</v>
      </c>
      <c r="O60" s="9">
        <v>0</v>
      </c>
    </row>
    <row r="61" spans="1:15" x14ac:dyDescent="0.25">
      <c r="A61">
        <v>16500</v>
      </c>
      <c r="B61">
        <v>565</v>
      </c>
      <c r="C61" s="9">
        <f t="shared" si="31"/>
        <v>9464.4670050761433</v>
      </c>
      <c r="D61" s="19">
        <f t="shared" si="37"/>
        <v>565</v>
      </c>
      <c r="E61" s="9">
        <f t="shared" si="30"/>
        <v>9464.4670050761433</v>
      </c>
      <c r="F61">
        <f>SUM(F60,10)</f>
        <v>560</v>
      </c>
      <c r="G61" s="9">
        <f t="shared" si="33"/>
        <v>9428.5714285714294</v>
      </c>
      <c r="H61">
        <f t="shared" si="43"/>
        <v>550</v>
      </c>
      <c r="I61" s="9">
        <f t="shared" si="35"/>
        <v>9355.6701030927834</v>
      </c>
      <c r="J61">
        <f t="shared" si="40"/>
        <v>523</v>
      </c>
      <c r="K61" s="9">
        <f t="shared" si="36"/>
        <v>9151.1134676564161</v>
      </c>
      <c r="L61">
        <f t="shared" si="42"/>
        <v>524</v>
      </c>
      <c r="M61" s="9">
        <f t="shared" si="41"/>
        <v>9158.8983050847455</v>
      </c>
      <c r="N61">
        <v>0</v>
      </c>
      <c r="O61" s="9">
        <v>0</v>
      </c>
    </row>
    <row r="62" spans="1:15" x14ac:dyDescent="0.25">
      <c r="A62">
        <v>17500</v>
      </c>
      <c r="B62">
        <v>575</v>
      </c>
      <c r="C62" s="9">
        <f t="shared" si="31"/>
        <v>10113.065326633166</v>
      </c>
      <c r="D62" s="19">
        <f t="shared" si="37"/>
        <v>575</v>
      </c>
      <c r="E62" s="9">
        <f t="shared" si="30"/>
        <v>10113.065326633166</v>
      </c>
      <c r="F62">
        <f t="shared" si="38"/>
        <v>570</v>
      </c>
      <c r="G62" s="9">
        <f t="shared" si="33"/>
        <v>10075.757575757576</v>
      </c>
      <c r="H62">
        <f>SUM(H61,8)</f>
        <v>558</v>
      </c>
      <c r="I62" s="9">
        <f t="shared" si="35"/>
        <v>9984.6625766871166</v>
      </c>
      <c r="J62">
        <f t="shared" si="40"/>
        <v>532</v>
      </c>
      <c r="K62" s="9">
        <f t="shared" si="36"/>
        <v>9779.4117647058811</v>
      </c>
      <c r="L62">
        <f t="shared" si="42"/>
        <v>533</v>
      </c>
      <c r="M62" s="9">
        <f t="shared" si="41"/>
        <v>9787.5131164742925</v>
      </c>
      <c r="N62">
        <v>0</v>
      </c>
      <c r="O62" s="9">
        <v>0</v>
      </c>
    </row>
    <row r="63" spans="1:15" x14ac:dyDescent="0.25">
      <c r="A63">
        <v>18500</v>
      </c>
      <c r="B63">
        <v>585</v>
      </c>
      <c r="C63" s="9">
        <f t="shared" si="31"/>
        <v>10768.656716417911</v>
      </c>
      <c r="D63" s="19">
        <f t="shared" si="37"/>
        <v>585</v>
      </c>
      <c r="E63" s="9">
        <f t="shared" si="30"/>
        <v>10768.656716417911</v>
      </c>
      <c r="F63">
        <f t="shared" si="38"/>
        <v>580</v>
      </c>
      <c r="G63" s="9">
        <f t="shared" si="33"/>
        <v>10730</v>
      </c>
      <c r="H63">
        <f t="shared" ref="H63:H74" si="44">SUM(H62,8)</f>
        <v>566</v>
      </c>
      <c r="I63" s="9">
        <f t="shared" si="35"/>
        <v>10619.675456389452</v>
      </c>
      <c r="J63">
        <f t="shared" si="40"/>
        <v>541</v>
      </c>
      <c r="K63" s="9">
        <f t="shared" si="36"/>
        <v>10414.672216441208</v>
      </c>
      <c r="L63">
        <f>SUM(L62,9)</f>
        <v>542</v>
      </c>
      <c r="M63" s="9">
        <f t="shared" si="41"/>
        <v>10423.076923076924</v>
      </c>
      <c r="N63">
        <v>0</v>
      </c>
      <c r="O63" s="9">
        <v>0</v>
      </c>
    </row>
    <row r="64" spans="1:15" x14ac:dyDescent="0.25">
      <c r="A64">
        <v>19500</v>
      </c>
      <c r="B64">
        <v>595</v>
      </c>
      <c r="C64" s="9">
        <f t="shared" si="31"/>
        <v>11431.03448275862</v>
      </c>
      <c r="D64" s="19">
        <f t="shared" si="37"/>
        <v>595</v>
      </c>
      <c r="E64" s="9">
        <f t="shared" si="30"/>
        <v>11431.03448275862</v>
      </c>
      <c r="F64">
        <f>SUM(F63,8)</f>
        <v>588</v>
      </c>
      <c r="G64" s="9">
        <f t="shared" si="33"/>
        <v>11375</v>
      </c>
      <c r="H64">
        <f t="shared" si="44"/>
        <v>574</v>
      </c>
      <c r="I64" s="9">
        <f t="shared" si="35"/>
        <v>11260.563380281692</v>
      </c>
      <c r="J64">
        <f t="shared" si="40"/>
        <v>550</v>
      </c>
      <c r="K64" s="9">
        <f t="shared" si="36"/>
        <v>11056.701030927836</v>
      </c>
      <c r="L64">
        <f t="shared" si="42"/>
        <v>551</v>
      </c>
      <c r="M64" s="9">
        <f t="shared" si="41"/>
        <v>11065.3964984552</v>
      </c>
      <c r="N64">
        <v>0</v>
      </c>
      <c r="O64" s="9">
        <v>0</v>
      </c>
    </row>
    <row r="65" spans="1:15" x14ac:dyDescent="0.25">
      <c r="A65">
        <v>20500</v>
      </c>
      <c r="B65">
        <v>0</v>
      </c>
      <c r="C65" s="9">
        <f t="shared" ref="C65:C76" si="45">PRODUCT(A65,B66,1/(300+B66))</f>
        <v>0</v>
      </c>
      <c r="D65" s="19">
        <f t="shared" si="37"/>
        <v>605</v>
      </c>
      <c r="E65" s="9">
        <f t="shared" si="30"/>
        <v>12100</v>
      </c>
      <c r="F65">
        <f t="shared" ref="F65:F66" si="46">SUM(F64,8)</f>
        <v>596</v>
      </c>
      <c r="G65" s="9">
        <f t="shared" si="33"/>
        <v>12025.590551181102</v>
      </c>
      <c r="H65">
        <f t="shared" si="44"/>
        <v>582</v>
      </c>
      <c r="I65" s="9">
        <f t="shared" si="35"/>
        <v>11907.185628742514</v>
      </c>
      <c r="J65">
        <f>SUM(J64,7)</f>
        <v>557</v>
      </c>
      <c r="K65" s="9">
        <f t="shared" si="36"/>
        <v>11687.308085977482</v>
      </c>
      <c r="L65">
        <f>SUM(L64,7)</f>
        <v>558</v>
      </c>
      <c r="M65" s="9">
        <f t="shared" si="41"/>
        <v>11696.319018404909</v>
      </c>
      <c r="N65">
        <v>0</v>
      </c>
      <c r="O65" s="9">
        <v>0</v>
      </c>
    </row>
    <row r="66" spans="1:15" x14ac:dyDescent="0.25">
      <c r="A66">
        <v>21500</v>
      </c>
      <c r="B66">
        <v>0</v>
      </c>
      <c r="C66" s="9">
        <f t="shared" si="45"/>
        <v>0</v>
      </c>
      <c r="D66" s="19">
        <f t="shared" si="37"/>
        <v>615</v>
      </c>
      <c r="E66" s="9">
        <f t="shared" si="30"/>
        <v>12775.36231884058</v>
      </c>
      <c r="F66">
        <f t="shared" si="46"/>
        <v>604</v>
      </c>
      <c r="G66" s="9">
        <f t="shared" si="33"/>
        <v>12681.640625</v>
      </c>
      <c r="H66">
        <f t="shared" si="44"/>
        <v>590</v>
      </c>
      <c r="I66" s="9">
        <f t="shared" si="35"/>
        <v>12559.405940594059</v>
      </c>
      <c r="J66">
        <f t="shared" ref="J66:J69" si="47">SUM(J65,7)</f>
        <v>564</v>
      </c>
      <c r="K66" s="9">
        <f t="shared" si="36"/>
        <v>12323.170731707318</v>
      </c>
      <c r="L66">
        <f t="shared" ref="L66:L68" si="48">SUM(L65,7)</f>
        <v>565</v>
      </c>
      <c r="M66" s="9">
        <f t="shared" si="41"/>
        <v>12332.48730964467</v>
      </c>
      <c r="N66">
        <v>0</v>
      </c>
      <c r="O66" s="9">
        <v>0</v>
      </c>
    </row>
    <row r="67" spans="1:15" x14ac:dyDescent="0.25">
      <c r="A67">
        <v>22500</v>
      </c>
      <c r="B67">
        <v>0</v>
      </c>
      <c r="C67" s="9">
        <f t="shared" si="45"/>
        <v>0</v>
      </c>
      <c r="D67" s="19">
        <f t="shared" si="37"/>
        <v>625</v>
      </c>
      <c r="E67" s="9">
        <f t="shared" si="30"/>
        <v>13456.937799043062</v>
      </c>
      <c r="F67">
        <f>SUM(F66,6)</f>
        <v>610</v>
      </c>
      <c r="G67" s="9">
        <f t="shared" si="33"/>
        <v>13325.242718446601</v>
      </c>
      <c r="H67">
        <f t="shared" si="44"/>
        <v>598</v>
      </c>
      <c r="I67" s="9">
        <f t="shared" si="35"/>
        <v>13217.092337917484</v>
      </c>
      <c r="J67">
        <f t="shared" si="47"/>
        <v>571</v>
      </c>
      <c r="K67" s="9">
        <f t="shared" si="36"/>
        <v>12964.17759838547</v>
      </c>
      <c r="L67">
        <f t="shared" si="48"/>
        <v>572</v>
      </c>
      <c r="M67" s="9">
        <f t="shared" si="41"/>
        <v>12973.790322580644</v>
      </c>
      <c r="N67">
        <v>0</v>
      </c>
      <c r="O67" s="9">
        <v>0</v>
      </c>
    </row>
    <row r="68" spans="1:15" x14ac:dyDescent="0.25">
      <c r="A68">
        <v>23500</v>
      </c>
      <c r="B68">
        <v>0</v>
      </c>
      <c r="C68" s="9">
        <f t="shared" si="45"/>
        <v>0</v>
      </c>
      <c r="D68" s="19">
        <f t="shared" si="37"/>
        <v>635</v>
      </c>
      <c r="E68" s="9">
        <f t="shared" si="30"/>
        <v>14144.549763033176</v>
      </c>
      <c r="F68">
        <f>SUM(F67,6)</f>
        <v>616</v>
      </c>
      <c r="G68" s="9">
        <f t="shared" si="33"/>
        <v>13972.972972972973</v>
      </c>
      <c r="H68">
        <f t="shared" si="44"/>
        <v>606</v>
      </c>
      <c r="I68" s="9">
        <f t="shared" si="35"/>
        <v>13880.116959064328</v>
      </c>
      <c r="J68">
        <f t="shared" si="47"/>
        <v>578</v>
      </c>
      <c r="K68" s="9">
        <f t="shared" si="36"/>
        <v>13610.220440881762</v>
      </c>
      <c r="L68">
        <f t="shared" si="48"/>
        <v>579</v>
      </c>
      <c r="M68" s="9">
        <f t="shared" si="41"/>
        <v>13620.12012012012</v>
      </c>
      <c r="N68">
        <v>0</v>
      </c>
      <c r="O68" s="9">
        <v>0</v>
      </c>
    </row>
    <row r="69" spans="1:15" x14ac:dyDescent="0.25">
      <c r="A69">
        <v>24500</v>
      </c>
      <c r="B69">
        <v>0</v>
      </c>
      <c r="C69" s="9">
        <f t="shared" si="45"/>
        <v>0</v>
      </c>
      <c r="D69" s="19">
        <f t="shared" si="37"/>
        <v>645</v>
      </c>
      <c r="E69" s="9">
        <f t="shared" si="30"/>
        <v>14838.028169014084</v>
      </c>
      <c r="F69">
        <f t="shared" ref="F69" si="49">SUM(F68,6)</f>
        <v>622</v>
      </c>
      <c r="G69" s="9">
        <f t="shared" si="33"/>
        <v>14624.760076775432</v>
      </c>
      <c r="H69">
        <f t="shared" si="44"/>
        <v>614</v>
      </c>
      <c r="I69" s="9">
        <f t="shared" si="35"/>
        <v>14548.35589941973</v>
      </c>
      <c r="J69">
        <f t="shared" si="47"/>
        <v>585</v>
      </c>
      <c r="K69" s="9">
        <f t="shared" si="36"/>
        <v>14261.194029850745</v>
      </c>
      <c r="L69">
        <f>SUM(L68,7)</f>
        <v>586</v>
      </c>
      <c r="M69" s="9">
        <f t="shared" si="41"/>
        <v>14271.371769383697</v>
      </c>
      <c r="N69">
        <v>0</v>
      </c>
      <c r="O69" s="9">
        <v>0</v>
      </c>
    </row>
    <row r="70" spans="1:15" x14ac:dyDescent="0.25">
      <c r="A70">
        <v>25500</v>
      </c>
      <c r="B70">
        <v>0</v>
      </c>
      <c r="C70" s="9">
        <f t="shared" si="45"/>
        <v>0</v>
      </c>
      <c r="D70" s="19">
        <f t="shared" si="37"/>
        <v>655</v>
      </c>
      <c r="E70" s="9">
        <f t="shared" si="30"/>
        <v>15537.209302325582</v>
      </c>
      <c r="F70">
        <f>SUM(F69,4)</f>
        <v>626</v>
      </c>
      <c r="G70" s="9">
        <f t="shared" si="33"/>
        <v>15260.994263862332</v>
      </c>
      <c r="H70">
        <f t="shared" si="44"/>
        <v>622</v>
      </c>
      <c r="I70" s="9">
        <f t="shared" si="35"/>
        <v>15221.689059500959</v>
      </c>
      <c r="J70">
        <f>SUM(J69,6)</f>
        <v>591</v>
      </c>
      <c r="K70" s="9">
        <f t="shared" si="36"/>
        <v>14906.52818991098</v>
      </c>
      <c r="L70">
        <f>SUM(L69,5)</f>
        <v>591</v>
      </c>
      <c r="M70" s="9">
        <f t="shared" si="41"/>
        <v>14906.52818991098</v>
      </c>
      <c r="N70">
        <v>0</v>
      </c>
      <c r="O70" s="9">
        <v>0</v>
      </c>
    </row>
    <row r="71" spans="1:15" x14ac:dyDescent="0.25">
      <c r="A71">
        <v>26500</v>
      </c>
      <c r="B71">
        <v>0</v>
      </c>
      <c r="C71" s="9">
        <f t="shared" si="45"/>
        <v>0</v>
      </c>
      <c r="D71" s="19">
        <f t="shared" si="37"/>
        <v>665</v>
      </c>
      <c r="E71" s="9">
        <f t="shared" si="30"/>
        <v>16241.935483870968</v>
      </c>
      <c r="F71">
        <f>SUM(F70,4)</f>
        <v>630</v>
      </c>
      <c r="G71" s="9">
        <f t="shared" si="33"/>
        <v>15900</v>
      </c>
      <c r="H71">
        <f t="shared" si="44"/>
        <v>630</v>
      </c>
      <c r="I71" s="9">
        <f t="shared" si="35"/>
        <v>15900</v>
      </c>
      <c r="J71">
        <f>SUM(J70,6)</f>
        <v>597</v>
      </c>
      <c r="K71" s="9">
        <f t="shared" si="36"/>
        <v>15556.047197640119</v>
      </c>
      <c r="L71">
        <f>SUM(L70,4)</f>
        <v>595</v>
      </c>
      <c r="M71" s="9">
        <f t="shared" si="41"/>
        <v>15534.482758620688</v>
      </c>
      <c r="N71">
        <v>0</v>
      </c>
      <c r="O71" s="9">
        <v>0</v>
      </c>
    </row>
    <row r="72" spans="1:15" x14ac:dyDescent="0.25">
      <c r="A72">
        <v>27500</v>
      </c>
      <c r="B72">
        <v>0</v>
      </c>
      <c r="C72" s="9">
        <f t="shared" si="45"/>
        <v>0</v>
      </c>
      <c r="D72">
        <v>0</v>
      </c>
      <c r="E72" s="9">
        <v>0</v>
      </c>
      <c r="F72">
        <f>SUM(F71,4)</f>
        <v>634</v>
      </c>
      <c r="G72" s="9">
        <f t="shared" si="33"/>
        <v>16541.745730550287</v>
      </c>
      <c r="H72">
        <f t="shared" si="44"/>
        <v>638</v>
      </c>
      <c r="I72" s="9">
        <f t="shared" si="35"/>
        <v>16583.175803402646</v>
      </c>
      <c r="J72">
        <f t="shared" ref="J72:J75" si="50">SUM(J71,6)</f>
        <v>603</v>
      </c>
      <c r="K72" s="9">
        <f t="shared" si="36"/>
        <v>16209.677419354839</v>
      </c>
      <c r="L72">
        <f t="shared" ref="L72:L76" si="51">SUM(L71,4)</f>
        <v>599</v>
      </c>
      <c r="M72" s="9">
        <f t="shared" si="41"/>
        <v>16165.358194308144</v>
      </c>
      <c r="N72">
        <v>0</v>
      </c>
      <c r="O72" s="9">
        <v>0</v>
      </c>
    </row>
    <row r="73" spans="1:15" x14ac:dyDescent="0.25">
      <c r="A73">
        <v>28500</v>
      </c>
      <c r="B73">
        <v>0</v>
      </c>
      <c r="C73" s="9">
        <f t="shared" si="45"/>
        <v>0</v>
      </c>
      <c r="D73">
        <v>0</v>
      </c>
      <c r="E73">
        <v>0</v>
      </c>
      <c r="F73">
        <f>SUM(F72,4)</f>
        <v>638</v>
      </c>
      <c r="G73" s="9">
        <f t="shared" si="33"/>
        <v>17186.200378071833</v>
      </c>
      <c r="H73">
        <f t="shared" si="44"/>
        <v>646</v>
      </c>
      <c r="I73" s="9">
        <f t="shared" si="35"/>
        <v>17271.106941838651</v>
      </c>
      <c r="J73">
        <f t="shared" si="50"/>
        <v>609</v>
      </c>
      <c r="K73" s="9">
        <f t="shared" si="36"/>
        <v>16867.34693877551</v>
      </c>
      <c r="L73">
        <f t="shared" si="51"/>
        <v>603</v>
      </c>
      <c r="M73" s="9">
        <f t="shared" si="41"/>
        <v>16799.120234604106</v>
      </c>
      <c r="N73">
        <v>0</v>
      </c>
      <c r="O73" s="9">
        <v>0</v>
      </c>
    </row>
    <row r="74" spans="1:15" x14ac:dyDescent="0.25">
      <c r="A74">
        <v>29500</v>
      </c>
      <c r="B74">
        <v>0</v>
      </c>
      <c r="C74" s="9">
        <f t="shared" si="45"/>
        <v>0</v>
      </c>
      <c r="D74">
        <v>0</v>
      </c>
      <c r="E74">
        <v>0</v>
      </c>
      <c r="F74">
        <v>0</v>
      </c>
      <c r="G74">
        <v>0</v>
      </c>
      <c r="H74">
        <f t="shared" si="44"/>
        <v>654</v>
      </c>
      <c r="I74" s="9">
        <f t="shared" si="35"/>
        <v>17963.687150837988</v>
      </c>
      <c r="J74">
        <f t="shared" si="50"/>
        <v>615</v>
      </c>
      <c r="K74" s="9">
        <f t="shared" si="36"/>
        <v>17528.985507246376</v>
      </c>
      <c r="L74">
        <f t="shared" si="51"/>
        <v>607</v>
      </c>
      <c r="M74" s="9">
        <f t="shared" si="41"/>
        <v>17435.735150925026</v>
      </c>
      <c r="N74">
        <v>0</v>
      </c>
      <c r="O74" s="9">
        <v>0</v>
      </c>
    </row>
    <row r="75" spans="1:15" x14ac:dyDescent="0.25">
      <c r="A75">
        <v>30500</v>
      </c>
      <c r="B75">
        <v>0</v>
      </c>
      <c r="C75" s="9">
        <f t="shared" si="45"/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f t="shared" si="50"/>
        <v>621</v>
      </c>
      <c r="K75" s="9">
        <f t="shared" si="36"/>
        <v>18194.524495677233</v>
      </c>
      <c r="L75">
        <f t="shared" si="51"/>
        <v>611</v>
      </c>
      <c r="M75" s="9">
        <f t="shared" si="41"/>
        <v>18075.169738118333</v>
      </c>
      <c r="N75">
        <v>0</v>
      </c>
      <c r="O75" s="9">
        <v>0</v>
      </c>
    </row>
    <row r="76" spans="1:15" x14ac:dyDescent="0.25">
      <c r="A76">
        <v>31500</v>
      </c>
      <c r="B76">
        <v>0</v>
      </c>
      <c r="C76" s="9">
        <f t="shared" si="45"/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f t="shared" si="51"/>
        <v>615</v>
      </c>
      <c r="M76" s="9">
        <f t="shared" si="41"/>
        <v>18717.391304347824</v>
      </c>
      <c r="N76">
        <v>0</v>
      </c>
      <c r="O76" s="9">
        <v>0</v>
      </c>
    </row>
    <row r="77" spans="1:15" x14ac:dyDescent="0.25">
      <c r="A77">
        <v>32500</v>
      </c>
      <c r="B77">
        <v>0</v>
      </c>
      <c r="C77" s="9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9">
        <v>0</v>
      </c>
    </row>
    <row r="78" spans="1:15" x14ac:dyDescent="0.25">
      <c r="A78">
        <v>33500</v>
      </c>
      <c r="B78">
        <v>0</v>
      </c>
      <c r="C78" s="9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9">
        <v>0</v>
      </c>
    </row>
    <row r="79" spans="1:15" x14ac:dyDescent="0.25">
      <c r="A79">
        <v>34500</v>
      </c>
      <c r="B79">
        <v>0</v>
      </c>
      <c r="C79" s="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9">
        <v>0</v>
      </c>
    </row>
    <row r="80" spans="1:15" x14ac:dyDescent="0.25">
      <c r="A80">
        <v>35500</v>
      </c>
      <c r="B80">
        <v>0</v>
      </c>
      <c r="C80" s="9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26" x14ac:dyDescent="0.25">
      <c r="A81">
        <v>36500</v>
      </c>
      <c r="B81">
        <v>0</v>
      </c>
      <c r="C81" s="9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26" x14ac:dyDescent="0.25">
      <c r="A82">
        <v>37500</v>
      </c>
      <c r="B82">
        <v>0</v>
      </c>
      <c r="C82" s="9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26" x14ac:dyDescent="0.25">
      <c r="A83" t="s">
        <v>51</v>
      </c>
      <c r="C83">
        <v>6800</v>
      </c>
      <c r="E83">
        <v>6800</v>
      </c>
      <c r="G83">
        <v>7500</v>
      </c>
      <c r="I83">
        <v>8500</v>
      </c>
      <c r="K83">
        <v>9500</v>
      </c>
      <c r="M83">
        <v>10500</v>
      </c>
      <c r="N83">
        <v>0</v>
      </c>
      <c r="O83">
        <v>0</v>
      </c>
    </row>
    <row r="84" spans="1:26" x14ac:dyDescent="0.25">
      <c r="A84" t="s">
        <v>50</v>
      </c>
      <c r="C84">
        <v>19500</v>
      </c>
      <c r="E84" s="19">
        <v>26500</v>
      </c>
      <c r="G84">
        <v>28500</v>
      </c>
      <c r="I84">
        <v>29500</v>
      </c>
      <c r="K84">
        <v>30500</v>
      </c>
      <c r="M84">
        <v>31500</v>
      </c>
      <c r="N84">
        <v>0</v>
      </c>
      <c r="O84">
        <v>0</v>
      </c>
    </row>
    <row r="85" spans="1:26" x14ac:dyDescent="0.25">
      <c r="A85" t="s">
        <v>52</v>
      </c>
      <c r="C85">
        <v>3500</v>
      </c>
      <c r="E85">
        <v>3500</v>
      </c>
      <c r="G85">
        <v>3900</v>
      </c>
      <c r="I85">
        <v>4400</v>
      </c>
      <c r="K85">
        <v>4900</v>
      </c>
      <c r="M85">
        <v>5500</v>
      </c>
      <c r="N85">
        <v>0</v>
      </c>
      <c r="O85">
        <v>0</v>
      </c>
    </row>
    <row r="86" spans="1:26" x14ac:dyDescent="0.25">
      <c r="A86" t="s">
        <v>53</v>
      </c>
      <c r="C86">
        <v>11500</v>
      </c>
      <c r="E86" s="19">
        <v>16300</v>
      </c>
      <c r="G86">
        <v>17200</v>
      </c>
      <c r="I86">
        <v>18000</v>
      </c>
      <c r="K86">
        <v>18200</v>
      </c>
      <c r="M86">
        <v>18800</v>
      </c>
      <c r="N86">
        <v>0</v>
      </c>
      <c r="O86">
        <v>0</v>
      </c>
    </row>
    <row r="87" spans="1:26" ht="29.25" customHeight="1" x14ac:dyDescent="0.25">
      <c r="A87" s="25" t="s">
        <v>55</v>
      </c>
      <c r="B87" s="26"/>
      <c r="C87">
        <v>17300</v>
      </c>
      <c r="E87">
        <v>17300</v>
      </c>
      <c r="G87">
        <v>18000</v>
      </c>
      <c r="I87">
        <v>19000</v>
      </c>
      <c r="K87">
        <v>20000</v>
      </c>
      <c r="M87">
        <v>21000</v>
      </c>
      <c r="N87">
        <v>0</v>
      </c>
      <c r="O87">
        <v>0</v>
      </c>
    </row>
    <row r="88" spans="1:26" ht="29.25" customHeight="1" x14ac:dyDescent="0.25">
      <c r="A88" s="25" t="s">
        <v>65</v>
      </c>
      <c r="B88" s="26"/>
      <c r="C88">
        <v>13100</v>
      </c>
      <c r="E88">
        <v>13100</v>
      </c>
      <c r="G88">
        <v>13800</v>
      </c>
      <c r="I88">
        <v>14800</v>
      </c>
      <c r="K88">
        <v>15800</v>
      </c>
      <c r="M88">
        <v>16800</v>
      </c>
      <c r="N88">
        <v>0</v>
      </c>
      <c r="O88">
        <v>0</v>
      </c>
    </row>
    <row r="89" spans="1:26" ht="29.25" customHeight="1" x14ac:dyDescent="0.25">
      <c r="A89" s="25" t="s">
        <v>58</v>
      </c>
      <c r="B89" s="26"/>
      <c r="C89">
        <v>7640</v>
      </c>
      <c r="E89">
        <v>7640</v>
      </c>
      <c r="G89">
        <v>8340</v>
      </c>
      <c r="I89">
        <v>9340</v>
      </c>
      <c r="K89">
        <v>10340</v>
      </c>
      <c r="M89">
        <v>11340</v>
      </c>
      <c r="N89">
        <v>0</v>
      </c>
      <c r="O89">
        <v>0</v>
      </c>
    </row>
    <row r="91" spans="1:26" ht="38.25" customHeight="1" x14ac:dyDescent="0.25">
      <c r="A91" s="25" t="s">
        <v>67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25">
      <c r="A92" s="25" t="s">
        <v>39</v>
      </c>
      <c r="B92" s="24" t="s">
        <v>64</v>
      </c>
      <c r="C92" s="24"/>
      <c r="D92" s="24" t="s">
        <v>63</v>
      </c>
      <c r="E92" s="24"/>
      <c r="F92" s="24" t="s">
        <v>43</v>
      </c>
      <c r="G92" s="24"/>
      <c r="H92" s="24" t="s">
        <v>44</v>
      </c>
      <c r="I92" s="24"/>
      <c r="J92" s="24" t="s">
        <v>45</v>
      </c>
      <c r="K92" s="24"/>
      <c r="L92" s="24" t="s">
        <v>46</v>
      </c>
      <c r="M92" s="24"/>
      <c r="N92" s="24" t="s">
        <v>47</v>
      </c>
      <c r="O92" s="24"/>
    </row>
    <row r="93" spans="1:26" x14ac:dyDescent="0.25">
      <c r="A93" s="25"/>
      <c r="B93" t="s">
        <v>40</v>
      </c>
      <c r="C93" t="s">
        <v>41</v>
      </c>
      <c r="D93" t="s">
        <v>40</v>
      </c>
      <c r="E93" t="s">
        <v>41</v>
      </c>
      <c r="F93" t="s">
        <v>40</v>
      </c>
      <c r="G93" t="s">
        <v>41</v>
      </c>
      <c r="H93" t="s">
        <v>40</v>
      </c>
      <c r="I93" t="s">
        <v>41</v>
      </c>
      <c r="J93" t="s">
        <v>40</v>
      </c>
      <c r="K93" t="s">
        <v>41</v>
      </c>
      <c r="L93" t="s">
        <v>40</v>
      </c>
      <c r="M93" t="s">
        <v>41</v>
      </c>
      <c r="N93" t="s">
        <v>40</v>
      </c>
      <c r="O93" t="s">
        <v>41</v>
      </c>
    </row>
    <row r="94" spans="1:26" x14ac:dyDescent="0.25">
      <c r="A94" s="4">
        <v>4800</v>
      </c>
      <c r="B94">
        <v>420</v>
      </c>
      <c r="C94" s="9">
        <f>PRODUCT(A94,B94,1/(150+B94))</f>
        <v>3536.8421052631579</v>
      </c>
      <c r="D94">
        <v>420</v>
      </c>
      <c r="E94" s="9">
        <f>PRODUCT(A94,D94,1/(150+D94))</f>
        <v>3536.8421052631579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26" x14ac:dyDescent="0.25">
      <c r="A95" s="4">
        <v>5500</v>
      </c>
      <c r="B95">
        <v>435</v>
      </c>
      <c r="C95" s="9">
        <f>PRODUCT(A95,B95,1/(150+B95))</f>
        <v>4089.7435897435898</v>
      </c>
      <c r="D95" s="9">
        <v>435</v>
      </c>
      <c r="E95" s="9">
        <f>PRODUCT(A95,D95,1/(150+D95))</f>
        <v>4089.7435897435898</v>
      </c>
      <c r="F95" s="9">
        <v>430</v>
      </c>
      <c r="G95" s="9">
        <f>PRODUCT(A95,F95,1/(150+F95))</f>
        <v>4077.5862068965516</v>
      </c>
      <c r="H95" s="9">
        <v>425</v>
      </c>
      <c r="I95" s="9">
        <f t="shared" ref="I95:I97" si="52">PRODUCT(A95,H95,1/(H95+150))</f>
        <v>4065.217391304348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</row>
    <row r="96" spans="1:26" x14ac:dyDescent="0.25">
      <c r="A96">
        <v>6500</v>
      </c>
      <c r="B96">
        <v>450</v>
      </c>
      <c r="C96" s="9">
        <f>PRODUCT(A96,B96,1/(150+B96))</f>
        <v>4875</v>
      </c>
      <c r="D96">
        <v>450</v>
      </c>
      <c r="E96" s="9">
        <f>PRODUCT(A96,D96,1/(150+D96))</f>
        <v>4875</v>
      </c>
      <c r="F96">
        <v>445</v>
      </c>
      <c r="G96" s="9">
        <f>PRODUCT(A96,F96,1/(150+F96))</f>
        <v>4861.3445378151264</v>
      </c>
      <c r="H96">
        <v>440</v>
      </c>
      <c r="I96" s="9">
        <f t="shared" si="52"/>
        <v>4847.4576271186443</v>
      </c>
      <c r="J96">
        <v>0</v>
      </c>
      <c r="K96" s="9">
        <v>0</v>
      </c>
      <c r="L96">
        <v>0</v>
      </c>
      <c r="M96" s="9">
        <v>0</v>
      </c>
      <c r="N96">
        <v>0</v>
      </c>
      <c r="O96" s="9">
        <v>0</v>
      </c>
    </row>
    <row r="97" spans="1:15" x14ac:dyDescent="0.25">
      <c r="A97">
        <v>7500</v>
      </c>
      <c r="B97">
        <v>465</v>
      </c>
      <c r="C97" s="9">
        <f t="shared" ref="C97:C104" si="53">PRODUCT(A97,B97,1/(150+B97))</f>
        <v>5670.7317073170734</v>
      </c>
      <c r="D97">
        <f>SUM(D96,15)</f>
        <v>465</v>
      </c>
      <c r="E97" s="9">
        <f t="shared" ref="E97:E111" si="54">PRODUCT(A97,D97,1/(150+D97))</f>
        <v>5670.7317073170734</v>
      </c>
      <c r="F97">
        <v>460</v>
      </c>
      <c r="G97" s="9">
        <f>PRODUCT(A97,F97,1/(150+F97))</f>
        <v>5655.7377049180332</v>
      </c>
      <c r="H97">
        <v>455</v>
      </c>
      <c r="I97" s="9">
        <f t="shared" si="52"/>
        <v>5640.4958677685945</v>
      </c>
      <c r="J97">
        <v>425</v>
      </c>
      <c r="K97" s="9">
        <f t="shared" ref="K97:K98" si="55">PRODUCT(A97,J97,1/(J97+150))</f>
        <v>5543.478260869565</v>
      </c>
      <c r="L97">
        <v>0</v>
      </c>
      <c r="M97" s="9">
        <v>0</v>
      </c>
      <c r="N97">
        <v>0</v>
      </c>
      <c r="O97" s="9">
        <v>0</v>
      </c>
    </row>
    <row r="98" spans="1:15" x14ac:dyDescent="0.25">
      <c r="A98">
        <v>8500</v>
      </c>
      <c r="B98">
        <v>480</v>
      </c>
      <c r="C98" s="9">
        <f t="shared" si="53"/>
        <v>6476.1904761904761</v>
      </c>
      <c r="D98">
        <f t="shared" ref="D98:D99" si="56">SUM(D97,15)</f>
        <v>480</v>
      </c>
      <c r="E98" s="9">
        <f t="shared" si="54"/>
        <v>6476.1904761904761</v>
      </c>
      <c r="F98">
        <f>SUM(F97,13)</f>
        <v>473</v>
      </c>
      <c r="G98" s="9">
        <f t="shared" ref="G98:G112" si="57">PRODUCT(A98,F98,1/(150+F98))</f>
        <v>6453.451043338684</v>
      </c>
      <c r="H98">
        <v>470</v>
      </c>
      <c r="I98" s="9">
        <f>PRODUCT(A98,H98,1/(H98+150))</f>
        <v>6443.5483870967746</v>
      </c>
      <c r="J98">
        <f>SUM(J97,20)</f>
        <v>445</v>
      </c>
      <c r="K98" s="9">
        <f t="shared" si="55"/>
        <v>6357.1428571428578</v>
      </c>
      <c r="L98">
        <v>440</v>
      </c>
      <c r="M98" s="9">
        <f t="shared" ref="M98:M99" si="58">PRODUCT(A98,L98,1/(L98+150))</f>
        <v>6338.9830508474579</v>
      </c>
      <c r="N98">
        <v>0</v>
      </c>
      <c r="O98" s="9">
        <v>0</v>
      </c>
    </row>
    <row r="99" spans="1:15" x14ac:dyDescent="0.25">
      <c r="A99">
        <v>9500</v>
      </c>
      <c r="B99">
        <v>495</v>
      </c>
      <c r="C99" s="9">
        <f t="shared" si="53"/>
        <v>7290.6976744186049</v>
      </c>
      <c r="D99">
        <f t="shared" si="56"/>
        <v>495</v>
      </c>
      <c r="E99" s="9">
        <f t="shared" si="54"/>
        <v>7290.6976744186049</v>
      </c>
      <c r="F99">
        <f t="shared" ref="F99:F100" si="59">SUM(F98,13)</f>
        <v>486</v>
      </c>
      <c r="G99" s="9">
        <f t="shared" si="57"/>
        <v>7259.433962264151</v>
      </c>
      <c r="H99">
        <f>SUM(H98,12)</f>
        <v>482</v>
      </c>
      <c r="I99" s="9">
        <f t="shared" ref="I99:I112" si="60">PRODUCT(A99,H99,1/(H99+150))</f>
        <v>7245.2531645569616</v>
      </c>
      <c r="J99">
        <f>SUM(J98,20)</f>
        <v>465</v>
      </c>
      <c r="K99" s="9">
        <f>PRODUCT(A99,J99,1/(J99+150))</f>
        <v>7182.9268292682927</v>
      </c>
      <c r="L99">
        <f>SUM(L98,18)</f>
        <v>458</v>
      </c>
      <c r="M99" s="9">
        <f t="shared" si="58"/>
        <v>7156.25</v>
      </c>
      <c r="N99">
        <v>0</v>
      </c>
      <c r="O99" s="9">
        <v>0</v>
      </c>
    </row>
    <row r="100" spans="1:15" x14ac:dyDescent="0.25">
      <c r="A100">
        <v>10500</v>
      </c>
      <c r="B100">
        <v>505</v>
      </c>
      <c r="C100" s="9">
        <f t="shared" si="53"/>
        <v>8095.419847328244</v>
      </c>
      <c r="D100">
        <f>SUM(D99,10)</f>
        <v>505</v>
      </c>
      <c r="E100" s="9">
        <f t="shared" si="54"/>
        <v>8095.419847328244</v>
      </c>
      <c r="F100">
        <f t="shared" si="59"/>
        <v>499</v>
      </c>
      <c r="G100" s="9">
        <f t="shared" si="57"/>
        <v>8073.1895223420652</v>
      </c>
      <c r="H100">
        <f t="shared" ref="H100:H102" si="61">SUM(H99,12)</f>
        <v>494</v>
      </c>
      <c r="I100" s="9">
        <f t="shared" si="60"/>
        <v>8054.347826086956</v>
      </c>
      <c r="J100">
        <f>SUM(J99,15)</f>
        <v>480</v>
      </c>
      <c r="K100" s="9">
        <f t="shared" ref="K100:K112" si="62">PRODUCT(A100,J100,1/(J100+150))</f>
        <v>8000</v>
      </c>
      <c r="L100">
        <f>SUM(L99,15)</f>
        <v>473</v>
      </c>
      <c r="M100" s="9">
        <f>PRODUCT(A100,L100,1/(L100+150))</f>
        <v>7971.9101123595501</v>
      </c>
      <c r="N100">
        <v>470</v>
      </c>
      <c r="O100" s="9">
        <f t="shared" ref="O100:O101" si="63">PRODUCT(A100,N100,1/(150+N100))</f>
        <v>7959.677419354839</v>
      </c>
    </row>
    <row r="101" spans="1:15" x14ac:dyDescent="0.25">
      <c r="A101">
        <v>11500</v>
      </c>
      <c r="B101">
        <v>515</v>
      </c>
      <c r="C101" s="9">
        <f t="shared" si="53"/>
        <v>8906.0150375939847</v>
      </c>
      <c r="D101">
        <f t="shared" ref="D101:D111" si="64">SUM(D100,10)</f>
        <v>515</v>
      </c>
      <c r="E101" s="9">
        <f t="shared" si="54"/>
        <v>8906.0150375939847</v>
      </c>
      <c r="F101">
        <f>SUM(F100,11)</f>
        <v>510</v>
      </c>
      <c r="G101" s="9">
        <f t="shared" si="57"/>
        <v>8886.363636363636</v>
      </c>
      <c r="H101">
        <f t="shared" si="61"/>
        <v>506</v>
      </c>
      <c r="I101" s="9">
        <f t="shared" si="60"/>
        <v>8870.4268292682937</v>
      </c>
      <c r="J101">
        <f t="shared" ref="J101:J103" si="65">SUM(J100,8)</f>
        <v>488</v>
      </c>
      <c r="K101" s="9">
        <f t="shared" si="62"/>
        <v>8796.2382445141066</v>
      </c>
      <c r="L101">
        <f>SUM(L100,15)</f>
        <v>488</v>
      </c>
      <c r="M101" s="9">
        <f t="shared" ref="M101:M113" si="66">PRODUCT(A101,L101,1/(L101+150))</f>
        <v>8796.2382445141066</v>
      </c>
      <c r="N101">
        <f>SUM(N100,20)</f>
        <v>490</v>
      </c>
      <c r="O101" s="9">
        <f t="shared" si="63"/>
        <v>8804.6875</v>
      </c>
    </row>
    <row r="102" spans="1:15" x14ac:dyDescent="0.25">
      <c r="A102">
        <v>12500</v>
      </c>
      <c r="B102">
        <v>525</v>
      </c>
      <c r="C102" s="9">
        <f t="shared" si="53"/>
        <v>9722.2222222222226</v>
      </c>
      <c r="D102">
        <f t="shared" si="64"/>
        <v>525</v>
      </c>
      <c r="E102" s="9">
        <f t="shared" si="54"/>
        <v>9722.2222222222226</v>
      </c>
      <c r="F102">
        <f t="shared" ref="F102:F103" si="67">SUM(F101,11)</f>
        <v>521</v>
      </c>
      <c r="G102" s="9">
        <f t="shared" si="57"/>
        <v>9705.663189269746</v>
      </c>
      <c r="H102">
        <f t="shared" si="61"/>
        <v>518</v>
      </c>
      <c r="I102" s="9">
        <f t="shared" si="60"/>
        <v>9693.1137724550899</v>
      </c>
      <c r="J102">
        <f t="shared" si="65"/>
        <v>496</v>
      </c>
      <c r="K102" s="9">
        <f t="shared" si="62"/>
        <v>9597.5232198142421</v>
      </c>
      <c r="L102">
        <f>SUM(L101,13)</f>
        <v>501</v>
      </c>
      <c r="M102" s="9">
        <f t="shared" si="66"/>
        <v>9619.8156682027657</v>
      </c>
      <c r="N102">
        <f>SUM(N101,18)</f>
        <v>508</v>
      </c>
      <c r="O102" s="9">
        <f>PRODUCT(A102,N102,1/(150+N102))</f>
        <v>9650.4559270516711</v>
      </c>
    </row>
    <row r="103" spans="1:15" x14ac:dyDescent="0.25">
      <c r="A103">
        <v>13500</v>
      </c>
      <c r="B103">
        <v>535</v>
      </c>
      <c r="C103" s="9">
        <f t="shared" si="53"/>
        <v>10543.795620437955</v>
      </c>
      <c r="D103">
        <f t="shared" si="64"/>
        <v>535</v>
      </c>
      <c r="E103" s="9">
        <f t="shared" si="54"/>
        <v>10543.795620437955</v>
      </c>
      <c r="F103">
        <f t="shared" si="67"/>
        <v>532</v>
      </c>
      <c r="G103" s="9">
        <f t="shared" si="57"/>
        <v>10530.791788856304</v>
      </c>
      <c r="H103">
        <f>SUM(H102,10)</f>
        <v>528</v>
      </c>
      <c r="I103" s="9">
        <f t="shared" si="60"/>
        <v>10513.274336283186</v>
      </c>
      <c r="J103">
        <f t="shared" si="65"/>
        <v>504</v>
      </c>
      <c r="K103" s="9">
        <f t="shared" si="62"/>
        <v>10403.669724770642</v>
      </c>
      <c r="L103">
        <f>SUM(L102,9)</f>
        <v>510</v>
      </c>
      <c r="M103" s="9">
        <f t="shared" si="66"/>
        <v>10431.818181818182</v>
      </c>
      <c r="N103">
        <f>SUM(N102,15)</f>
        <v>523</v>
      </c>
      <c r="O103" s="9">
        <f t="shared" ref="O103:O118" si="68">PRODUCT(A103,N103,1/(150+N103))</f>
        <v>10491.084695393758</v>
      </c>
    </row>
    <row r="104" spans="1:15" x14ac:dyDescent="0.25">
      <c r="A104">
        <v>14500</v>
      </c>
      <c r="B104">
        <v>545</v>
      </c>
      <c r="C104" s="9">
        <f t="shared" si="53"/>
        <v>11370.503597122302</v>
      </c>
      <c r="D104">
        <f t="shared" si="64"/>
        <v>545</v>
      </c>
      <c r="E104" s="9">
        <f t="shared" si="54"/>
        <v>11370.503597122302</v>
      </c>
      <c r="F104">
        <f>SUM(F103,10)</f>
        <v>542</v>
      </c>
      <c r="G104" s="9">
        <f t="shared" si="57"/>
        <v>11356.93641618497</v>
      </c>
      <c r="H104">
        <f t="shared" ref="H104:H106" si="69">SUM(H103,10)</f>
        <v>538</v>
      </c>
      <c r="I104" s="9">
        <f t="shared" si="60"/>
        <v>11338.662790697674</v>
      </c>
      <c r="J104">
        <f t="shared" ref="J104:J109" si="70">SUM(J103,9)</f>
        <v>513</v>
      </c>
      <c r="K104" s="9">
        <f t="shared" si="62"/>
        <v>11219.457013574662</v>
      </c>
      <c r="L104">
        <f>SUM(L103,8)</f>
        <v>518</v>
      </c>
      <c r="M104" s="9">
        <f t="shared" si="66"/>
        <v>11244.011976047905</v>
      </c>
      <c r="N104">
        <f>SUM(N103,14)</f>
        <v>537</v>
      </c>
      <c r="O104" s="9">
        <f t="shared" si="68"/>
        <v>11334.061135371179</v>
      </c>
    </row>
    <row r="105" spans="1:15" x14ac:dyDescent="0.25">
      <c r="A105">
        <v>15500</v>
      </c>
      <c r="B105">
        <v>0</v>
      </c>
      <c r="C105" s="9">
        <v>0</v>
      </c>
      <c r="D105">
        <f t="shared" si="64"/>
        <v>555</v>
      </c>
      <c r="E105" s="9">
        <f t="shared" si="54"/>
        <v>12202.127659574469</v>
      </c>
      <c r="F105">
        <f t="shared" ref="F105" si="71">SUM(F104,10)</f>
        <v>552</v>
      </c>
      <c r="G105" s="9">
        <f t="shared" si="57"/>
        <v>12188.034188034189</v>
      </c>
      <c r="H105">
        <f t="shared" si="69"/>
        <v>548</v>
      </c>
      <c r="I105" s="9">
        <f t="shared" si="60"/>
        <v>12169.054441260745</v>
      </c>
      <c r="J105">
        <f t="shared" si="70"/>
        <v>522</v>
      </c>
      <c r="K105" s="9">
        <f t="shared" si="62"/>
        <v>12040.178571428571</v>
      </c>
      <c r="L105">
        <f t="shared" ref="L105:L109" si="72">SUM(L104,8)</f>
        <v>526</v>
      </c>
      <c r="M105" s="9">
        <f t="shared" si="66"/>
        <v>12060.650887573964</v>
      </c>
      <c r="N105">
        <f t="shared" ref="N105:N107" si="73">SUM(N104,14)</f>
        <v>551</v>
      </c>
      <c r="O105" s="9">
        <f t="shared" si="68"/>
        <v>12183.309557774608</v>
      </c>
    </row>
    <row r="106" spans="1:15" x14ac:dyDescent="0.25">
      <c r="A106">
        <v>16500</v>
      </c>
      <c r="B106">
        <v>0</v>
      </c>
      <c r="C106" s="9">
        <v>0</v>
      </c>
      <c r="D106" s="19">
        <f t="shared" si="64"/>
        <v>565</v>
      </c>
      <c r="E106" s="9">
        <f t="shared" si="54"/>
        <v>13038.461538461539</v>
      </c>
      <c r="F106">
        <f>SUM(F105,9)</f>
        <v>561</v>
      </c>
      <c r="G106" s="9">
        <f t="shared" si="57"/>
        <v>13018.987341772152</v>
      </c>
      <c r="H106">
        <f t="shared" si="69"/>
        <v>558</v>
      </c>
      <c r="I106" s="9">
        <f t="shared" si="60"/>
        <v>13004.237288135593</v>
      </c>
      <c r="J106">
        <f t="shared" si="70"/>
        <v>531</v>
      </c>
      <c r="K106" s="9">
        <f t="shared" si="62"/>
        <v>12865.638766519824</v>
      </c>
      <c r="L106">
        <f t="shared" si="72"/>
        <v>534</v>
      </c>
      <c r="M106" s="9">
        <f t="shared" si="66"/>
        <v>12881.57894736842</v>
      </c>
      <c r="N106">
        <f t="shared" si="73"/>
        <v>565</v>
      </c>
      <c r="O106" s="9">
        <f t="shared" si="68"/>
        <v>13038.461538461539</v>
      </c>
    </row>
    <row r="107" spans="1:15" x14ac:dyDescent="0.25">
      <c r="A107">
        <v>17500</v>
      </c>
      <c r="B107">
        <v>0</v>
      </c>
      <c r="C107" s="9">
        <f>PRODUCT(A107,B108,1/(300+B108))</f>
        <v>0</v>
      </c>
      <c r="D107" s="19">
        <f t="shared" si="64"/>
        <v>575</v>
      </c>
      <c r="E107" s="9">
        <f t="shared" si="54"/>
        <v>13879.310344827585</v>
      </c>
      <c r="F107">
        <f t="shared" ref="F107:F109" si="74">SUM(F106,9)</f>
        <v>570</v>
      </c>
      <c r="G107" s="9">
        <f t="shared" si="57"/>
        <v>13854.166666666668</v>
      </c>
      <c r="H107">
        <f>SUM(H106,8)</f>
        <v>566</v>
      </c>
      <c r="I107" s="9">
        <f t="shared" si="60"/>
        <v>13833.798882681565</v>
      </c>
      <c r="J107">
        <f t="shared" si="70"/>
        <v>540</v>
      </c>
      <c r="K107" s="9">
        <f t="shared" si="62"/>
        <v>13695.652173913044</v>
      </c>
      <c r="L107">
        <f t="shared" si="72"/>
        <v>542</v>
      </c>
      <c r="M107" s="9">
        <f t="shared" si="66"/>
        <v>13706.64739884393</v>
      </c>
      <c r="N107">
        <f t="shared" si="73"/>
        <v>579</v>
      </c>
      <c r="O107" s="9">
        <f t="shared" si="68"/>
        <v>13899.176954732509</v>
      </c>
    </row>
    <row r="108" spans="1:15" x14ac:dyDescent="0.25">
      <c r="A108">
        <v>18500</v>
      </c>
      <c r="B108">
        <v>0</v>
      </c>
      <c r="C108" s="9">
        <f t="shared" ref="C108:C121" si="75">PRODUCT(A108,B109,1/(300+B109))</f>
        <v>0</v>
      </c>
      <c r="D108" s="19">
        <f t="shared" si="64"/>
        <v>585</v>
      </c>
      <c r="E108" s="9">
        <f t="shared" si="54"/>
        <v>14724.489795918367</v>
      </c>
      <c r="F108">
        <f t="shared" si="74"/>
        <v>579</v>
      </c>
      <c r="G108" s="9">
        <f t="shared" si="57"/>
        <v>14693.415637860082</v>
      </c>
      <c r="H108">
        <f t="shared" ref="H108:H112" si="76">SUM(H107,8)</f>
        <v>574</v>
      </c>
      <c r="I108" s="9">
        <f t="shared" si="60"/>
        <v>14667.127071823204</v>
      </c>
      <c r="J108">
        <f t="shared" si="70"/>
        <v>549</v>
      </c>
      <c r="K108" s="9">
        <f t="shared" si="62"/>
        <v>14530.042918454936</v>
      </c>
      <c r="L108">
        <f t="shared" si="72"/>
        <v>550</v>
      </c>
      <c r="M108" s="9">
        <f t="shared" si="66"/>
        <v>14535.714285714286</v>
      </c>
      <c r="N108">
        <f>SUM(N107,15)</f>
        <v>594</v>
      </c>
      <c r="O108" s="9">
        <f t="shared" si="68"/>
        <v>14770.161290322581</v>
      </c>
    </row>
    <row r="109" spans="1:15" x14ac:dyDescent="0.25">
      <c r="A109">
        <v>19500</v>
      </c>
      <c r="B109">
        <v>0</v>
      </c>
      <c r="C109" s="9">
        <f t="shared" si="75"/>
        <v>0</v>
      </c>
      <c r="D109" s="19">
        <f t="shared" si="64"/>
        <v>595</v>
      </c>
      <c r="E109" s="9">
        <f t="shared" si="54"/>
        <v>15573.825503355703</v>
      </c>
      <c r="F109">
        <f t="shared" si="74"/>
        <v>588</v>
      </c>
      <c r="G109" s="9">
        <f t="shared" si="57"/>
        <v>15536.585365853658</v>
      </c>
      <c r="H109">
        <f t="shared" si="76"/>
        <v>582</v>
      </c>
      <c r="I109" s="9">
        <f t="shared" si="60"/>
        <v>15504.098360655738</v>
      </c>
      <c r="J109">
        <f t="shared" si="70"/>
        <v>558</v>
      </c>
      <c r="K109" s="9">
        <f t="shared" si="62"/>
        <v>15368.644067796609</v>
      </c>
      <c r="L109">
        <f t="shared" si="72"/>
        <v>558</v>
      </c>
      <c r="M109" s="9">
        <f t="shared" si="66"/>
        <v>15368.644067796609</v>
      </c>
      <c r="N109">
        <f>SUM(N108,15)</f>
        <v>609</v>
      </c>
      <c r="O109" s="9">
        <f t="shared" si="68"/>
        <v>15646.245059288538</v>
      </c>
    </row>
    <row r="110" spans="1:15" x14ac:dyDescent="0.25">
      <c r="A110">
        <v>20500</v>
      </c>
      <c r="B110">
        <v>0</v>
      </c>
      <c r="C110" s="9">
        <f t="shared" si="75"/>
        <v>0</v>
      </c>
      <c r="D110" s="19">
        <f t="shared" si="64"/>
        <v>605</v>
      </c>
      <c r="E110" s="9">
        <f t="shared" si="54"/>
        <v>16427.152317880795</v>
      </c>
      <c r="F110">
        <f t="shared" ref="F110:F111" si="77">SUM(F109,8)</f>
        <v>596</v>
      </c>
      <c r="G110" s="9">
        <f t="shared" si="57"/>
        <v>16378.016085790885</v>
      </c>
      <c r="H110">
        <f t="shared" si="76"/>
        <v>590</v>
      </c>
      <c r="I110" s="9">
        <f t="shared" si="60"/>
        <v>16344.594594594595</v>
      </c>
      <c r="J110">
        <f>SUM(J109,7)</f>
        <v>565</v>
      </c>
      <c r="K110" s="9">
        <f t="shared" si="62"/>
        <v>16199.300699300698</v>
      </c>
      <c r="L110">
        <f>SUM(L109,7)</f>
        <v>565</v>
      </c>
      <c r="M110" s="9">
        <f t="shared" si="66"/>
        <v>16199.300699300698</v>
      </c>
      <c r="N110">
        <f t="shared" ref="N110" si="78">SUM(N109,16)</f>
        <v>625</v>
      </c>
      <c r="O110" s="9">
        <f t="shared" si="68"/>
        <v>16532.258064516129</v>
      </c>
    </row>
    <row r="111" spans="1:15" x14ac:dyDescent="0.25">
      <c r="A111">
        <v>21500</v>
      </c>
      <c r="B111">
        <v>0</v>
      </c>
      <c r="C111" s="9">
        <f t="shared" si="75"/>
        <v>0</v>
      </c>
      <c r="D111" s="19">
        <f t="shared" si="64"/>
        <v>615</v>
      </c>
      <c r="E111" s="9">
        <f t="shared" si="54"/>
        <v>17284.313725490196</v>
      </c>
      <c r="F111">
        <f t="shared" si="77"/>
        <v>604</v>
      </c>
      <c r="G111" s="9">
        <f t="shared" si="57"/>
        <v>17222.811671087533</v>
      </c>
      <c r="H111">
        <f t="shared" si="76"/>
        <v>598</v>
      </c>
      <c r="I111" s="9">
        <f t="shared" si="60"/>
        <v>17188.502673796789</v>
      </c>
      <c r="J111">
        <f t="shared" ref="J111:J112" si="79">SUM(J110,7)</f>
        <v>572</v>
      </c>
      <c r="K111" s="9">
        <f t="shared" si="62"/>
        <v>17033.240997229917</v>
      </c>
      <c r="L111">
        <f t="shared" ref="L111:L113" si="80">SUM(L110,7)</f>
        <v>572</v>
      </c>
      <c r="M111" s="9">
        <f t="shared" si="66"/>
        <v>17033.240997229917</v>
      </c>
      <c r="N111">
        <f>SUM(N110,17)</f>
        <v>642</v>
      </c>
      <c r="O111" s="9">
        <f t="shared" si="68"/>
        <v>17428.030303030304</v>
      </c>
    </row>
    <row r="112" spans="1:15" x14ac:dyDescent="0.25">
      <c r="A112">
        <v>22500</v>
      </c>
      <c r="B112">
        <v>0</v>
      </c>
      <c r="C112" s="9">
        <f t="shared" si="75"/>
        <v>0</v>
      </c>
      <c r="D112">
        <v>0</v>
      </c>
      <c r="E112" s="9">
        <v>0</v>
      </c>
      <c r="F112">
        <v>0</v>
      </c>
      <c r="G112" s="9">
        <f t="shared" si="57"/>
        <v>0</v>
      </c>
      <c r="H112">
        <f t="shared" si="76"/>
        <v>606</v>
      </c>
      <c r="I112" s="9">
        <f t="shared" si="60"/>
        <v>18035.714285714286</v>
      </c>
      <c r="J112">
        <f t="shared" si="79"/>
        <v>579</v>
      </c>
      <c r="K112" s="9">
        <f t="shared" si="62"/>
        <v>17870.370370370369</v>
      </c>
      <c r="L112">
        <f t="shared" si="80"/>
        <v>579</v>
      </c>
      <c r="M112" s="9">
        <f t="shared" si="66"/>
        <v>17870.370370370369</v>
      </c>
      <c r="N112">
        <f t="shared" ref="N112:N114" si="81">SUM(N111,17)</f>
        <v>659</v>
      </c>
      <c r="O112" s="9">
        <f t="shared" si="68"/>
        <v>18328.182941903582</v>
      </c>
    </row>
    <row r="113" spans="1:15" x14ac:dyDescent="0.25">
      <c r="A113">
        <v>23500</v>
      </c>
      <c r="B113">
        <v>0</v>
      </c>
      <c r="C113" s="9">
        <f t="shared" si="75"/>
        <v>0</v>
      </c>
      <c r="D113">
        <v>0</v>
      </c>
      <c r="E113" s="9">
        <v>0</v>
      </c>
      <c r="F113">
        <v>0</v>
      </c>
      <c r="G113" s="9">
        <v>0</v>
      </c>
      <c r="H113">
        <v>0</v>
      </c>
      <c r="I113" s="9">
        <v>0</v>
      </c>
      <c r="J113">
        <v>0</v>
      </c>
      <c r="K113" s="9">
        <v>0</v>
      </c>
      <c r="L113">
        <f t="shared" si="80"/>
        <v>586</v>
      </c>
      <c r="M113" s="9">
        <f t="shared" si="66"/>
        <v>18710.597826086956</v>
      </c>
      <c r="N113">
        <f t="shared" si="81"/>
        <v>676</v>
      </c>
      <c r="O113" s="9">
        <f t="shared" si="68"/>
        <v>19232.445520581114</v>
      </c>
    </row>
    <row r="114" spans="1:15" x14ac:dyDescent="0.25">
      <c r="A114">
        <v>24500</v>
      </c>
      <c r="B114">
        <v>0</v>
      </c>
      <c r="C114" s="9">
        <f t="shared" si="75"/>
        <v>0</v>
      </c>
      <c r="D114">
        <v>0</v>
      </c>
      <c r="E114" s="9">
        <v>0</v>
      </c>
      <c r="F114">
        <v>0</v>
      </c>
      <c r="G114" s="9">
        <v>0</v>
      </c>
      <c r="H114">
        <v>0</v>
      </c>
      <c r="I114" s="9">
        <v>0</v>
      </c>
      <c r="J114">
        <v>0</v>
      </c>
      <c r="K114" s="9">
        <v>0</v>
      </c>
      <c r="L114">
        <v>0</v>
      </c>
      <c r="M114" s="9">
        <v>0</v>
      </c>
      <c r="N114">
        <f t="shared" si="81"/>
        <v>693</v>
      </c>
      <c r="O114" s="9">
        <f t="shared" si="68"/>
        <v>20140.569395017796</v>
      </c>
    </row>
    <row r="115" spans="1:15" x14ac:dyDescent="0.25">
      <c r="A115">
        <v>25500</v>
      </c>
      <c r="B115">
        <v>0</v>
      </c>
      <c r="C115" s="9">
        <f t="shared" si="75"/>
        <v>0</v>
      </c>
      <c r="D115">
        <v>0</v>
      </c>
      <c r="E115" s="9">
        <v>0</v>
      </c>
      <c r="F115">
        <v>0</v>
      </c>
      <c r="G115" s="9">
        <v>0</v>
      </c>
      <c r="H115">
        <v>0</v>
      </c>
      <c r="I115" s="9">
        <v>0</v>
      </c>
      <c r="J115">
        <v>0</v>
      </c>
      <c r="K115" s="9">
        <v>0</v>
      </c>
      <c r="L115">
        <v>0</v>
      </c>
      <c r="M115" s="9">
        <v>0</v>
      </c>
      <c r="N115">
        <f>SUM(N114,18)</f>
        <v>711</v>
      </c>
      <c r="O115" s="9">
        <f t="shared" si="68"/>
        <v>21057.491289198606</v>
      </c>
    </row>
    <row r="116" spans="1:15" x14ac:dyDescent="0.25">
      <c r="A116">
        <v>26500</v>
      </c>
      <c r="B116">
        <v>0</v>
      </c>
      <c r="C116" s="9">
        <f t="shared" si="75"/>
        <v>0</v>
      </c>
      <c r="D116">
        <v>0</v>
      </c>
      <c r="E116" s="9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s="9">
        <v>0</v>
      </c>
      <c r="L116">
        <v>0</v>
      </c>
      <c r="M116" s="9">
        <v>0</v>
      </c>
      <c r="N116" s="19">
        <f t="shared" ref="N116:N118" si="82">SUM(N115,18)</f>
        <v>729</v>
      </c>
      <c r="O116" s="9">
        <f t="shared" si="68"/>
        <v>21977.815699658702</v>
      </c>
    </row>
    <row r="117" spans="1:15" x14ac:dyDescent="0.25">
      <c r="A117">
        <v>27500</v>
      </c>
      <c r="B117">
        <v>0</v>
      </c>
      <c r="C117" s="9">
        <f t="shared" si="75"/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9">
        <v>0</v>
      </c>
      <c r="N117" s="19">
        <f t="shared" si="82"/>
        <v>747</v>
      </c>
      <c r="O117" s="9">
        <f t="shared" si="68"/>
        <v>22901.337792642142</v>
      </c>
    </row>
    <row r="118" spans="1:15" x14ac:dyDescent="0.25">
      <c r="A118">
        <v>28500</v>
      </c>
      <c r="B118">
        <v>0</v>
      </c>
      <c r="C118" s="9">
        <f t="shared" si="75"/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s="9">
        <v>0</v>
      </c>
      <c r="N118" s="19">
        <f t="shared" si="82"/>
        <v>765</v>
      </c>
      <c r="O118" s="9">
        <f t="shared" si="68"/>
        <v>23827.868852459018</v>
      </c>
    </row>
    <row r="119" spans="1:15" x14ac:dyDescent="0.25">
      <c r="A119">
        <v>29500</v>
      </c>
      <c r="B119">
        <v>0</v>
      </c>
      <c r="C119" s="9">
        <f t="shared" si="75"/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s="9">
        <v>0</v>
      </c>
    </row>
    <row r="120" spans="1:15" x14ac:dyDescent="0.25">
      <c r="A120">
        <v>30500</v>
      </c>
      <c r="B120">
        <v>0</v>
      </c>
      <c r="C120" s="9">
        <f t="shared" si="75"/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s="9">
        <v>0</v>
      </c>
    </row>
    <row r="121" spans="1:15" x14ac:dyDescent="0.25">
      <c r="A121">
        <v>31500</v>
      </c>
      <c r="B121">
        <v>0</v>
      </c>
      <c r="C121" s="9">
        <f t="shared" si="75"/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s="9">
        <v>0</v>
      </c>
    </row>
    <row r="122" spans="1:15" x14ac:dyDescent="0.25">
      <c r="A122">
        <v>32500</v>
      </c>
      <c r="B122">
        <v>0</v>
      </c>
      <c r="C122" s="9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s="9">
        <v>0</v>
      </c>
    </row>
    <row r="123" spans="1:15" x14ac:dyDescent="0.25">
      <c r="A123">
        <v>33500</v>
      </c>
      <c r="B123">
        <v>0</v>
      </c>
      <c r="C123" s="9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s="9">
        <v>0</v>
      </c>
    </row>
    <row r="124" spans="1:15" x14ac:dyDescent="0.25">
      <c r="A124">
        <v>34500</v>
      </c>
      <c r="B124">
        <v>0</v>
      </c>
      <c r="C124" s="9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>
        <v>35500</v>
      </c>
      <c r="B125">
        <v>0</v>
      </c>
      <c r="C125" s="9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>
        <v>36500</v>
      </c>
      <c r="B126">
        <v>0</v>
      </c>
      <c r="C126" s="9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>
        <v>37500</v>
      </c>
      <c r="B127">
        <v>0</v>
      </c>
      <c r="C127" s="9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t="s">
        <v>51</v>
      </c>
      <c r="C128">
        <v>4800</v>
      </c>
      <c r="E128">
        <v>4800</v>
      </c>
      <c r="G128">
        <v>5500</v>
      </c>
      <c r="I128">
        <v>5500</v>
      </c>
      <c r="K128">
        <v>7500</v>
      </c>
      <c r="M128">
        <v>8500</v>
      </c>
      <c r="O128">
        <v>10500</v>
      </c>
    </row>
    <row r="129" spans="1:26" x14ac:dyDescent="0.25">
      <c r="A129" t="s">
        <v>50</v>
      </c>
      <c r="C129">
        <v>14500</v>
      </c>
      <c r="E129" s="19">
        <v>21500</v>
      </c>
      <c r="G129">
        <v>21500</v>
      </c>
      <c r="I129">
        <v>22500</v>
      </c>
      <c r="K129">
        <v>22500</v>
      </c>
      <c r="M129">
        <v>23500</v>
      </c>
      <c r="O129" s="19">
        <v>28500</v>
      </c>
    </row>
    <row r="130" spans="1:26" x14ac:dyDescent="0.25">
      <c r="A130" t="s">
        <v>52</v>
      </c>
      <c r="C130">
        <v>3500</v>
      </c>
      <c r="E130" s="19">
        <v>3500</v>
      </c>
      <c r="G130">
        <v>4000</v>
      </c>
      <c r="I130">
        <v>4000</v>
      </c>
      <c r="K130">
        <v>5500</v>
      </c>
      <c r="M130">
        <v>6300</v>
      </c>
      <c r="O130">
        <v>7900</v>
      </c>
    </row>
    <row r="131" spans="1:26" x14ac:dyDescent="0.25">
      <c r="A131" t="s">
        <v>53</v>
      </c>
      <c r="C131" s="19">
        <v>11400</v>
      </c>
      <c r="E131" s="19">
        <v>17300</v>
      </c>
      <c r="G131">
        <v>17225</v>
      </c>
      <c r="I131">
        <v>18040</v>
      </c>
      <c r="K131" s="19">
        <v>17900</v>
      </c>
      <c r="M131">
        <v>18720</v>
      </c>
      <c r="O131" s="19">
        <v>23900</v>
      </c>
    </row>
    <row r="132" spans="1:26" ht="29.25" customHeight="1" x14ac:dyDescent="0.25">
      <c r="A132" s="25" t="s">
        <v>55</v>
      </c>
      <c r="B132" s="26"/>
      <c r="C132">
        <v>8550</v>
      </c>
      <c r="E132">
        <v>8550</v>
      </c>
      <c r="G132">
        <v>9250</v>
      </c>
      <c r="I132">
        <v>9250</v>
      </c>
      <c r="K132">
        <v>11250</v>
      </c>
      <c r="M132">
        <v>12250</v>
      </c>
      <c r="O132">
        <v>14250</v>
      </c>
    </row>
    <row r="133" spans="1:26" ht="29.25" customHeight="1" x14ac:dyDescent="0.25">
      <c r="A133" s="25" t="s">
        <v>65</v>
      </c>
      <c r="B133" s="26"/>
      <c r="C133">
        <v>7050</v>
      </c>
      <c r="E133">
        <v>7050</v>
      </c>
      <c r="G133">
        <v>7750</v>
      </c>
      <c r="I133">
        <v>7750</v>
      </c>
      <c r="K133">
        <v>9750</v>
      </c>
      <c r="M133">
        <v>10750</v>
      </c>
      <c r="O133">
        <v>12750</v>
      </c>
    </row>
    <row r="134" spans="1:26" ht="29.25" customHeight="1" x14ac:dyDescent="0.25">
      <c r="A134" s="25" t="s">
        <v>58</v>
      </c>
      <c r="B134" s="26"/>
      <c r="C134">
        <v>5100</v>
      </c>
      <c r="E134">
        <v>5100</v>
      </c>
      <c r="G134">
        <v>5800</v>
      </c>
      <c r="I134">
        <v>5800</v>
      </c>
      <c r="K134">
        <v>7800</v>
      </c>
      <c r="M134">
        <v>8800</v>
      </c>
      <c r="O134">
        <v>10800</v>
      </c>
    </row>
    <row r="135" spans="1:26" ht="29.25" customHeight="1" x14ac:dyDescent="0.25">
      <c r="A135" s="17"/>
      <c r="B135" s="18"/>
    </row>
    <row r="136" spans="1:26" ht="38.25" customHeight="1" x14ac:dyDescent="0.25">
      <c r="A136" s="25" t="s">
        <v>68</v>
      </c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x14ac:dyDescent="0.25">
      <c r="A137" s="25" t="s">
        <v>39</v>
      </c>
      <c r="B137" s="24" t="s">
        <v>64</v>
      </c>
      <c r="C137" s="24"/>
      <c r="D137" s="24" t="s">
        <v>63</v>
      </c>
      <c r="E137" s="24"/>
      <c r="F137" s="24" t="s">
        <v>43</v>
      </c>
      <c r="G137" s="24"/>
      <c r="H137" s="24" t="s">
        <v>44</v>
      </c>
      <c r="I137" s="24"/>
      <c r="J137" s="24" t="s">
        <v>45</v>
      </c>
      <c r="K137" s="24"/>
      <c r="L137" s="24" t="s">
        <v>46</v>
      </c>
      <c r="M137" s="24"/>
      <c r="N137" s="24" t="s">
        <v>47</v>
      </c>
      <c r="O137" s="24"/>
    </row>
    <row r="138" spans="1:26" x14ac:dyDescent="0.25">
      <c r="A138" s="25"/>
      <c r="B138" t="s">
        <v>40</v>
      </c>
      <c r="C138" t="s">
        <v>41</v>
      </c>
      <c r="D138" t="s">
        <v>40</v>
      </c>
      <c r="E138" t="s">
        <v>41</v>
      </c>
      <c r="F138" t="s">
        <v>40</v>
      </c>
      <c r="G138" t="s">
        <v>41</v>
      </c>
      <c r="H138" t="s">
        <v>40</v>
      </c>
      <c r="I138" t="s">
        <v>41</v>
      </c>
      <c r="J138" t="s">
        <v>40</v>
      </c>
      <c r="K138" t="s">
        <v>41</v>
      </c>
      <c r="L138" t="s">
        <v>40</v>
      </c>
      <c r="M138" t="s">
        <v>41</v>
      </c>
      <c r="N138" t="s">
        <v>40</v>
      </c>
      <c r="O138" t="s">
        <v>41</v>
      </c>
    </row>
    <row r="139" spans="1:26" x14ac:dyDescent="0.25">
      <c r="A139" s="4">
        <v>4800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26" x14ac:dyDescent="0.25">
      <c r="A140" s="4">
        <v>5500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26" x14ac:dyDescent="0.25">
      <c r="A141">
        <v>6800</v>
      </c>
      <c r="B141">
        <v>0</v>
      </c>
      <c r="C141" s="9">
        <v>0</v>
      </c>
      <c r="D141">
        <v>0</v>
      </c>
      <c r="E141" s="9">
        <v>0</v>
      </c>
      <c r="F141">
        <v>0</v>
      </c>
      <c r="G141" s="9">
        <v>0</v>
      </c>
      <c r="H141">
        <v>0</v>
      </c>
      <c r="I141" s="9">
        <v>0</v>
      </c>
      <c r="J141">
        <v>0</v>
      </c>
      <c r="K141" s="9">
        <v>0</v>
      </c>
      <c r="L141">
        <v>0</v>
      </c>
      <c r="M141" s="9">
        <v>0</v>
      </c>
      <c r="N141">
        <v>0</v>
      </c>
      <c r="O141" s="9">
        <v>0</v>
      </c>
    </row>
    <row r="142" spans="1:26" x14ac:dyDescent="0.25">
      <c r="A142">
        <v>7500</v>
      </c>
      <c r="B142" s="19">
        <v>0</v>
      </c>
      <c r="C142" s="9">
        <v>0</v>
      </c>
      <c r="D142">
        <v>0</v>
      </c>
      <c r="E142" s="9">
        <v>0</v>
      </c>
      <c r="F142">
        <v>0</v>
      </c>
      <c r="G142" s="9">
        <f>PRODUCT(A142,F142,1/(420+F142))</f>
        <v>0</v>
      </c>
      <c r="H142">
        <v>0</v>
      </c>
      <c r="I142" s="9">
        <v>0</v>
      </c>
      <c r="J142">
        <v>0</v>
      </c>
      <c r="K142" s="9">
        <v>0</v>
      </c>
      <c r="L142">
        <v>0</v>
      </c>
      <c r="M142" s="9">
        <v>0</v>
      </c>
      <c r="N142">
        <v>0</v>
      </c>
      <c r="O142" s="9">
        <v>0</v>
      </c>
    </row>
    <row r="143" spans="1:26" x14ac:dyDescent="0.25">
      <c r="A143">
        <v>8500</v>
      </c>
      <c r="B143" s="19">
        <v>0</v>
      </c>
      <c r="C143" s="9">
        <v>0</v>
      </c>
      <c r="D143">
        <v>480</v>
      </c>
      <c r="E143" s="9">
        <f>PRODUCT(A143,D143,1/(640+D143))</f>
        <v>3642.8571428571427</v>
      </c>
      <c r="F143">
        <v>0</v>
      </c>
      <c r="G143" s="9">
        <v>0</v>
      </c>
      <c r="H143">
        <v>0</v>
      </c>
      <c r="I143" s="9">
        <v>0</v>
      </c>
      <c r="J143">
        <v>0</v>
      </c>
      <c r="K143" s="9">
        <v>0</v>
      </c>
      <c r="L143">
        <v>0</v>
      </c>
      <c r="M143" s="9">
        <v>0</v>
      </c>
      <c r="N143">
        <v>0</v>
      </c>
      <c r="O143" s="9">
        <v>0</v>
      </c>
    </row>
    <row r="144" spans="1:26" x14ac:dyDescent="0.25">
      <c r="A144">
        <v>9500</v>
      </c>
      <c r="B144" s="19">
        <v>0</v>
      </c>
      <c r="C144" s="9">
        <v>0</v>
      </c>
      <c r="D144">
        <f t="shared" ref="D144" si="83">SUM(D143,15)</f>
        <v>495</v>
      </c>
      <c r="E144" s="9">
        <f t="shared" ref="E144:E168" si="84">PRODUCT(A144,D144,1/(640+D144))</f>
        <v>4143.171806167401</v>
      </c>
      <c r="F144">
        <v>475</v>
      </c>
      <c r="G144" s="9">
        <f t="shared" ref="G144:G168" si="85">PRODUCT(A144,F144,1/(640+F144))</f>
        <v>4047.0852017937218</v>
      </c>
      <c r="H144">
        <v>460</v>
      </c>
      <c r="I144" s="9">
        <f t="shared" ref="I144:I169" si="86">PRODUCT(A144,H144,1/(H144+640))</f>
        <v>3972.7272727272725</v>
      </c>
      <c r="J144">
        <v>450</v>
      </c>
      <c r="K144" s="9">
        <f>PRODUCT(A144,J144,1/(J144+640))</f>
        <v>3922.0183486238534</v>
      </c>
      <c r="L144">
        <v>0</v>
      </c>
      <c r="M144" s="9">
        <v>0</v>
      </c>
      <c r="N144">
        <v>0</v>
      </c>
      <c r="O144" s="9">
        <v>0</v>
      </c>
    </row>
    <row r="145" spans="1:15" x14ac:dyDescent="0.25">
      <c r="A145">
        <v>10500</v>
      </c>
      <c r="B145" s="19">
        <v>0</v>
      </c>
      <c r="C145" s="9">
        <v>0</v>
      </c>
      <c r="D145">
        <f>SUM(D144,10)</f>
        <v>505</v>
      </c>
      <c r="E145" s="9">
        <f t="shared" si="84"/>
        <v>4631.0043668122271</v>
      </c>
      <c r="F145">
        <f>SUM(F144,10)</f>
        <v>485</v>
      </c>
      <c r="G145" s="9">
        <f t="shared" si="85"/>
        <v>4526.666666666667</v>
      </c>
      <c r="H145">
        <f>SUM(H144,10)</f>
        <v>470</v>
      </c>
      <c r="I145" s="9">
        <f t="shared" si="86"/>
        <v>4445.9459459459458</v>
      </c>
      <c r="J145">
        <f>SUM(J144,9)</f>
        <v>459</v>
      </c>
      <c r="K145" s="9">
        <f t="shared" ref="K145:K170" si="87">PRODUCT(A145,J145,1/(J145+640))</f>
        <v>4385.3503184713381</v>
      </c>
      <c r="L145">
        <v>455</v>
      </c>
      <c r="M145" s="9">
        <f>PRODUCT(A145,L145,1/(L145+640))</f>
        <v>4363.0136986301368</v>
      </c>
      <c r="N145">
        <v>0</v>
      </c>
      <c r="O145" s="9">
        <v>0</v>
      </c>
    </row>
    <row r="146" spans="1:15" x14ac:dyDescent="0.25">
      <c r="A146">
        <v>11500</v>
      </c>
      <c r="B146" s="19">
        <v>0</v>
      </c>
      <c r="C146" s="9">
        <v>0</v>
      </c>
      <c r="D146">
        <f t="shared" ref="D146:D151" si="88">SUM(D145,10)</f>
        <v>515</v>
      </c>
      <c r="E146" s="9">
        <f t="shared" si="84"/>
        <v>5127.7056277056281</v>
      </c>
      <c r="F146">
        <f t="shared" ref="F146:F153" si="89">SUM(F145,10)</f>
        <v>495</v>
      </c>
      <c r="G146" s="9">
        <f t="shared" si="85"/>
        <v>5015.4185022026431</v>
      </c>
      <c r="H146">
        <f t="shared" ref="H146:H147" si="90">SUM(H145,10)</f>
        <v>480</v>
      </c>
      <c r="I146" s="9">
        <f t="shared" si="86"/>
        <v>4928.5714285714284</v>
      </c>
      <c r="J146">
        <f t="shared" ref="J146:J154" si="91">SUM(J145,9)</f>
        <v>468</v>
      </c>
      <c r="K146" s="9">
        <f t="shared" si="87"/>
        <v>4857.4007220216608</v>
      </c>
      <c r="L146">
        <f>SUM(L145,9)</f>
        <v>464</v>
      </c>
      <c r="M146" s="9">
        <f t="shared" ref="M146:M172" si="92">PRODUCT(A146,L146,1/(L146+640))</f>
        <v>4833.333333333333</v>
      </c>
      <c r="N146">
        <v>0</v>
      </c>
      <c r="O146" s="9">
        <v>0</v>
      </c>
    </row>
    <row r="147" spans="1:15" x14ac:dyDescent="0.25">
      <c r="A147">
        <v>12500</v>
      </c>
      <c r="B147" s="19">
        <v>0</v>
      </c>
      <c r="C147" s="9">
        <v>0</v>
      </c>
      <c r="D147">
        <f t="shared" si="88"/>
        <v>525</v>
      </c>
      <c r="E147" s="9">
        <f t="shared" si="84"/>
        <v>5633.0472103004286</v>
      </c>
      <c r="F147">
        <f t="shared" si="89"/>
        <v>505</v>
      </c>
      <c r="G147" s="9">
        <f t="shared" si="85"/>
        <v>5513.1004366812231</v>
      </c>
      <c r="H147">
        <f t="shared" si="90"/>
        <v>490</v>
      </c>
      <c r="I147" s="9">
        <f t="shared" si="86"/>
        <v>5420.353982300885</v>
      </c>
      <c r="J147">
        <f t="shared" si="91"/>
        <v>477</v>
      </c>
      <c r="K147" s="9">
        <f t="shared" si="87"/>
        <v>5337.9588182632051</v>
      </c>
      <c r="L147">
        <f t="shared" ref="L147:L154" si="93">SUM(L146,9)</f>
        <v>473</v>
      </c>
      <c r="M147" s="9">
        <f t="shared" si="92"/>
        <v>5312.219227313567</v>
      </c>
      <c r="N147">
        <v>0</v>
      </c>
      <c r="O147" s="9">
        <v>0</v>
      </c>
    </row>
    <row r="148" spans="1:15" x14ac:dyDescent="0.25">
      <c r="A148">
        <v>13500</v>
      </c>
      <c r="B148" s="19">
        <v>0</v>
      </c>
      <c r="C148" s="9">
        <v>0</v>
      </c>
      <c r="D148">
        <f t="shared" si="88"/>
        <v>535</v>
      </c>
      <c r="E148" s="9">
        <f t="shared" si="84"/>
        <v>6146.8085106382978</v>
      </c>
      <c r="F148">
        <f t="shared" si="89"/>
        <v>515</v>
      </c>
      <c r="G148" s="9">
        <f t="shared" si="85"/>
        <v>6019.4805194805194</v>
      </c>
      <c r="H148">
        <f>SUM(H147,9)</f>
        <v>499</v>
      </c>
      <c r="I148" s="9">
        <f t="shared" si="86"/>
        <v>5914.3985952589992</v>
      </c>
      <c r="J148">
        <f t="shared" si="91"/>
        <v>486</v>
      </c>
      <c r="K148" s="9">
        <f t="shared" si="87"/>
        <v>5826.8206039076376</v>
      </c>
      <c r="L148">
        <f t="shared" si="93"/>
        <v>482</v>
      </c>
      <c r="M148" s="9">
        <f t="shared" si="92"/>
        <v>5799.4652406417108</v>
      </c>
      <c r="N148">
        <v>0</v>
      </c>
      <c r="O148" s="9">
        <v>0</v>
      </c>
    </row>
    <row r="149" spans="1:15" x14ac:dyDescent="0.25">
      <c r="A149">
        <v>14500</v>
      </c>
      <c r="B149" s="19">
        <v>0</v>
      </c>
      <c r="C149" s="9">
        <v>0</v>
      </c>
      <c r="D149">
        <f t="shared" si="88"/>
        <v>545</v>
      </c>
      <c r="E149" s="9">
        <f t="shared" si="84"/>
        <v>6668.7763713080167</v>
      </c>
      <c r="F149">
        <f>SUM(F148,10)</f>
        <v>525</v>
      </c>
      <c r="G149" s="9">
        <f t="shared" si="85"/>
        <v>6534.3347639484973</v>
      </c>
      <c r="H149">
        <f t="shared" ref="H149:H151" si="94">SUM(H148,9)</f>
        <v>508</v>
      </c>
      <c r="I149" s="9">
        <f t="shared" si="86"/>
        <v>6416.3763066202091</v>
      </c>
      <c r="J149">
        <f t="shared" si="91"/>
        <v>495</v>
      </c>
      <c r="K149" s="9">
        <f t="shared" si="87"/>
        <v>6323.7885462555068</v>
      </c>
      <c r="L149">
        <f t="shared" si="93"/>
        <v>491</v>
      </c>
      <c r="M149" s="9">
        <f t="shared" si="92"/>
        <v>6294.8717948717949</v>
      </c>
      <c r="N149">
        <v>0</v>
      </c>
      <c r="O149" s="9">
        <v>0</v>
      </c>
    </row>
    <row r="150" spans="1:15" x14ac:dyDescent="0.25">
      <c r="A150">
        <v>15500</v>
      </c>
      <c r="B150" s="19">
        <v>0</v>
      </c>
      <c r="C150" s="9">
        <v>0</v>
      </c>
      <c r="D150">
        <f t="shared" si="88"/>
        <v>555</v>
      </c>
      <c r="E150" s="9">
        <f t="shared" si="84"/>
        <v>7198.7447698744763</v>
      </c>
      <c r="F150">
        <f t="shared" si="89"/>
        <v>535</v>
      </c>
      <c r="G150" s="9">
        <f t="shared" si="85"/>
        <v>7057.4468085106382</v>
      </c>
      <c r="H150">
        <f t="shared" si="94"/>
        <v>517</v>
      </c>
      <c r="I150" s="9">
        <f t="shared" si="86"/>
        <v>6926.1019878997413</v>
      </c>
      <c r="J150">
        <f t="shared" si="91"/>
        <v>504</v>
      </c>
      <c r="K150" s="9">
        <f t="shared" si="87"/>
        <v>6828.6713286713284</v>
      </c>
      <c r="L150">
        <f>SUM(L149,9)</f>
        <v>500</v>
      </c>
      <c r="M150" s="9">
        <f t="shared" si="92"/>
        <v>6798.2456140350878</v>
      </c>
      <c r="N150">
        <v>0</v>
      </c>
      <c r="O150" s="9">
        <v>0</v>
      </c>
    </row>
    <row r="151" spans="1:15" x14ac:dyDescent="0.25">
      <c r="A151">
        <v>16500</v>
      </c>
      <c r="B151" s="19">
        <v>0</v>
      </c>
      <c r="C151" s="9">
        <v>0</v>
      </c>
      <c r="D151">
        <f t="shared" si="88"/>
        <v>565</v>
      </c>
      <c r="E151" s="9">
        <f t="shared" si="84"/>
        <v>7736.514522821577</v>
      </c>
      <c r="F151">
        <f>SUM(F150,10)</f>
        <v>545</v>
      </c>
      <c r="G151" s="9">
        <f t="shared" si="85"/>
        <v>7588.6075949367087</v>
      </c>
      <c r="H151">
        <f t="shared" si="94"/>
        <v>526</v>
      </c>
      <c r="I151" s="9">
        <f t="shared" si="86"/>
        <v>7443.3962264150941</v>
      </c>
      <c r="J151">
        <f t="shared" si="91"/>
        <v>513</v>
      </c>
      <c r="K151" s="9">
        <f t="shared" si="87"/>
        <v>7341.2836079791841</v>
      </c>
      <c r="L151">
        <f t="shared" si="93"/>
        <v>509</v>
      </c>
      <c r="M151" s="9">
        <f t="shared" si="92"/>
        <v>7309.3994778067881</v>
      </c>
      <c r="N151">
        <v>0</v>
      </c>
      <c r="O151" s="9">
        <v>0</v>
      </c>
    </row>
    <row r="152" spans="1:15" x14ac:dyDescent="0.25">
      <c r="A152">
        <v>17500</v>
      </c>
      <c r="B152" s="19">
        <v>0</v>
      </c>
      <c r="C152" s="9">
        <v>0</v>
      </c>
      <c r="D152">
        <f>SUM(D151,8)</f>
        <v>573</v>
      </c>
      <c r="E152" s="9">
        <f t="shared" si="84"/>
        <v>8266.6941467436118</v>
      </c>
      <c r="F152">
        <f t="shared" si="89"/>
        <v>555</v>
      </c>
      <c r="G152" s="9">
        <f t="shared" si="85"/>
        <v>8127.6150627615061</v>
      </c>
      <c r="H152">
        <f>SUM(H151,8)</f>
        <v>534</v>
      </c>
      <c r="I152" s="9">
        <f t="shared" si="86"/>
        <v>7959.9659284497448</v>
      </c>
      <c r="J152">
        <f t="shared" si="91"/>
        <v>522</v>
      </c>
      <c r="K152" s="9">
        <f t="shared" si="87"/>
        <v>7861.4457831325308</v>
      </c>
      <c r="L152">
        <f t="shared" si="93"/>
        <v>518</v>
      </c>
      <c r="M152" s="9">
        <f t="shared" si="92"/>
        <v>7828.1519861830739</v>
      </c>
      <c r="N152">
        <v>0</v>
      </c>
      <c r="O152" s="9">
        <v>0</v>
      </c>
    </row>
    <row r="153" spans="1:15" x14ac:dyDescent="0.25">
      <c r="A153">
        <v>18500</v>
      </c>
      <c r="B153" s="19">
        <v>0</v>
      </c>
      <c r="C153" s="9">
        <v>0</v>
      </c>
      <c r="D153">
        <f>SUM(D152,8)</f>
        <v>581</v>
      </c>
      <c r="E153" s="9">
        <f t="shared" si="84"/>
        <v>8803.0303030303039</v>
      </c>
      <c r="F153">
        <f t="shared" si="89"/>
        <v>565</v>
      </c>
      <c r="G153" s="9">
        <f t="shared" si="85"/>
        <v>8674.2738589211622</v>
      </c>
      <c r="H153">
        <f t="shared" ref="H153:H169" si="95">SUM(H152,8)</f>
        <v>542</v>
      </c>
      <c r="I153" s="9">
        <f t="shared" si="86"/>
        <v>8483.0795262267347</v>
      </c>
      <c r="J153">
        <f t="shared" si="91"/>
        <v>531</v>
      </c>
      <c r="K153" s="9">
        <f t="shared" si="87"/>
        <v>8388.9837745516652</v>
      </c>
      <c r="L153">
        <f>SUM(L152,9)</f>
        <v>527</v>
      </c>
      <c r="M153" s="9">
        <f t="shared" si="92"/>
        <v>8354.32733504713</v>
      </c>
      <c r="N153">
        <v>0</v>
      </c>
      <c r="O153" s="9">
        <v>0</v>
      </c>
    </row>
    <row r="154" spans="1:15" x14ac:dyDescent="0.25">
      <c r="A154">
        <v>19500</v>
      </c>
      <c r="B154" s="19">
        <v>0</v>
      </c>
      <c r="C154" s="9">
        <v>0</v>
      </c>
      <c r="D154">
        <f>SUM(D153,8)</f>
        <v>589</v>
      </c>
      <c r="E154" s="9">
        <f t="shared" si="84"/>
        <v>9345.4027664768109</v>
      </c>
      <c r="F154">
        <f>SUM(F153,8)</f>
        <v>573</v>
      </c>
      <c r="G154" s="9">
        <f t="shared" si="85"/>
        <v>9211.4591920857383</v>
      </c>
      <c r="H154">
        <f t="shared" si="95"/>
        <v>550</v>
      </c>
      <c r="I154" s="9">
        <f t="shared" si="86"/>
        <v>9012.6050420168067</v>
      </c>
      <c r="J154">
        <f t="shared" si="91"/>
        <v>540</v>
      </c>
      <c r="K154" s="9">
        <f t="shared" si="87"/>
        <v>8923.7288135593226</v>
      </c>
      <c r="L154">
        <f t="shared" si="93"/>
        <v>536</v>
      </c>
      <c r="M154" s="9">
        <f t="shared" si="92"/>
        <v>8887.7551020408155</v>
      </c>
      <c r="N154">
        <v>0</v>
      </c>
      <c r="O154" s="9">
        <v>0</v>
      </c>
    </row>
    <row r="155" spans="1:15" x14ac:dyDescent="0.25">
      <c r="A155">
        <v>20500</v>
      </c>
      <c r="B155" s="19">
        <v>0</v>
      </c>
      <c r="C155" s="9">
        <v>0</v>
      </c>
      <c r="D155">
        <f t="shared" ref="D155:D168" si="96">SUM(D154,8)</f>
        <v>597</v>
      </c>
      <c r="E155" s="9">
        <f t="shared" si="84"/>
        <v>9893.6944219886809</v>
      </c>
      <c r="F155">
        <f t="shared" ref="F155:F156" si="97">SUM(F154,8)</f>
        <v>581</v>
      </c>
      <c r="G155" s="9">
        <f t="shared" si="85"/>
        <v>9754.7092547092561</v>
      </c>
      <c r="H155">
        <f t="shared" si="95"/>
        <v>558</v>
      </c>
      <c r="I155" s="9">
        <f t="shared" si="86"/>
        <v>9548.4140233722883</v>
      </c>
      <c r="J155">
        <f>SUM(J154,7)</f>
        <v>547</v>
      </c>
      <c r="K155" s="9">
        <f t="shared" si="87"/>
        <v>9446.9250210614991</v>
      </c>
      <c r="L155">
        <f>SUM(L154,7)</f>
        <v>543</v>
      </c>
      <c r="M155" s="9">
        <f t="shared" si="92"/>
        <v>9409.5519864750622</v>
      </c>
      <c r="N155">
        <v>0</v>
      </c>
      <c r="O155" s="9">
        <v>0</v>
      </c>
    </row>
    <row r="156" spans="1:15" x14ac:dyDescent="0.25">
      <c r="A156">
        <v>21500</v>
      </c>
      <c r="B156" s="19">
        <v>0</v>
      </c>
      <c r="C156" s="9">
        <v>0</v>
      </c>
      <c r="D156">
        <f t="shared" si="96"/>
        <v>605</v>
      </c>
      <c r="E156" s="9">
        <f t="shared" si="84"/>
        <v>10447.791164658634</v>
      </c>
      <c r="F156">
        <f t="shared" si="97"/>
        <v>589</v>
      </c>
      <c r="G156" s="9">
        <f t="shared" si="85"/>
        <v>10303.905614320585</v>
      </c>
      <c r="H156">
        <f t="shared" si="95"/>
        <v>566</v>
      </c>
      <c r="I156" s="9">
        <f t="shared" si="86"/>
        <v>10090.381426202322</v>
      </c>
      <c r="J156">
        <f t="shared" ref="J156:J159" si="98">SUM(J155,7)</f>
        <v>554</v>
      </c>
      <c r="K156" s="9">
        <f t="shared" si="87"/>
        <v>9975.7118927973206</v>
      </c>
      <c r="L156">
        <f t="shared" ref="L156:L158" si="99">SUM(L155,7)</f>
        <v>550</v>
      </c>
      <c r="M156" s="9">
        <f t="shared" si="92"/>
        <v>9936.9747899159665</v>
      </c>
      <c r="N156">
        <v>0</v>
      </c>
      <c r="O156" s="9">
        <v>0</v>
      </c>
    </row>
    <row r="157" spans="1:15" x14ac:dyDescent="0.25">
      <c r="A157">
        <v>22500</v>
      </c>
      <c r="B157" s="19">
        <v>0</v>
      </c>
      <c r="C157" s="9">
        <v>0</v>
      </c>
      <c r="D157">
        <f t="shared" si="96"/>
        <v>613</v>
      </c>
      <c r="E157" s="9">
        <f t="shared" si="84"/>
        <v>11007.58180367119</v>
      </c>
      <c r="F157">
        <f>SUM(F156,6)</f>
        <v>595</v>
      </c>
      <c r="G157" s="9">
        <f t="shared" si="85"/>
        <v>10840.080971659918</v>
      </c>
      <c r="H157">
        <f t="shared" si="95"/>
        <v>574</v>
      </c>
      <c r="I157" s="9">
        <f t="shared" si="86"/>
        <v>10638.38550247117</v>
      </c>
      <c r="J157">
        <f t="shared" si="98"/>
        <v>561</v>
      </c>
      <c r="K157" s="9">
        <f t="shared" si="87"/>
        <v>10509.991673605329</v>
      </c>
      <c r="L157">
        <f t="shared" si="99"/>
        <v>557</v>
      </c>
      <c r="M157" s="9">
        <f t="shared" si="92"/>
        <v>10469.924812030074</v>
      </c>
      <c r="N157">
        <v>0</v>
      </c>
      <c r="O157" s="9">
        <v>0</v>
      </c>
    </row>
    <row r="158" spans="1:15" x14ac:dyDescent="0.25">
      <c r="A158">
        <v>23500</v>
      </c>
      <c r="B158" s="19">
        <v>0</v>
      </c>
      <c r="C158" s="9">
        <v>0</v>
      </c>
      <c r="D158">
        <f t="shared" si="96"/>
        <v>621</v>
      </c>
      <c r="E158" s="9">
        <f t="shared" si="84"/>
        <v>11572.957969865187</v>
      </c>
      <c r="F158">
        <f>SUM(F157,6)</f>
        <v>601</v>
      </c>
      <c r="G158" s="9">
        <f t="shared" si="85"/>
        <v>11380.741337630943</v>
      </c>
      <c r="H158">
        <f t="shared" si="95"/>
        <v>582</v>
      </c>
      <c r="I158" s="9">
        <f t="shared" si="86"/>
        <v>11192.307692307693</v>
      </c>
      <c r="J158">
        <f t="shared" si="98"/>
        <v>568</v>
      </c>
      <c r="K158" s="9">
        <f t="shared" si="87"/>
        <v>11049.668874172185</v>
      </c>
      <c r="L158">
        <f t="shared" si="99"/>
        <v>564</v>
      </c>
      <c r="M158" s="9">
        <f t="shared" si="92"/>
        <v>11008.305647840532</v>
      </c>
      <c r="N158">
        <v>0</v>
      </c>
      <c r="O158" s="9">
        <v>0</v>
      </c>
    </row>
    <row r="159" spans="1:15" x14ac:dyDescent="0.25">
      <c r="A159">
        <v>24500</v>
      </c>
      <c r="B159">
        <v>0</v>
      </c>
      <c r="C159" s="9">
        <v>0</v>
      </c>
      <c r="D159">
        <f t="shared" si="96"/>
        <v>629</v>
      </c>
      <c r="E159" s="9">
        <f t="shared" si="84"/>
        <v>12143.81402679275</v>
      </c>
      <c r="F159">
        <f t="shared" ref="F159" si="100">SUM(F158,6)</f>
        <v>607</v>
      </c>
      <c r="G159" s="9">
        <f t="shared" si="85"/>
        <v>11925.821972734562</v>
      </c>
      <c r="H159">
        <f t="shared" si="95"/>
        <v>590</v>
      </c>
      <c r="I159" s="9">
        <f t="shared" si="86"/>
        <v>11752.032520325203</v>
      </c>
      <c r="J159">
        <f t="shared" si="98"/>
        <v>575</v>
      </c>
      <c r="K159" s="9">
        <f t="shared" si="87"/>
        <v>11594.650205761316</v>
      </c>
      <c r="L159">
        <f>SUM(L158,7)</f>
        <v>571</v>
      </c>
      <c r="M159" s="9">
        <f t="shared" si="92"/>
        <v>11552.023121387283</v>
      </c>
      <c r="N159">
        <v>0</v>
      </c>
      <c r="O159" s="9">
        <v>0</v>
      </c>
    </row>
    <row r="160" spans="1:15" x14ac:dyDescent="0.25">
      <c r="A160">
        <v>25500</v>
      </c>
      <c r="B160">
        <v>0</v>
      </c>
      <c r="C160" s="9">
        <v>0</v>
      </c>
      <c r="D160">
        <f t="shared" si="96"/>
        <v>637</v>
      </c>
      <c r="E160" s="9">
        <f t="shared" si="84"/>
        <v>12720.046985121378</v>
      </c>
      <c r="F160">
        <f>SUM(F159,4)</f>
        <v>611</v>
      </c>
      <c r="G160" s="9">
        <f t="shared" si="85"/>
        <v>12454.436450839328</v>
      </c>
      <c r="H160">
        <f t="shared" si="95"/>
        <v>598</v>
      </c>
      <c r="I160" s="9">
        <f t="shared" si="86"/>
        <v>12317.447495961229</v>
      </c>
      <c r="J160">
        <f>SUM(J159,6)</f>
        <v>581</v>
      </c>
      <c r="K160" s="9">
        <f t="shared" si="87"/>
        <v>12133.906633906634</v>
      </c>
      <c r="L160">
        <f>SUM(L159,5)</f>
        <v>576</v>
      </c>
      <c r="M160" s="9">
        <f t="shared" si="92"/>
        <v>12078.947368421052</v>
      </c>
      <c r="N160">
        <v>0</v>
      </c>
      <c r="O160" s="9">
        <v>0</v>
      </c>
    </row>
    <row r="161" spans="1:15" x14ac:dyDescent="0.25">
      <c r="A161">
        <v>26500</v>
      </c>
      <c r="B161">
        <v>0</v>
      </c>
      <c r="C161" s="9">
        <f t="shared" ref="C161:C166" si="101">PRODUCT(A161,B162,1/(300+B162))</f>
        <v>0</v>
      </c>
      <c r="D161">
        <f t="shared" si="96"/>
        <v>645</v>
      </c>
      <c r="E161" s="9">
        <f t="shared" si="84"/>
        <v>13301.556420233464</v>
      </c>
      <c r="F161">
        <f>SUM(F160,4)</f>
        <v>615</v>
      </c>
      <c r="G161" s="9">
        <f t="shared" si="85"/>
        <v>12986.05577689243</v>
      </c>
      <c r="H161">
        <f t="shared" si="95"/>
        <v>606</v>
      </c>
      <c r="I161" s="9">
        <f t="shared" si="86"/>
        <v>12888.4430176565</v>
      </c>
      <c r="J161">
        <f>SUM(J160,6)</f>
        <v>587</v>
      </c>
      <c r="K161" s="9">
        <f t="shared" si="87"/>
        <v>12677.669111654441</v>
      </c>
      <c r="L161">
        <f>SUM(L160,4)</f>
        <v>580</v>
      </c>
      <c r="M161" s="9">
        <f t="shared" si="92"/>
        <v>12598.360655737704</v>
      </c>
      <c r="N161">
        <v>0</v>
      </c>
      <c r="O161" s="9">
        <v>0</v>
      </c>
    </row>
    <row r="162" spans="1:15" x14ac:dyDescent="0.25">
      <c r="A162">
        <v>27500</v>
      </c>
      <c r="B162">
        <v>0</v>
      </c>
      <c r="C162" s="9">
        <f t="shared" si="101"/>
        <v>0</v>
      </c>
      <c r="D162">
        <f t="shared" si="96"/>
        <v>653</v>
      </c>
      <c r="E162" s="9">
        <f t="shared" si="84"/>
        <v>13888.244392884764</v>
      </c>
      <c r="F162">
        <f>SUM(F161,4)</f>
        <v>619</v>
      </c>
      <c r="G162" s="9">
        <f t="shared" si="85"/>
        <v>13520.651310563939</v>
      </c>
      <c r="H162">
        <f t="shared" si="95"/>
        <v>614</v>
      </c>
      <c r="I162" s="9">
        <f t="shared" si="86"/>
        <v>13464.912280701754</v>
      </c>
      <c r="J162">
        <f t="shared" ref="J162:J170" si="102">SUM(J161,6)</f>
        <v>593</v>
      </c>
      <c r="K162" s="9">
        <f t="shared" si="87"/>
        <v>13225.871857258719</v>
      </c>
      <c r="L162">
        <f t="shared" ref="L162:L172" si="103">SUM(L161,4)</f>
        <v>584</v>
      </c>
      <c r="M162" s="9">
        <f t="shared" si="92"/>
        <v>13120.915032679739</v>
      </c>
      <c r="N162">
        <v>0</v>
      </c>
      <c r="O162" s="9">
        <v>0</v>
      </c>
    </row>
    <row r="163" spans="1:15" x14ac:dyDescent="0.25">
      <c r="A163">
        <v>28500</v>
      </c>
      <c r="B163">
        <v>0</v>
      </c>
      <c r="C163" s="9">
        <f t="shared" si="101"/>
        <v>0</v>
      </c>
      <c r="D163">
        <f t="shared" si="96"/>
        <v>661</v>
      </c>
      <c r="E163" s="9">
        <f t="shared" si="84"/>
        <v>14480.015372790162</v>
      </c>
      <c r="F163">
        <f>SUM(F162,4)</f>
        <v>623</v>
      </c>
      <c r="G163" s="9">
        <f t="shared" si="85"/>
        <v>14058.194774346794</v>
      </c>
      <c r="H163">
        <f t="shared" si="95"/>
        <v>622</v>
      </c>
      <c r="I163" s="9">
        <f t="shared" si="86"/>
        <v>14046.75118858954</v>
      </c>
      <c r="J163">
        <f t="shared" si="102"/>
        <v>599</v>
      </c>
      <c r="K163" s="9">
        <f t="shared" si="87"/>
        <v>13778.450363196125</v>
      </c>
      <c r="L163">
        <f t="shared" si="103"/>
        <v>588</v>
      </c>
      <c r="M163" s="9">
        <f t="shared" si="92"/>
        <v>13646.579804560261</v>
      </c>
      <c r="N163">
        <v>0</v>
      </c>
      <c r="O163" s="9">
        <v>0</v>
      </c>
    </row>
    <row r="164" spans="1:15" x14ac:dyDescent="0.25">
      <c r="A164">
        <v>29500</v>
      </c>
      <c r="B164">
        <v>0</v>
      </c>
      <c r="C164" s="9">
        <f t="shared" si="101"/>
        <v>0</v>
      </c>
      <c r="D164">
        <f t="shared" si="96"/>
        <v>669</v>
      </c>
      <c r="E164" s="9">
        <f t="shared" si="84"/>
        <v>15076.776165011459</v>
      </c>
      <c r="F164">
        <f t="shared" ref="F164:F168" si="104">SUM(F163,4)</f>
        <v>627</v>
      </c>
      <c r="G164" s="9">
        <f t="shared" si="85"/>
        <v>14598.658247829519</v>
      </c>
      <c r="H164">
        <f t="shared" si="95"/>
        <v>630</v>
      </c>
      <c r="I164" s="9">
        <f t="shared" si="86"/>
        <v>14633.858267716536</v>
      </c>
      <c r="J164">
        <f t="shared" si="102"/>
        <v>605</v>
      </c>
      <c r="K164" s="9">
        <f t="shared" si="87"/>
        <v>14335.341365461849</v>
      </c>
      <c r="L164">
        <f t="shared" si="103"/>
        <v>592</v>
      </c>
      <c r="M164" s="9">
        <f t="shared" si="92"/>
        <v>14175.324675324677</v>
      </c>
      <c r="N164">
        <v>0</v>
      </c>
      <c r="O164" s="9">
        <v>0</v>
      </c>
    </row>
    <row r="165" spans="1:15" x14ac:dyDescent="0.25">
      <c r="A165">
        <v>30500</v>
      </c>
      <c r="B165">
        <v>0</v>
      </c>
      <c r="C165" s="9">
        <f t="shared" si="101"/>
        <v>0</v>
      </c>
      <c r="D165">
        <f t="shared" si="96"/>
        <v>677</v>
      </c>
      <c r="E165" s="9">
        <f t="shared" si="84"/>
        <v>15678.435839028094</v>
      </c>
      <c r="F165">
        <f t="shared" si="104"/>
        <v>631</v>
      </c>
      <c r="G165" s="9">
        <f t="shared" si="85"/>
        <v>15142.014162077105</v>
      </c>
      <c r="H165">
        <f t="shared" si="95"/>
        <v>638</v>
      </c>
      <c r="I165" s="9">
        <f t="shared" si="86"/>
        <v>15226.134585289516</v>
      </c>
      <c r="J165">
        <f t="shared" si="102"/>
        <v>611</v>
      </c>
      <c r="K165" s="9">
        <f t="shared" si="87"/>
        <v>14896.482813749</v>
      </c>
      <c r="L165">
        <f t="shared" si="103"/>
        <v>596</v>
      </c>
      <c r="M165" s="9">
        <f t="shared" si="92"/>
        <v>14707.119741100325</v>
      </c>
      <c r="N165">
        <v>0</v>
      </c>
      <c r="O165" s="9">
        <v>0</v>
      </c>
    </row>
    <row r="166" spans="1:15" x14ac:dyDescent="0.25">
      <c r="A166">
        <v>31500</v>
      </c>
      <c r="B166">
        <v>0</v>
      </c>
      <c r="C166" s="9">
        <f t="shared" si="101"/>
        <v>0</v>
      </c>
      <c r="D166">
        <f t="shared" si="96"/>
        <v>685</v>
      </c>
      <c r="E166" s="9">
        <f t="shared" si="84"/>
        <v>16284.905660377357</v>
      </c>
      <c r="F166">
        <f t="shared" si="104"/>
        <v>635</v>
      </c>
      <c r="G166" s="9">
        <f t="shared" si="85"/>
        <v>15688.235294117647</v>
      </c>
      <c r="H166">
        <f t="shared" si="95"/>
        <v>646</v>
      </c>
      <c r="I166" s="9">
        <f t="shared" si="86"/>
        <v>15823.483670295489</v>
      </c>
      <c r="J166">
        <f t="shared" si="102"/>
        <v>617</v>
      </c>
      <c r="K166" s="9">
        <f t="shared" si="87"/>
        <v>15461.813842482101</v>
      </c>
      <c r="L166">
        <f t="shared" si="103"/>
        <v>600</v>
      </c>
      <c r="M166" s="9">
        <f t="shared" si="92"/>
        <v>15241.935483870968</v>
      </c>
      <c r="N166">
        <v>0</v>
      </c>
      <c r="O166" s="9">
        <v>0</v>
      </c>
    </row>
    <row r="167" spans="1:15" x14ac:dyDescent="0.25">
      <c r="A167">
        <v>32500</v>
      </c>
      <c r="B167">
        <v>0</v>
      </c>
      <c r="C167" s="9">
        <v>0</v>
      </c>
      <c r="D167" s="19">
        <f t="shared" si="96"/>
        <v>693</v>
      </c>
      <c r="E167" s="9">
        <f t="shared" si="84"/>
        <v>16896.099024756189</v>
      </c>
      <c r="F167">
        <f t="shared" si="104"/>
        <v>639</v>
      </c>
      <c r="G167" s="9">
        <f t="shared" si="85"/>
        <v>16237.294761532447</v>
      </c>
      <c r="H167">
        <f t="shared" si="95"/>
        <v>654</v>
      </c>
      <c r="I167" s="9">
        <f t="shared" si="86"/>
        <v>16425.811437403401</v>
      </c>
      <c r="J167">
        <f t="shared" si="102"/>
        <v>623</v>
      </c>
      <c r="K167" s="9">
        <f t="shared" si="87"/>
        <v>16031.274742676167</v>
      </c>
      <c r="L167">
        <f t="shared" si="103"/>
        <v>604</v>
      </c>
      <c r="M167" s="9">
        <f t="shared" si="92"/>
        <v>15779.742765273311</v>
      </c>
      <c r="N167">
        <v>0</v>
      </c>
      <c r="O167" s="9">
        <v>0</v>
      </c>
    </row>
    <row r="168" spans="1:15" x14ac:dyDescent="0.25">
      <c r="A168">
        <v>33500</v>
      </c>
      <c r="B168">
        <v>0</v>
      </c>
      <c r="C168" s="9">
        <v>0</v>
      </c>
      <c r="D168" s="19">
        <f t="shared" si="96"/>
        <v>701</v>
      </c>
      <c r="E168" s="9">
        <f t="shared" si="84"/>
        <v>17511.93139448173</v>
      </c>
      <c r="F168">
        <f t="shared" si="104"/>
        <v>643</v>
      </c>
      <c r="G168" s="9">
        <f t="shared" si="85"/>
        <v>16789.166017147312</v>
      </c>
      <c r="H168">
        <f t="shared" si="95"/>
        <v>662</v>
      </c>
      <c r="I168" s="9">
        <f t="shared" si="86"/>
        <v>17033.026113671276</v>
      </c>
      <c r="J168">
        <f t="shared" si="102"/>
        <v>629</v>
      </c>
      <c r="K168" s="9">
        <f t="shared" si="87"/>
        <v>16604.806934594169</v>
      </c>
      <c r="L168">
        <f t="shared" si="103"/>
        <v>608</v>
      </c>
      <c r="M168" s="9">
        <f t="shared" si="92"/>
        <v>16320.51282051282</v>
      </c>
      <c r="N168">
        <v>0</v>
      </c>
      <c r="O168" s="9">
        <v>0</v>
      </c>
    </row>
    <row r="169" spans="1:15" x14ac:dyDescent="0.25">
      <c r="A169">
        <v>34500</v>
      </c>
      <c r="B169">
        <v>0</v>
      </c>
      <c r="C169" s="9">
        <v>0</v>
      </c>
      <c r="D169">
        <v>0</v>
      </c>
      <c r="E169">
        <v>0</v>
      </c>
      <c r="F169">
        <v>0</v>
      </c>
      <c r="G169">
        <v>0</v>
      </c>
      <c r="H169">
        <f t="shared" si="95"/>
        <v>670</v>
      </c>
      <c r="I169" s="9">
        <f t="shared" si="86"/>
        <v>17645.038167938932</v>
      </c>
      <c r="J169">
        <f t="shared" si="102"/>
        <v>635</v>
      </c>
      <c r="K169" s="9">
        <f t="shared" si="87"/>
        <v>17182.352941176468</v>
      </c>
      <c r="L169">
        <f t="shared" si="103"/>
        <v>612</v>
      </c>
      <c r="M169" s="9">
        <f t="shared" si="92"/>
        <v>16864.217252396167</v>
      </c>
      <c r="N169">
        <v>0</v>
      </c>
      <c r="O169" s="9">
        <v>0</v>
      </c>
    </row>
    <row r="170" spans="1:15" x14ac:dyDescent="0.25">
      <c r="A170">
        <v>35500</v>
      </c>
      <c r="B170">
        <v>0</v>
      </c>
      <c r="C170" s="9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f t="shared" si="102"/>
        <v>641</v>
      </c>
      <c r="K170" s="9">
        <f t="shared" si="87"/>
        <v>17763.856362217019</v>
      </c>
      <c r="L170">
        <f t="shared" si="103"/>
        <v>616</v>
      </c>
      <c r="M170" s="9">
        <f t="shared" si="92"/>
        <v>17410.828025477709</v>
      </c>
      <c r="N170">
        <v>0</v>
      </c>
      <c r="O170">
        <v>0</v>
      </c>
    </row>
    <row r="171" spans="1:15" x14ac:dyDescent="0.25">
      <c r="A171">
        <v>36500</v>
      </c>
      <c r="B171">
        <v>0</v>
      </c>
      <c r="C171" s="9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f t="shared" si="103"/>
        <v>620</v>
      </c>
      <c r="M171" s="9">
        <f t="shared" si="92"/>
        <v>17960.317460317459</v>
      </c>
      <c r="N171">
        <v>0</v>
      </c>
      <c r="O171">
        <v>0</v>
      </c>
    </row>
    <row r="172" spans="1:15" x14ac:dyDescent="0.25">
      <c r="A172">
        <v>37500</v>
      </c>
      <c r="B172">
        <v>0</v>
      </c>
      <c r="C172" s="9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f t="shared" si="103"/>
        <v>624</v>
      </c>
      <c r="M172" s="9">
        <f t="shared" si="92"/>
        <v>18512.6582278481</v>
      </c>
      <c r="N172">
        <v>0</v>
      </c>
      <c r="O172">
        <v>0</v>
      </c>
    </row>
    <row r="173" spans="1:15" x14ac:dyDescent="0.25">
      <c r="A173" t="s">
        <v>51</v>
      </c>
      <c r="C173">
        <v>8500</v>
      </c>
      <c r="E173">
        <v>8500</v>
      </c>
      <c r="G173">
        <v>9500</v>
      </c>
      <c r="I173">
        <v>9500</v>
      </c>
      <c r="K173">
        <v>9500</v>
      </c>
      <c r="M173">
        <v>10500</v>
      </c>
      <c r="N173">
        <v>0</v>
      </c>
      <c r="O173">
        <v>0</v>
      </c>
    </row>
    <row r="174" spans="1:15" x14ac:dyDescent="0.25">
      <c r="A174" t="s">
        <v>50</v>
      </c>
      <c r="C174" s="19">
        <v>22500</v>
      </c>
      <c r="E174" s="19">
        <v>33500</v>
      </c>
      <c r="G174" s="19">
        <v>33500</v>
      </c>
      <c r="I174">
        <v>34500</v>
      </c>
      <c r="K174">
        <v>35500</v>
      </c>
      <c r="M174">
        <v>37500</v>
      </c>
      <c r="N174">
        <v>0</v>
      </c>
      <c r="O174">
        <v>0</v>
      </c>
    </row>
    <row r="175" spans="1:15" x14ac:dyDescent="0.25">
      <c r="A175" t="s">
        <v>52</v>
      </c>
      <c r="C175">
        <v>3600</v>
      </c>
      <c r="E175">
        <v>3600</v>
      </c>
      <c r="G175">
        <v>4000</v>
      </c>
      <c r="I175">
        <v>3900</v>
      </c>
      <c r="K175">
        <v>3900</v>
      </c>
      <c r="M175">
        <v>4300</v>
      </c>
      <c r="N175">
        <v>0</v>
      </c>
      <c r="O175">
        <v>0</v>
      </c>
    </row>
    <row r="176" spans="1:15" x14ac:dyDescent="0.25">
      <c r="A176" t="s">
        <v>53</v>
      </c>
      <c r="C176" s="19">
        <v>11200</v>
      </c>
      <c r="E176" s="19">
        <v>17600</v>
      </c>
      <c r="G176" s="19">
        <v>16800</v>
      </c>
      <c r="I176">
        <v>17700</v>
      </c>
      <c r="K176">
        <v>17800</v>
      </c>
      <c r="M176">
        <v>18600</v>
      </c>
      <c r="N176">
        <v>0</v>
      </c>
      <c r="O176">
        <v>0</v>
      </c>
    </row>
    <row r="177" spans="1:15" ht="29.25" customHeight="1" x14ac:dyDescent="0.25">
      <c r="A177" s="25" t="s">
        <v>55</v>
      </c>
      <c r="B177" s="26"/>
      <c r="C177">
        <v>24500</v>
      </c>
      <c r="E177">
        <v>24500</v>
      </c>
      <c r="G177">
        <v>25500</v>
      </c>
      <c r="I177">
        <v>25500</v>
      </c>
      <c r="K177">
        <v>25500</v>
      </c>
      <c r="M177">
        <v>26500</v>
      </c>
      <c r="N177">
        <v>0</v>
      </c>
      <c r="O177">
        <v>0</v>
      </c>
    </row>
    <row r="178" spans="1:15" ht="29.25" customHeight="1" x14ac:dyDescent="0.25">
      <c r="A178" s="25" t="s">
        <v>65</v>
      </c>
      <c r="B178" s="26"/>
      <c r="C178">
        <v>18100</v>
      </c>
      <c r="E178">
        <v>18100</v>
      </c>
      <c r="G178">
        <v>19100</v>
      </c>
      <c r="I178">
        <v>19100</v>
      </c>
      <c r="K178">
        <v>19100</v>
      </c>
      <c r="M178">
        <v>20100</v>
      </c>
      <c r="N178">
        <v>0</v>
      </c>
      <c r="O178">
        <v>0</v>
      </c>
    </row>
    <row r="179" spans="1:15" ht="29.25" customHeight="1" x14ac:dyDescent="0.25">
      <c r="A179" s="25" t="s">
        <v>58</v>
      </c>
      <c r="B179" s="26"/>
      <c r="C179">
        <v>9780</v>
      </c>
      <c r="E179">
        <v>9780</v>
      </c>
      <c r="G179">
        <v>10780</v>
      </c>
      <c r="I179">
        <v>10780</v>
      </c>
      <c r="K179">
        <v>10780</v>
      </c>
      <c r="M179">
        <v>11780</v>
      </c>
      <c r="N179">
        <v>0</v>
      </c>
      <c r="O179">
        <v>0</v>
      </c>
    </row>
  </sheetData>
  <sortState ref="B1:B5">
    <sortCondition ref="B1"/>
  </sortState>
  <mergeCells count="48">
    <mergeCell ref="A132:B132"/>
    <mergeCell ref="A133:B133"/>
    <mergeCell ref="A134:B134"/>
    <mergeCell ref="A89:B89"/>
    <mergeCell ref="A91:O91"/>
    <mergeCell ref="A92:A93"/>
    <mergeCell ref="B92:C92"/>
    <mergeCell ref="D92:E92"/>
    <mergeCell ref="F92:G92"/>
    <mergeCell ref="H92:I92"/>
    <mergeCell ref="J92:K92"/>
    <mergeCell ref="L92:M92"/>
    <mergeCell ref="N92:O92"/>
    <mergeCell ref="J47:K47"/>
    <mergeCell ref="L47:M47"/>
    <mergeCell ref="N47:O47"/>
    <mergeCell ref="A87:B87"/>
    <mergeCell ref="A88:B88"/>
    <mergeCell ref="A47:A48"/>
    <mergeCell ref="B47:C47"/>
    <mergeCell ref="D47:E47"/>
    <mergeCell ref="F47:G47"/>
    <mergeCell ref="H47:I47"/>
    <mergeCell ref="A42:B42"/>
    <mergeCell ref="A43:B43"/>
    <mergeCell ref="A44:B44"/>
    <mergeCell ref="A46:O46"/>
    <mergeCell ref="A1:O1"/>
    <mergeCell ref="A2:A3"/>
    <mergeCell ref="B2:C2"/>
    <mergeCell ref="D2:E2"/>
    <mergeCell ref="F2:G2"/>
    <mergeCell ref="H2:I2"/>
    <mergeCell ref="J2:K2"/>
    <mergeCell ref="L2:M2"/>
    <mergeCell ref="N2:O2"/>
    <mergeCell ref="A177:B177"/>
    <mergeCell ref="A178:B178"/>
    <mergeCell ref="A179:B179"/>
    <mergeCell ref="A136:O136"/>
    <mergeCell ref="A137:A138"/>
    <mergeCell ref="B137:C137"/>
    <mergeCell ref="D137:E137"/>
    <mergeCell ref="F137:G137"/>
    <mergeCell ref="H137:I137"/>
    <mergeCell ref="J137:K137"/>
    <mergeCell ref="L137:M137"/>
    <mergeCell ref="N137:O1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5"/>
  <sheetViews>
    <sheetView topLeftCell="A127" workbookViewId="0">
      <selection activeCell="A87" sqref="A87:B87"/>
    </sheetView>
  </sheetViews>
  <sheetFormatPr baseColWidth="10" defaultRowHeight="15" x14ac:dyDescent="0.25"/>
  <cols>
    <col min="2" max="2" width="14.85546875" customWidth="1"/>
    <col min="7" max="7" width="12.7109375" customWidth="1"/>
    <col min="9" max="9" width="11.5703125" customWidth="1"/>
  </cols>
  <sheetData>
    <row r="1" spans="1:15" ht="29.25" customHeight="1" x14ac:dyDescent="0.25">
      <c r="A1" s="25" t="s">
        <v>69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5">
      <c r="A2" s="25" t="s">
        <v>39</v>
      </c>
      <c r="B2" s="24" t="s">
        <v>70</v>
      </c>
      <c r="C2" s="24"/>
      <c r="D2" s="24" t="s">
        <v>71</v>
      </c>
      <c r="E2" s="24"/>
      <c r="F2" s="24" t="s">
        <v>43</v>
      </c>
      <c r="G2" s="24"/>
      <c r="H2" s="24" t="s">
        <v>44</v>
      </c>
      <c r="I2" s="24"/>
      <c r="J2" s="24" t="s">
        <v>45</v>
      </c>
      <c r="K2" s="24"/>
      <c r="L2" s="24" t="s">
        <v>46</v>
      </c>
      <c r="M2" s="24"/>
      <c r="N2" s="24" t="s">
        <v>47</v>
      </c>
      <c r="O2" s="24"/>
    </row>
    <row r="3" spans="1:15" x14ac:dyDescent="0.25">
      <c r="A3" s="25"/>
      <c r="B3" t="s">
        <v>40</v>
      </c>
      <c r="C3" t="s">
        <v>41</v>
      </c>
      <c r="D3" t="s">
        <v>40</v>
      </c>
      <c r="E3" t="s">
        <v>41</v>
      </c>
      <c r="F3" t="s">
        <v>40</v>
      </c>
      <c r="G3" t="s">
        <v>41</v>
      </c>
      <c r="H3" t="s">
        <v>40</v>
      </c>
      <c r="I3" t="s">
        <v>41</v>
      </c>
      <c r="J3" t="s">
        <v>40</v>
      </c>
      <c r="K3" t="s">
        <v>41</v>
      </c>
      <c r="L3" t="s">
        <v>40</v>
      </c>
      <c r="M3" t="s">
        <v>41</v>
      </c>
      <c r="N3" t="s">
        <v>40</v>
      </c>
      <c r="O3" t="s">
        <v>41</v>
      </c>
    </row>
    <row r="4" spans="1:15" x14ac:dyDescent="0.25">
      <c r="A4" s="4">
        <v>4800</v>
      </c>
      <c r="B4">
        <v>500</v>
      </c>
      <c r="C4">
        <f t="shared" ref="C4:C16" si="0">PRODUCT(A4,B4,1/(B4+300))</f>
        <v>3000</v>
      </c>
      <c r="D4">
        <v>500</v>
      </c>
      <c r="E4">
        <f>PRODUCT(A4,D4,1/(D4+300))</f>
        <v>3000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>
        <f>SUM(A4,1000)</f>
        <v>5800</v>
      </c>
      <c r="B5" s="9">
        <v>500</v>
      </c>
      <c r="C5">
        <f t="shared" si="0"/>
        <v>3625</v>
      </c>
      <c r="D5">
        <v>500</v>
      </c>
      <c r="E5">
        <f t="shared" ref="E5:E25" si="1">PRODUCT(A5,D5,1/(D5+300))</f>
        <v>3625</v>
      </c>
      <c r="F5">
        <v>480</v>
      </c>
      <c r="G5" s="9">
        <f>PRODUCT(A5,F5,1/(F5+300))</f>
        <v>3569.2307692307691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>
        <f t="shared" ref="A6:A37" si="2">SUM(A5,1000)</f>
        <v>6800</v>
      </c>
      <c r="B6" s="9">
        <v>500</v>
      </c>
      <c r="C6">
        <f t="shared" si="0"/>
        <v>4250</v>
      </c>
      <c r="D6">
        <v>500</v>
      </c>
      <c r="E6">
        <f t="shared" si="1"/>
        <v>4250</v>
      </c>
      <c r="F6">
        <v>480</v>
      </c>
      <c r="G6" s="9">
        <f>PRODUCT(A6,F6,1/(F6+300))</f>
        <v>4184.6153846153848</v>
      </c>
      <c r="H6">
        <v>470</v>
      </c>
      <c r="I6" s="9">
        <f>PRODUCT(A6,H6,1/(H6+300))</f>
        <v>4150.6493506493507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>
        <f t="shared" si="2"/>
        <v>7800</v>
      </c>
      <c r="B7" s="9">
        <v>500</v>
      </c>
      <c r="C7">
        <f t="shared" si="0"/>
        <v>4875</v>
      </c>
      <c r="D7">
        <v>500</v>
      </c>
      <c r="E7">
        <f t="shared" si="1"/>
        <v>4875</v>
      </c>
      <c r="F7">
        <f t="shared" ref="F7:F9" si="3">SUM(F6,4)</f>
        <v>484</v>
      </c>
      <c r="G7" s="9">
        <f t="shared" ref="G7:G30" si="4">PRODUCT(A7,F7,1/(F7+300))</f>
        <v>4815.3061224489793</v>
      </c>
      <c r="H7">
        <f>SUM(H6,5)</f>
        <v>475</v>
      </c>
      <c r="I7" s="9">
        <f t="shared" ref="I7:I30" si="5">PRODUCT(A7,H7,1/(H7+300))</f>
        <v>4780.6451612903229</v>
      </c>
      <c r="J7">
        <v>460</v>
      </c>
      <c r="K7" s="9">
        <f>PRODUCT(A7,J7,1/(J7+300))</f>
        <v>4721.0526315789475</v>
      </c>
      <c r="L7">
        <v>0</v>
      </c>
      <c r="M7">
        <v>0</v>
      </c>
      <c r="N7">
        <v>0</v>
      </c>
      <c r="O7">
        <v>0</v>
      </c>
    </row>
    <row r="8" spans="1:15" x14ac:dyDescent="0.25">
      <c r="A8">
        <f t="shared" si="2"/>
        <v>8800</v>
      </c>
      <c r="B8" s="9">
        <v>500</v>
      </c>
      <c r="C8">
        <f t="shared" si="0"/>
        <v>5500</v>
      </c>
      <c r="D8">
        <v>500</v>
      </c>
      <c r="E8">
        <f t="shared" si="1"/>
        <v>5500</v>
      </c>
      <c r="F8">
        <f t="shared" si="3"/>
        <v>488</v>
      </c>
      <c r="G8" s="9">
        <f t="shared" si="4"/>
        <v>5449.7461928934008</v>
      </c>
      <c r="H8">
        <f t="shared" ref="H8:H9" si="6">SUM(H7,5)</f>
        <v>480</v>
      </c>
      <c r="I8" s="9">
        <f t="shared" si="5"/>
        <v>5415.3846153846152</v>
      </c>
      <c r="J8">
        <f>SUM(J7,5)</f>
        <v>465</v>
      </c>
      <c r="K8" s="9">
        <f t="shared" ref="K8:K31" si="7">PRODUCT(A8,J8,1/(J8+300))</f>
        <v>5349.0196078431372</v>
      </c>
      <c r="L8">
        <v>460</v>
      </c>
      <c r="M8" s="9">
        <f>PRODUCT(A8,L8,1/(L8+300))</f>
        <v>5326.3157894736842</v>
      </c>
      <c r="N8">
        <v>0</v>
      </c>
      <c r="O8">
        <v>0</v>
      </c>
    </row>
    <row r="9" spans="1:15" x14ac:dyDescent="0.25">
      <c r="A9">
        <f t="shared" si="2"/>
        <v>9800</v>
      </c>
      <c r="B9" s="9">
        <v>500</v>
      </c>
      <c r="C9">
        <f t="shared" si="0"/>
        <v>6125</v>
      </c>
      <c r="D9">
        <v>500</v>
      </c>
      <c r="E9">
        <f t="shared" si="1"/>
        <v>6125</v>
      </c>
      <c r="F9">
        <f t="shared" si="3"/>
        <v>492</v>
      </c>
      <c r="G9" s="9">
        <f t="shared" si="4"/>
        <v>6087.878787878788</v>
      </c>
      <c r="H9">
        <f t="shared" si="6"/>
        <v>485</v>
      </c>
      <c r="I9" s="9">
        <f t="shared" si="5"/>
        <v>6054.7770700636938</v>
      </c>
      <c r="J9">
        <f t="shared" ref="J9:J16" si="8">SUM(J8,5)</f>
        <v>470</v>
      </c>
      <c r="K9" s="9">
        <f t="shared" si="7"/>
        <v>5981.818181818182</v>
      </c>
      <c r="L9">
        <f>SUM(L8,5)</f>
        <v>465</v>
      </c>
      <c r="M9" s="9">
        <f t="shared" ref="M9:M31" si="9">PRODUCT(A9,L9,1/(L9+300))</f>
        <v>5956.8627450980384</v>
      </c>
      <c r="N9">
        <v>0</v>
      </c>
      <c r="O9">
        <v>0</v>
      </c>
    </row>
    <row r="10" spans="1:15" x14ac:dyDescent="0.25">
      <c r="A10">
        <f t="shared" si="2"/>
        <v>10800</v>
      </c>
      <c r="B10" s="9">
        <v>500</v>
      </c>
      <c r="C10">
        <f t="shared" si="0"/>
        <v>6750</v>
      </c>
      <c r="D10">
        <v>500</v>
      </c>
      <c r="E10">
        <f>PRODUCT(A10,D10,1/(D10+300))</f>
        <v>6750</v>
      </c>
      <c r="F10">
        <f>SUM(F9,3)</f>
        <v>495</v>
      </c>
      <c r="G10" s="9">
        <f t="shared" si="4"/>
        <v>6724.5283018867922</v>
      </c>
      <c r="H10">
        <f>SUM(H9,4)</f>
        <v>489</v>
      </c>
      <c r="I10" s="9">
        <f t="shared" si="5"/>
        <v>6693.5361216730034</v>
      </c>
      <c r="J10">
        <f t="shared" si="8"/>
        <v>475</v>
      </c>
      <c r="K10" s="9">
        <f t="shared" si="7"/>
        <v>6619.3548387096771</v>
      </c>
      <c r="L10">
        <f t="shared" ref="L10:L11" si="10">SUM(L9,5)</f>
        <v>470</v>
      </c>
      <c r="M10" s="9">
        <f t="shared" si="9"/>
        <v>6592.2077922077924</v>
      </c>
      <c r="N10">
        <v>0</v>
      </c>
      <c r="O10">
        <v>0</v>
      </c>
    </row>
    <row r="11" spans="1:15" x14ac:dyDescent="0.25">
      <c r="A11">
        <f t="shared" si="2"/>
        <v>11800</v>
      </c>
      <c r="B11" s="9">
        <v>500</v>
      </c>
      <c r="C11">
        <f t="shared" si="0"/>
        <v>7375</v>
      </c>
      <c r="D11" s="9">
        <v>501</v>
      </c>
      <c r="E11" s="9">
        <f t="shared" si="1"/>
        <v>7380.5243445692886</v>
      </c>
      <c r="F11">
        <f>SUM(F10,3)</f>
        <v>498</v>
      </c>
      <c r="G11" s="9">
        <f t="shared" si="4"/>
        <v>7363.9097744360897</v>
      </c>
      <c r="H11">
        <f t="shared" ref="H11:H21" si="11">SUM(H10,4)</f>
        <v>493</v>
      </c>
      <c r="I11" s="9">
        <f t="shared" si="5"/>
        <v>7335.9394703656999</v>
      </c>
      <c r="J11">
        <f t="shared" si="8"/>
        <v>480</v>
      </c>
      <c r="K11" s="9">
        <f t="shared" si="7"/>
        <v>7261.5384615384619</v>
      </c>
      <c r="L11">
        <f t="shared" si="10"/>
        <v>475</v>
      </c>
      <c r="M11" s="9">
        <f t="shared" si="9"/>
        <v>7232.2580645161288</v>
      </c>
      <c r="N11">
        <v>0</v>
      </c>
      <c r="O11">
        <v>0</v>
      </c>
    </row>
    <row r="12" spans="1:15" x14ac:dyDescent="0.25">
      <c r="A12">
        <f t="shared" si="2"/>
        <v>12800</v>
      </c>
      <c r="B12" s="9">
        <v>500</v>
      </c>
      <c r="C12">
        <f t="shared" si="0"/>
        <v>8000</v>
      </c>
      <c r="D12" s="9">
        <v>502</v>
      </c>
      <c r="E12" s="9">
        <f t="shared" si="1"/>
        <v>8011.9700748129671</v>
      </c>
      <c r="F12">
        <f t="shared" ref="F12" si="12">SUM(F11,3)</f>
        <v>501</v>
      </c>
      <c r="G12" s="9">
        <f t="shared" si="4"/>
        <v>8005.9925093632955</v>
      </c>
      <c r="H12">
        <f t="shared" si="11"/>
        <v>497</v>
      </c>
      <c r="I12" s="9">
        <f t="shared" si="5"/>
        <v>7981.9322459222076</v>
      </c>
      <c r="J12">
        <f t="shared" si="8"/>
        <v>485</v>
      </c>
      <c r="K12" s="9">
        <f t="shared" si="7"/>
        <v>7908.2802547770698</v>
      </c>
      <c r="L12">
        <f>SUM(L11,6)</f>
        <v>481</v>
      </c>
      <c r="M12" s="9">
        <f t="shared" si="9"/>
        <v>7883.2266325224073</v>
      </c>
      <c r="N12">
        <v>0</v>
      </c>
      <c r="O12">
        <v>0</v>
      </c>
    </row>
    <row r="13" spans="1:15" x14ac:dyDescent="0.25">
      <c r="A13">
        <f t="shared" si="2"/>
        <v>13800</v>
      </c>
      <c r="B13" s="9">
        <v>500</v>
      </c>
      <c r="C13">
        <f t="shared" si="0"/>
        <v>8625</v>
      </c>
      <c r="D13" s="9">
        <v>503</v>
      </c>
      <c r="E13" s="9">
        <f t="shared" si="1"/>
        <v>8644.3337484433378</v>
      </c>
      <c r="F13">
        <f>SUM(F12,1)</f>
        <v>502</v>
      </c>
      <c r="G13" s="9">
        <f t="shared" si="4"/>
        <v>8637.9052369077308</v>
      </c>
      <c r="H13">
        <f t="shared" si="11"/>
        <v>501</v>
      </c>
      <c r="I13" s="9">
        <f t="shared" si="5"/>
        <v>8631.4606741573043</v>
      </c>
      <c r="J13">
        <f t="shared" si="8"/>
        <v>490</v>
      </c>
      <c r="K13" s="9">
        <f t="shared" si="7"/>
        <v>8559.4936708860769</v>
      </c>
      <c r="L13">
        <f t="shared" ref="L13:L17" si="13">SUM(L12,6)</f>
        <v>487</v>
      </c>
      <c r="M13" s="9">
        <f t="shared" si="9"/>
        <v>8539.517153748413</v>
      </c>
      <c r="N13">
        <v>0</v>
      </c>
      <c r="O13">
        <v>0</v>
      </c>
    </row>
    <row r="14" spans="1:15" x14ac:dyDescent="0.25">
      <c r="A14">
        <f t="shared" si="2"/>
        <v>14800</v>
      </c>
      <c r="B14" s="9">
        <v>500</v>
      </c>
      <c r="C14">
        <f t="shared" si="0"/>
        <v>9250</v>
      </c>
      <c r="D14" s="9">
        <v>504</v>
      </c>
      <c r="E14" s="9">
        <f t="shared" si="1"/>
        <v>9277.6119402985078</v>
      </c>
      <c r="F14">
        <f>SUM(F13,1)</f>
        <v>503</v>
      </c>
      <c r="G14" s="9">
        <f t="shared" si="4"/>
        <v>9270.734744707348</v>
      </c>
      <c r="H14">
        <f t="shared" si="11"/>
        <v>505</v>
      </c>
      <c r="I14" s="9">
        <f t="shared" si="5"/>
        <v>9284.4720496894406</v>
      </c>
      <c r="J14">
        <f t="shared" si="8"/>
        <v>495</v>
      </c>
      <c r="K14" s="9">
        <f t="shared" si="7"/>
        <v>9215.0943396226412</v>
      </c>
      <c r="L14">
        <f t="shared" si="13"/>
        <v>493</v>
      </c>
      <c r="M14" s="9">
        <f t="shared" si="9"/>
        <v>9201.0088272383346</v>
      </c>
      <c r="N14">
        <v>0</v>
      </c>
      <c r="O14">
        <v>0</v>
      </c>
    </row>
    <row r="15" spans="1:15" x14ac:dyDescent="0.25">
      <c r="A15">
        <f t="shared" si="2"/>
        <v>15800</v>
      </c>
      <c r="B15" s="9">
        <v>503</v>
      </c>
      <c r="C15" s="9">
        <f t="shared" si="0"/>
        <v>9897.1357409713564</v>
      </c>
      <c r="D15" s="9">
        <v>506</v>
      </c>
      <c r="E15" s="9">
        <f>PRODUCT(A15,D15,1/(D15+300))</f>
        <v>9919.106699751861</v>
      </c>
      <c r="F15">
        <f t="shared" ref="F15" si="14">SUM(F14,1)</f>
        <v>504</v>
      </c>
      <c r="G15" s="9">
        <f t="shared" si="4"/>
        <v>9904.4776119402977</v>
      </c>
      <c r="H15">
        <f t="shared" si="11"/>
        <v>509</v>
      </c>
      <c r="I15" s="9">
        <f t="shared" si="5"/>
        <v>9940.9147095179233</v>
      </c>
      <c r="J15">
        <f t="shared" si="8"/>
        <v>500</v>
      </c>
      <c r="K15" s="9">
        <f t="shared" si="7"/>
        <v>9875</v>
      </c>
      <c r="L15">
        <f t="shared" si="13"/>
        <v>499</v>
      </c>
      <c r="M15" s="9">
        <f t="shared" si="9"/>
        <v>9867.5844806007517</v>
      </c>
      <c r="N15">
        <v>0</v>
      </c>
      <c r="O15">
        <v>0</v>
      </c>
    </row>
    <row r="16" spans="1:15" x14ac:dyDescent="0.25">
      <c r="A16">
        <f t="shared" si="2"/>
        <v>16800</v>
      </c>
      <c r="B16" s="9">
        <v>506</v>
      </c>
      <c r="C16" s="9">
        <f t="shared" si="0"/>
        <v>10546.898263027295</v>
      </c>
      <c r="D16" s="9">
        <v>508</v>
      </c>
      <c r="E16" s="9">
        <f t="shared" si="1"/>
        <v>10562.376237623763</v>
      </c>
      <c r="F16">
        <f>SUM(F15,2)</f>
        <v>506</v>
      </c>
      <c r="G16" s="9">
        <f t="shared" si="4"/>
        <v>10546.898263027295</v>
      </c>
      <c r="H16">
        <f t="shared" si="11"/>
        <v>513</v>
      </c>
      <c r="I16" s="9">
        <f t="shared" si="5"/>
        <v>10600.738007380074</v>
      </c>
      <c r="J16">
        <f t="shared" si="8"/>
        <v>505</v>
      </c>
      <c r="K16" s="9">
        <f t="shared" si="7"/>
        <v>10539.13043478261</v>
      </c>
      <c r="L16">
        <f t="shared" si="13"/>
        <v>505</v>
      </c>
      <c r="M16" s="9">
        <f t="shared" si="9"/>
        <v>10539.13043478261</v>
      </c>
      <c r="N16">
        <v>0</v>
      </c>
      <c r="O16">
        <v>0</v>
      </c>
    </row>
    <row r="17" spans="1:15" x14ac:dyDescent="0.25">
      <c r="A17">
        <f t="shared" si="2"/>
        <v>17800</v>
      </c>
      <c r="B17" s="9">
        <v>509</v>
      </c>
      <c r="C17" s="9">
        <f t="shared" ref="C17:C21" si="15">PRODUCT(A17,B17,1/(B17+300))</f>
        <v>11199.258343634116</v>
      </c>
      <c r="D17" s="9">
        <v>511</v>
      </c>
      <c r="E17" s="9">
        <f t="shared" si="1"/>
        <v>11215.536374845869</v>
      </c>
      <c r="F17">
        <f t="shared" ref="F17" si="16">SUM(F16,2)</f>
        <v>508</v>
      </c>
      <c r="G17" s="9">
        <f t="shared" si="4"/>
        <v>11191.089108910892</v>
      </c>
      <c r="H17">
        <f t="shared" si="11"/>
        <v>517</v>
      </c>
      <c r="I17" s="9">
        <f t="shared" si="5"/>
        <v>11263.892288861689</v>
      </c>
      <c r="J17">
        <f>SUM(J16,6)</f>
        <v>511</v>
      </c>
      <c r="K17" s="9">
        <f t="shared" si="7"/>
        <v>11215.536374845869</v>
      </c>
      <c r="L17">
        <f t="shared" si="13"/>
        <v>511</v>
      </c>
      <c r="M17" s="9">
        <f t="shared" si="9"/>
        <v>11215.536374845869</v>
      </c>
      <c r="N17">
        <v>0</v>
      </c>
      <c r="O17">
        <v>0</v>
      </c>
    </row>
    <row r="18" spans="1:15" x14ac:dyDescent="0.25">
      <c r="A18">
        <f t="shared" si="2"/>
        <v>18800</v>
      </c>
      <c r="B18" s="9">
        <v>514</v>
      </c>
      <c r="C18" s="9">
        <f t="shared" si="15"/>
        <v>11871.253071253072</v>
      </c>
      <c r="D18" s="9">
        <v>517</v>
      </c>
      <c r="E18" s="9">
        <f t="shared" si="1"/>
        <v>11896.695226438187</v>
      </c>
      <c r="F18">
        <f>SUM(F17,3)</f>
        <v>511</v>
      </c>
      <c r="G18" s="9">
        <f t="shared" si="4"/>
        <v>11845.622688039457</v>
      </c>
      <c r="H18">
        <f t="shared" si="11"/>
        <v>521</v>
      </c>
      <c r="I18" s="9">
        <f t="shared" si="5"/>
        <v>11930.328867235079</v>
      </c>
      <c r="J18">
        <f t="shared" ref="J18:J22" si="17">SUM(J17,6)</f>
        <v>517</v>
      </c>
      <c r="K18" s="9">
        <f t="shared" si="7"/>
        <v>11896.695226438187</v>
      </c>
      <c r="L18">
        <f>SUM(L17,7)</f>
        <v>518</v>
      </c>
      <c r="M18" s="9">
        <f t="shared" si="9"/>
        <v>11905.134474327628</v>
      </c>
      <c r="N18">
        <v>0</v>
      </c>
      <c r="O18">
        <v>0</v>
      </c>
    </row>
    <row r="19" spans="1:15" x14ac:dyDescent="0.25">
      <c r="A19">
        <f t="shared" si="2"/>
        <v>19800</v>
      </c>
      <c r="B19" s="9">
        <v>520</v>
      </c>
      <c r="C19" s="9">
        <f t="shared" si="15"/>
        <v>12556.09756097561</v>
      </c>
      <c r="D19" s="9">
        <v>524</v>
      </c>
      <c r="E19" s="9">
        <f t="shared" si="1"/>
        <v>12591.262135922329</v>
      </c>
      <c r="F19">
        <f t="shared" ref="F19:F20" si="18">SUM(F18,6)</f>
        <v>517</v>
      </c>
      <c r="G19" s="9">
        <f t="shared" si="4"/>
        <v>12529.498164014687</v>
      </c>
      <c r="H19">
        <f t="shared" si="11"/>
        <v>525</v>
      </c>
      <c r="I19" s="9">
        <f t="shared" si="5"/>
        <v>12600</v>
      </c>
      <c r="J19">
        <f t="shared" si="17"/>
        <v>523</v>
      </c>
      <c r="K19" s="9">
        <f t="shared" si="7"/>
        <v>12582.503037667071</v>
      </c>
      <c r="L19">
        <f t="shared" ref="L19:L24" si="19">SUM(L18,7)</f>
        <v>525</v>
      </c>
      <c r="M19" s="9">
        <f t="shared" si="9"/>
        <v>12600</v>
      </c>
      <c r="N19">
        <v>0</v>
      </c>
      <c r="O19">
        <v>0</v>
      </c>
    </row>
    <row r="20" spans="1:15" x14ac:dyDescent="0.25">
      <c r="A20">
        <f t="shared" si="2"/>
        <v>20800</v>
      </c>
      <c r="B20" s="9">
        <v>527</v>
      </c>
      <c r="C20" s="9">
        <f t="shared" si="15"/>
        <v>13254.655380894799</v>
      </c>
      <c r="D20" s="9">
        <v>529</v>
      </c>
      <c r="E20" s="9">
        <f t="shared" si="1"/>
        <v>13272.858866103739</v>
      </c>
      <c r="F20">
        <f t="shared" si="18"/>
        <v>523</v>
      </c>
      <c r="G20" s="9">
        <f t="shared" si="4"/>
        <v>13217.982989064398</v>
      </c>
      <c r="H20">
        <f t="shared" si="11"/>
        <v>529</v>
      </c>
      <c r="I20" s="9">
        <f t="shared" si="5"/>
        <v>13272.858866103739</v>
      </c>
      <c r="J20">
        <f t="shared" si="17"/>
        <v>529</v>
      </c>
      <c r="K20" s="9">
        <f t="shared" si="7"/>
        <v>13272.858866103739</v>
      </c>
      <c r="L20">
        <f t="shared" si="19"/>
        <v>532</v>
      </c>
      <c r="M20" s="9">
        <f t="shared" si="9"/>
        <v>13300</v>
      </c>
      <c r="N20">
        <v>0</v>
      </c>
      <c r="O20">
        <v>0</v>
      </c>
    </row>
    <row r="21" spans="1:15" x14ac:dyDescent="0.25">
      <c r="A21">
        <f t="shared" si="2"/>
        <v>21800</v>
      </c>
      <c r="B21" s="9">
        <v>535</v>
      </c>
      <c r="C21" s="9">
        <f t="shared" si="15"/>
        <v>13967.664670658682</v>
      </c>
      <c r="D21" s="9">
        <v>535</v>
      </c>
      <c r="E21" s="9">
        <f>PRODUCT(A21,D21,1/(D21+300))</f>
        <v>13967.664670658682</v>
      </c>
      <c r="F21">
        <f>SUM(F20,6)</f>
        <v>529</v>
      </c>
      <c r="G21" s="9">
        <f t="shared" si="4"/>
        <v>13910.977080820265</v>
      </c>
      <c r="H21">
        <f t="shared" si="11"/>
        <v>533</v>
      </c>
      <c r="I21" s="9">
        <f t="shared" si="5"/>
        <v>13948.859543817525</v>
      </c>
      <c r="J21">
        <f t="shared" si="17"/>
        <v>535</v>
      </c>
      <c r="K21" s="9">
        <f t="shared" si="7"/>
        <v>13967.664670658682</v>
      </c>
      <c r="L21">
        <f t="shared" si="19"/>
        <v>539</v>
      </c>
      <c r="M21" s="9">
        <f t="shared" si="9"/>
        <v>14005.005959475566</v>
      </c>
      <c r="N21">
        <v>0</v>
      </c>
      <c r="O21">
        <v>0</v>
      </c>
    </row>
    <row r="22" spans="1:15" x14ac:dyDescent="0.25">
      <c r="A22" s="16">
        <f t="shared" si="2"/>
        <v>22800</v>
      </c>
      <c r="B22" s="9">
        <v>0</v>
      </c>
      <c r="C22">
        <v>0</v>
      </c>
      <c r="D22" s="9">
        <v>541</v>
      </c>
      <c r="E22" s="9">
        <f t="shared" si="1"/>
        <v>14666.825208085611</v>
      </c>
      <c r="F22">
        <f>SUM(F21,7)</f>
        <v>536</v>
      </c>
      <c r="G22" s="9">
        <f t="shared" si="4"/>
        <v>14618.181818181818</v>
      </c>
      <c r="H22">
        <f>SUM(H21,5)</f>
        <v>538</v>
      </c>
      <c r="I22" s="9">
        <f t="shared" si="5"/>
        <v>14637.708830548927</v>
      </c>
      <c r="J22">
        <f t="shared" si="17"/>
        <v>541</v>
      </c>
      <c r="K22" s="9">
        <f t="shared" si="7"/>
        <v>14666.825208085611</v>
      </c>
      <c r="L22">
        <f t="shared" si="19"/>
        <v>546</v>
      </c>
      <c r="M22" s="9">
        <f t="shared" si="9"/>
        <v>14714.893617021276</v>
      </c>
      <c r="N22">
        <v>0</v>
      </c>
      <c r="O22">
        <v>0</v>
      </c>
    </row>
    <row r="23" spans="1:15" x14ac:dyDescent="0.25">
      <c r="A23">
        <f t="shared" si="2"/>
        <v>23800</v>
      </c>
      <c r="B23" s="9">
        <v>0</v>
      </c>
      <c r="C23">
        <v>0</v>
      </c>
      <c r="D23" s="9">
        <v>0</v>
      </c>
      <c r="E23" s="9">
        <f t="shared" si="1"/>
        <v>0</v>
      </c>
      <c r="F23">
        <f>SUM(F22,7)</f>
        <v>543</v>
      </c>
      <c r="G23" s="9">
        <f t="shared" si="4"/>
        <v>15330.249110320286</v>
      </c>
      <c r="H23">
        <f>SUM(H22,6)</f>
        <v>544</v>
      </c>
      <c r="I23" s="9">
        <f t="shared" si="5"/>
        <v>15340.284360189575</v>
      </c>
      <c r="J23">
        <f>SUM(J22,7)</f>
        <v>548</v>
      </c>
      <c r="K23" s="9">
        <f t="shared" si="7"/>
        <v>15380.188679245282</v>
      </c>
      <c r="L23">
        <f t="shared" si="19"/>
        <v>553</v>
      </c>
      <c r="M23" s="9">
        <f t="shared" si="9"/>
        <v>15429.542790152402</v>
      </c>
      <c r="N23">
        <v>0</v>
      </c>
      <c r="O23">
        <v>0</v>
      </c>
    </row>
    <row r="24" spans="1:15" x14ac:dyDescent="0.25">
      <c r="A24">
        <f t="shared" si="2"/>
        <v>24800</v>
      </c>
      <c r="B24" s="9">
        <v>0</v>
      </c>
      <c r="C24">
        <v>0</v>
      </c>
      <c r="D24" s="9">
        <v>0</v>
      </c>
      <c r="E24" s="9">
        <f t="shared" si="1"/>
        <v>0</v>
      </c>
      <c r="F24">
        <f t="shared" ref="F24:F26" si="20">SUM(F23,7)</f>
        <v>550</v>
      </c>
      <c r="G24" s="9">
        <f t="shared" si="4"/>
        <v>16047.058823529411</v>
      </c>
      <c r="H24">
        <f>SUM(H23,7)</f>
        <v>551</v>
      </c>
      <c r="I24" s="9">
        <f t="shared" si="5"/>
        <v>16057.34430082256</v>
      </c>
      <c r="J24">
        <f>SUM(J23,8)</f>
        <v>556</v>
      </c>
      <c r="K24" s="9">
        <f t="shared" si="7"/>
        <v>16108.41121495327</v>
      </c>
      <c r="L24">
        <f t="shared" si="19"/>
        <v>560</v>
      </c>
      <c r="M24" s="9">
        <f t="shared" si="9"/>
        <v>16148.837209302324</v>
      </c>
      <c r="N24">
        <v>0</v>
      </c>
      <c r="O24">
        <v>0</v>
      </c>
    </row>
    <row r="25" spans="1:15" x14ac:dyDescent="0.25">
      <c r="A25" s="19">
        <f t="shared" si="2"/>
        <v>25800</v>
      </c>
      <c r="B25" s="9">
        <v>0</v>
      </c>
      <c r="C25">
        <v>0</v>
      </c>
      <c r="D25" s="9">
        <v>0</v>
      </c>
      <c r="E25" s="9">
        <f t="shared" si="1"/>
        <v>0</v>
      </c>
      <c r="F25">
        <f t="shared" si="20"/>
        <v>557</v>
      </c>
      <c r="G25" s="9">
        <f t="shared" si="4"/>
        <v>16768.494749124853</v>
      </c>
      <c r="H25">
        <f t="shared" ref="H25:H30" si="21">SUM(H24,6)</f>
        <v>557</v>
      </c>
      <c r="I25" s="9">
        <f t="shared" si="5"/>
        <v>16768.494749124853</v>
      </c>
      <c r="J25">
        <f t="shared" ref="J25:J31" si="22">SUM(J24,8)</f>
        <v>564</v>
      </c>
      <c r="K25" s="9">
        <f t="shared" si="7"/>
        <v>16841.666666666664</v>
      </c>
      <c r="L25">
        <f>SUM(L24,8)</f>
        <v>568</v>
      </c>
      <c r="M25" s="9">
        <f t="shared" si="9"/>
        <v>16882.94930875576</v>
      </c>
      <c r="N25">
        <v>0</v>
      </c>
      <c r="O25">
        <v>0</v>
      </c>
    </row>
    <row r="26" spans="1:15" x14ac:dyDescent="0.25">
      <c r="A26">
        <f t="shared" si="2"/>
        <v>26800</v>
      </c>
      <c r="B26" s="9">
        <v>0</v>
      </c>
      <c r="C26">
        <v>0</v>
      </c>
      <c r="D26">
        <v>0</v>
      </c>
      <c r="E26">
        <v>0</v>
      </c>
      <c r="F26">
        <f t="shared" si="20"/>
        <v>564</v>
      </c>
      <c r="G26" s="9">
        <f t="shared" si="4"/>
        <v>17494.444444444445</v>
      </c>
      <c r="H26">
        <f t="shared" si="21"/>
        <v>563</v>
      </c>
      <c r="I26" s="9">
        <f t="shared" si="5"/>
        <v>17483.661645422944</v>
      </c>
      <c r="J26">
        <f t="shared" si="22"/>
        <v>572</v>
      </c>
      <c r="K26" s="9">
        <f t="shared" si="7"/>
        <v>17579.816513761471</v>
      </c>
      <c r="L26">
        <f t="shared" ref="L26:L29" si="23">SUM(L25,8)</f>
        <v>576</v>
      </c>
      <c r="M26" s="9">
        <f t="shared" si="9"/>
        <v>17621.917808219176</v>
      </c>
      <c r="N26">
        <v>0</v>
      </c>
      <c r="O26">
        <v>0</v>
      </c>
    </row>
    <row r="27" spans="1:15" x14ac:dyDescent="0.25">
      <c r="A27">
        <f t="shared" si="2"/>
        <v>27800</v>
      </c>
      <c r="B27" s="9">
        <v>0</v>
      </c>
      <c r="C27">
        <v>0</v>
      </c>
      <c r="D27">
        <v>0</v>
      </c>
      <c r="E27">
        <v>0</v>
      </c>
      <c r="F27">
        <f>SUM(F26,6)</f>
        <v>570</v>
      </c>
      <c r="G27" s="9">
        <f t="shared" si="4"/>
        <v>18213.793103448275</v>
      </c>
      <c r="H27">
        <f t="shared" si="21"/>
        <v>569</v>
      </c>
      <c r="I27" s="9">
        <f t="shared" si="5"/>
        <v>18202.761795166858</v>
      </c>
      <c r="J27">
        <f t="shared" si="22"/>
        <v>580</v>
      </c>
      <c r="K27" s="9">
        <f t="shared" si="7"/>
        <v>18322.727272727272</v>
      </c>
      <c r="L27">
        <f t="shared" si="23"/>
        <v>584</v>
      </c>
      <c r="M27" s="9">
        <f t="shared" si="9"/>
        <v>18365.610859728509</v>
      </c>
      <c r="N27">
        <v>0</v>
      </c>
      <c r="O27">
        <v>0</v>
      </c>
    </row>
    <row r="28" spans="1:15" x14ac:dyDescent="0.25">
      <c r="A28">
        <f t="shared" si="2"/>
        <v>28800</v>
      </c>
      <c r="B28" s="9">
        <v>0</v>
      </c>
      <c r="C28">
        <v>0</v>
      </c>
      <c r="D28">
        <v>0</v>
      </c>
      <c r="E28">
        <v>0</v>
      </c>
      <c r="F28">
        <f t="shared" ref="F28" si="24">SUM(F27,6)</f>
        <v>576</v>
      </c>
      <c r="G28" s="9">
        <f t="shared" si="4"/>
        <v>18936.986301369863</v>
      </c>
      <c r="H28">
        <f t="shared" si="21"/>
        <v>575</v>
      </c>
      <c r="I28" s="9">
        <f t="shared" si="5"/>
        <v>18925.714285714286</v>
      </c>
      <c r="J28">
        <f t="shared" si="22"/>
        <v>588</v>
      </c>
      <c r="K28" s="9">
        <f t="shared" si="7"/>
        <v>19070.27027027027</v>
      </c>
      <c r="L28">
        <f t="shared" si="23"/>
        <v>592</v>
      </c>
      <c r="M28" s="9">
        <f t="shared" si="9"/>
        <v>19113.901345291481</v>
      </c>
      <c r="N28">
        <v>0</v>
      </c>
      <c r="O28">
        <v>0</v>
      </c>
    </row>
    <row r="29" spans="1:15" x14ac:dyDescent="0.25">
      <c r="A29">
        <f t="shared" si="2"/>
        <v>29800</v>
      </c>
      <c r="B29" s="9">
        <v>0</v>
      </c>
      <c r="C29">
        <v>0</v>
      </c>
      <c r="D29">
        <v>0</v>
      </c>
      <c r="E29">
        <v>0</v>
      </c>
      <c r="F29">
        <f>SUM(F28,5)</f>
        <v>581</v>
      </c>
      <c r="G29" s="9">
        <f t="shared" si="4"/>
        <v>19652.44040862656</v>
      </c>
      <c r="H29">
        <f t="shared" si="21"/>
        <v>581</v>
      </c>
      <c r="I29" s="9">
        <f t="shared" si="5"/>
        <v>19652.44040862656</v>
      </c>
      <c r="J29">
        <f t="shared" si="22"/>
        <v>596</v>
      </c>
      <c r="K29" s="9">
        <f t="shared" si="7"/>
        <v>19822.321428571428</v>
      </c>
      <c r="L29">
        <f t="shared" si="23"/>
        <v>600</v>
      </c>
      <c r="M29" s="9">
        <f t="shared" si="9"/>
        <v>19866.666666666668</v>
      </c>
      <c r="N29">
        <v>0</v>
      </c>
      <c r="O29">
        <v>0</v>
      </c>
    </row>
    <row r="30" spans="1:15" x14ac:dyDescent="0.25">
      <c r="A30" s="19">
        <f>SUM(A29,1000)</f>
        <v>30800</v>
      </c>
      <c r="B30" s="9">
        <v>0</v>
      </c>
      <c r="C30">
        <v>0</v>
      </c>
      <c r="D30">
        <v>0</v>
      </c>
      <c r="E30">
        <v>0</v>
      </c>
      <c r="F30">
        <f>SUM(F29,5)</f>
        <v>586</v>
      </c>
      <c r="G30" s="9">
        <f t="shared" si="4"/>
        <v>20371.106094808125</v>
      </c>
      <c r="H30">
        <f t="shared" si="21"/>
        <v>587</v>
      </c>
      <c r="I30" s="9">
        <f t="shared" si="5"/>
        <v>20382.863585118375</v>
      </c>
      <c r="J30">
        <f t="shared" si="22"/>
        <v>604</v>
      </c>
      <c r="K30" s="9">
        <f t="shared" si="7"/>
        <v>20578.761061946901</v>
      </c>
      <c r="L30">
        <f>SUM(L29,9)</f>
        <v>609</v>
      </c>
      <c r="M30" s="9">
        <f t="shared" si="9"/>
        <v>20634.983498349833</v>
      </c>
      <c r="N30">
        <v>0</v>
      </c>
      <c r="O30">
        <v>0</v>
      </c>
    </row>
    <row r="31" spans="1:15" x14ac:dyDescent="0.25">
      <c r="A31">
        <f t="shared" si="2"/>
        <v>31800</v>
      </c>
      <c r="B31" s="9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f t="shared" si="22"/>
        <v>612</v>
      </c>
      <c r="K31" s="9">
        <f t="shared" si="7"/>
        <v>21339.473684210527</v>
      </c>
      <c r="L31">
        <f>SUM(L30,9)</f>
        <v>618</v>
      </c>
      <c r="M31" s="9">
        <f t="shared" si="9"/>
        <v>21407.843137254906</v>
      </c>
      <c r="N31">
        <v>0</v>
      </c>
      <c r="O31">
        <v>0</v>
      </c>
    </row>
    <row r="32" spans="1:15" x14ac:dyDescent="0.25">
      <c r="A32">
        <f t="shared" si="2"/>
        <v>32800</v>
      </c>
      <c r="B32" s="9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M32" s="9"/>
      <c r="N32">
        <v>0</v>
      </c>
      <c r="O32">
        <v>0</v>
      </c>
    </row>
    <row r="33" spans="1:15" x14ac:dyDescent="0.25">
      <c r="A33">
        <f t="shared" si="2"/>
        <v>33800</v>
      </c>
      <c r="B33" s="9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M33" s="9"/>
      <c r="N33">
        <v>0</v>
      </c>
      <c r="O33">
        <v>0</v>
      </c>
    </row>
    <row r="34" spans="1:15" x14ac:dyDescent="0.25">
      <c r="A34">
        <f t="shared" si="2"/>
        <v>34800</v>
      </c>
      <c r="B34" s="9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M34" s="9"/>
      <c r="N34">
        <v>0</v>
      </c>
      <c r="O34">
        <v>0</v>
      </c>
    </row>
    <row r="35" spans="1:15" x14ac:dyDescent="0.25">
      <c r="A35">
        <f t="shared" si="2"/>
        <v>35800</v>
      </c>
      <c r="B35" s="9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>
        <f t="shared" si="2"/>
        <v>36800</v>
      </c>
      <c r="B36" s="9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f t="shared" si="2"/>
        <v>37800</v>
      </c>
      <c r="B37" s="9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51</v>
      </c>
      <c r="C38" s="16">
        <v>4800</v>
      </c>
      <c r="D38" s="16"/>
      <c r="E38" s="16">
        <v>4800</v>
      </c>
      <c r="F38" s="16"/>
      <c r="G38" s="16">
        <v>5800</v>
      </c>
      <c r="H38" s="16"/>
      <c r="I38" s="16">
        <v>6800</v>
      </c>
      <c r="J38" s="16"/>
      <c r="K38" s="16">
        <v>7800</v>
      </c>
      <c r="L38" s="16"/>
      <c r="M38" s="16">
        <v>8800</v>
      </c>
      <c r="N38">
        <v>0</v>
      </c>
      <c r="O38">
        <v>0</v>
      </c>
    </row>
    <row r="39" spans="1:15" x14ac:dyDescent="0.25">
      <c r="A39" t="s">
        <v>50</v>
      </c>
      <c r="C39" s="16">
        <v>21800</v>
      </c>
      <c r="D39" s="16"/>
      <c r="E39" s="16">
        <v>22800</v>
      </c>
      <c r="F39" s="16"/>
      <c r="G39" s="16">
        <v>30800</v>
      </c>
      <c r="H39" s="16"/>
      <c r="I39" s="16">
        <v>30800</v>
      </c>
      <c r="J39" s="16"/>
      <c r="K39" s="16">
        <v>31800</v>
      </c>
      <c r="L39" s="16"/>
      <c r="M39" s="16">
        <v>31800</v>
      </c>
      <c r="N39">
        <v>0</v>
      </c>
      <c r="O39">
        <v>0</v>
      </c>
    </row>
    <row r="40" spans="1:15" x14ac:dyDescent="0.25">
      <c r="A40" t="s">
        <v>52</v>
      </c>
      <c r="C40" s="16">
        <v>3000</v>
      </c>
      <c r="D40" s="16"/>
      <c r="E40" s="16">
        <v>3000</v>
      </c>
      <c r="F40" s="16"/>
      <c r="G40" s="16">
        <v>3500</v>
      </c>
      <c r="H40" s="16"/>
      <c r="I40" s="16">
        <v>4000</v>
      </c>
      <c r="J40" s="16"/>
      <c r="K40" s="16">
        <v>4600</v>
      </c>
      <c r="L40" s="16"/>
      <c r="M40" s="16">
        <v>5300</v>
      </c>
      <c r="N40">
        <v>0</v>
      </c>
      <c r="O40">
        <v>0</v>
      </c>
    </row>
    <row r="41" spans="1:15" x14ac:dyDescent="0.25">
      <c r="A41" t="s">
        <v>53</v>
      </c>
      <c r="C41" s="16">
        <v>14000</v>
      </c>
      <c r="D41" s="16"/>
      <c r="E41" s="16">
        <v>15000</v>
      </c>
      <c r="F41" s="16"/>
      <c r="G41" s="16">
        <v>20400</v>
      </c>
      <c r="H41" s="16"/>
      <c r="I41" s="16">
        <v>20400</v>
      </c>
      <c r="J41" s="16"/>
      <c r="K41" s="16">
        <v>21350</v>
      </c>
      <c r="L41" s="16"/>
      <c r="M41" s="16">
        <v>21450</v>
      </c>
      <c r="N41">
        <v>0</v>
      </c>
      <c r="O41">
        <v>0</v>
      </c>
    </row>
    <row r="42" spans="1:15" x14ac:dyDescent="0.25">
      <c r="A42" s="25" t="s">
        <v>72</v>
      </c>
      <c r="B42" s="26"/>
      <c r="C42" s="16">
        <v>13200</v>
      </c>
      <c r="D42" s="16"/>
      <c r="E42" s="16">
        <v>13200</v>
      </c>
      <c r="F42" s="16"/>
      <c r="G42" s="16">
        <v>14200</v>
      </c>
      <c r="H42" s="16"/>
      <c r="I42" s="16">
        <v>15200</v>
      </c>
      <c r="J42" s="16"/>
      <c r="K42" s="16">
        <v>16200</v>
      </c>
      <c r="L42" s="16"/>
      <c r="M42" s="16">
        <v>17200</v>
      </c>
      <c r="N42">
        <v>0</v>
      </c>
      <c r="O42">
        <v>0</v>
      </c>
    </row>
    <row r="43" spans="1:15" x14ac:dyDescent="0.25">
      <c r="A43" s="25" t="s">
        <v>58</v>
      </c>
      <c r="B43" s="26"/>
      <c r="C43" s="16">
        <v>5400</v>
      </c>
      <c r="D43" s="16"/>
      <c r="E43" s="16">
        <v>5400</v>
      </c>
      <c r="F43" s="16"/>
      <c r="G43" s="16">
        <v>6400</v>
      </c>
      <c r="H43" s="16"/>
      <c r="I43" s="16">
        <v>7400</v>
      </c>
      <c r="J43" s="16"/>
      <c r="K43" s="16">
        <v>8400</v>
      </c>
      <c r="L43" s="16"/>
      <c r="M43" s="16">
        <v>9400</v>
      </c>
      <c r="N43">
        <v>0</v>
      </c>
      <c r="O43">
        <v>0</v>
      </c>
    </row>
    <row r="45" spans="1:15" ht="29.25" customHeight="1" x14ac:dyDescent="0.25">
      <c r="A45" s="25" t="s">
        <v>73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x14ac:dyDescent="0.25">
      <c r="A46" s="25" t="s">
        <v>39</v>
      </c>
      <c r="B46" s="24" t="s">
        <v>70</v>
      </c>
      <c r="C46" s="24"/>
      <c r="D46" s="24" t="s">
        <v>71</v>
      </c>
      <c r="E46" s="24"/>
      <c r="F46" s="24" t="s">
        <v>43</v>
      </c>
      <c r="G46" s="24"/>
      <c r="H46" s="24" t="s">
        <v>44</v>
      </c>
      <c r="I46" s="24"/>
      <c r="J46" s="24" t="s">
        <v>45</v>
      </c>
      <c r="K46" s="24"/>
      <c r="L46" s="24" t="s">
        <v>46</v>
      </c>
      <c r="M46" s="24"/>
      <c r="N46" s="24" t="s">
        <v>47</v>
      </c>
      <c r="O46" s="24"/>
    </row>
    <row r="47" spans="1:15" x14ac:dyDescent="0.25">
      <c r="A47" s="25"/>
      <c r="B47" t="s">
        <v>40</v>
      </c>
      <c r="C47" t="s">
        <v>41</v>
      </c>
      <c r="D47" t="s">
        <v>40</v>
      </c>
      <c r="E47" t="s">
        <v>41</v>
      </c>
      <c r="F47" t="s">
        <v>40</v>
      </c>
      <c r="G47" t="s">
        <v>41</v>
      </c>
      <c r="H47" t="s">
        <v>40</v>
      </c>
      <c r="I47" t="s">
        <v>41</v>
      </c>
      <c r="J47" t="s">
        <v>40</v>
      </c>
      <c r="K47" t="s">
        <v>41</v>
      </c>
      <c r="L47" t="s">
        <v>40</v>
      </c>
      <c r="M47" t="s">
        <v>41</v>
      </c>
      <c r="N47" t="s">
        <v>40</v>
      </c>
      <c r="O47" t="s">
        <v>41</v>
      </c>
    </row>
    <row r="48" spans="1:15" x14ac:dyDescent="0.25">
      <c r="A48" s="4">
        <v>4800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>
        <f>SUM(A48,1000)</f>
        <v>5800</v>
      </c>
      <c r="B49">
        <v>500</v>
      </c>
      <c r="C49" s="9">
        <f>PRODUCT(A49,B49,1/(B49+420))</f>
        <v>3152.1739130434785</v>
      </c>
      <c r="D49">
        <v>500</v>
      </c>
      <c r="E49" s="9">
        <f>PRODUCT(A49,D49,1/(D49+420))</f>
        <v>3152.1739130434785</v>
      </c>
      <c r="F49">
        <v>0</v>
      </c>
      <c r="G49" s="9">
        <f>PRODUCT(A49,F49,1/(F49+420))</f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>
        <f t="shared" ref="A50:A81" si="25">SUM(A49,1000)</f>
        <v>6800</v>
      </c>
      <c r="B50" s="9">
        <v>500</v>
      </c>
      <c r="C50" s="9">
        <f t="shared" ref="C50:C70" si="26">PRODUCT(A50,B50,1/(B50+420))</f>
        <v>3695.6521739130435</v>
      </c>
      <c r="D50">
        <v>500</v>
      </c>
      <c r="E50" s="9">
        <f t="shared" ref="E50:E72" si="27">PRODUCT(A50,D50,1/(D50+420))</f>
        <v>3695.6521739130435</v>
      </c>
      <c r="F50">
        <v>480</v>
      </c>
      <c r="G50" s="9">
        <f>PRODUCT(A50,F50,1/(F50+420))</f>
        <v>3626.6666666666665</v>
      </c>
      <c r="H50">
        <v>0</v>
      </c>
      <c r="I50" s="9">
        <f>PRODUCT(A50,H50,1/(H50+420))</f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>
        <f t="shared" si="25"/>
        <v>7800</v>
      </c>
      <c r="B51" s="9">
        <v>500</v>
      </c>
      <c r="C51" s="9">
        <f t="shared" si="26"/>
        <v>4239.130434782609</v>
      </c>
      <c r="D51">
        <v>500</v>
      </c>
      <c r="E51" s="9">
        <f t="shared" si="27"/>
        <v>4239.130434782609</v>
      </c>
      <c r="F51">
        <f>SUM(F50,4)</f>
        <v>484</v>
      </c>
      <c r="G51" s="9">
        <f t="shared" ref="G51:G77" si="28">PRODUCT(A51,F51,1/(F51+420))</f>
        <v>4176.1061946902655</v>
      </c>
      <c r="H51">
        <v>470</v>
      </c>
      <c r="I51" s="9">
        <f t="shared" ref="I51:I78" si="29">PRODUCT(A51,H51,1/(H51+420))</f>
        <v>4119.1011235955057</v>
      </c>
      <c r="J51">
        <v>0</v>
      </c>
      <c r="K51" s="9">
        <f>PRODUCT(A51,J51,1/(J51+420))</f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>
        <f t="shared" si="25"/>
        <v>8800</v>
      </c>
      <c r="B52" s="9">
        <v>500</v>
      </c>
      <c r="C52" s="9">
        <f>PRODUCT(A52,B52,1/(B52+420))</f>
        <v>4782.608695652174</v>
      </c>
      <c r="D52">
        <v>500</v>
      </c>
      <c r="E52" s="9">
        <f t="shared" si="27"/>
        <v>4782.608695652174</v>
      </c>
      <c r="F52">
        <f t="shared" ref="F52:F53" si="30">SUM(F51,4)</f>
        <v>488</v>
      </c>
      <c r="G52" s="9">
        <f t="shared" si="28"/>
        <v>4729.5154185022029</v>
      </c>
      <c r="H52">
        <f>SUM(H51,5)</f>
        <v>475</v>
      </c>
      <c r="I52" s="9">
        <f t="shared" si="29"/>
        <v>4670.3910614525139</v>
      </c>
      <c r="J52">
        <v>460</v>
      </c>
      <c r="K52" s="9">
        <f t="shared" ref="K52:K79" si="31">PRODUCT(A52,J52,1/(J52+420))</f>
        <v>4600</v>
      </c>
      <c r="L52">
        <v>0</v>
      </c>
      <c r="M52" s="9">
        <f>PRODUCT(A52,L52,1/(L52+420))</f>
        <v>0</v>
      </c>
      <c r="N52">
        <v>0</v>
      </c>
      <c r="O52">
        <v>0</v>
      </c>
    </row>
    <row r="53" spans="1:15" x14ac:dyDescent="0.25">
      <c r="A53">
        <f t="shared" si="25"/>
        <v>9800</v>
      </c>
      <c r="B53" s="9">
        <v>500</v>
      </c>
      <c r="C53" s="9">
        <f t="shared" si="26"/>
        <v>5326.086956521739</v>
      </c>
      <c r="D53">
        <v>500</v>
      </c>
      <c r="E53" s="9">
        <f t="shared" si="27"/>
        <v>5326.086956521739</v>
      </c>
      <c r="F53">
        <f t="shared" si="30"/>
        <v>492</v>
      </c>
      <c r="G53" s="9">
        <f t="shared" si="28"/>
        <v>5286.8421052631575</v>
      </c>
      <c r="H53">
        <f t="shared" ref="H53:H54" si="32">SUM(H52,5)</f>
        <v>480</v>
      </c>
      <c r="I53" s="9">
        <f t="shared" si="29"/>
        <v>5226.666666666667</v>
      </c>
      <c r="J53">
        <f>SUM(J52,5)</f>
        <v>465</v>
      </c>
      <c r="K53" s="9">
        <f t="shared" si="31"/>
        <v>5149.1525423728817</v>
      </c>
      <c r="L53">
        <v>460</v>
      </c>
      <c r="M53" s="9">
        <f t="shared" ref="M53:M80" si="33">PRODUCT(A53,L53,1/(L53+420))</f>
        <v>5122.7272727272721</v>
      </c>
      <c r="N53">
        <v>0</v>
      </c>
      <c r="O53">
        <v>0</v>
      </c>
    </row>
    <row r="54" spans="1:15" x14ac:dyDescent="0.25">
      <c r="A54">
        <f t="shared" si="25"/>
        <v>10800</v>
      </c>
      <c r="B54" s="9">
        <v>500</v>
      </c>
      <c r="C54" s="9">
        <f t="shared" si="26"/>
        <v>5869.565217391304</v>
      </c>
      <c r="D54">
        <v>500</v>
      </c>
      <c r="E54" s="9">
        <f t="shared" si="27"/>
        <v>5869.565217391304</v>
      </c>
      <c r="F54">
        <f>SUM(F53,3)</f>
        <v>495</v>
      </c>
      <c r="G54" s="9">
        <f t="shared" si="28"/>
        <v>5842.622950819672</v>
      </c>
      <c r="H54">
        <f t="shared" si="32"/>
        <v>485</v>
      </c>
      <c r="I54" s="9">
        <f t="shared" si="29"/>
        <v>5787.8453038674033</v>
      </c>
      <c r="J54">
        <f t="shared" ref="J54:J61" si="34">SUM(J53,5)</f>
        <v>470</v>
      </c>
      <c r="K54" s="9">
        <f t="shared" si="31"/>
        <v>5703.3707865168544</v>
      </c>
      <c r="L54">
        <f>SUM(L53,5)</f>
        <v>465</v>
      </c>
      <c r="M54" s="9">
        <f t="shared" si="33"/>
        <v>5674.5762711864409</v>
      </c>
      <c r="N54">
        <v>0</v>
      </c>
      <c r="O54">
        <v>0</v>
      </c>
    </row>
    <row r="55" spans="1:15" x14ac:dyDescent="0.25">
      <c r="A55">
        <f t="shared" si="25"/>
        <v>11800</v>
      </c>
      <c r="B55" s="9">
        <v>500</v>
      </c>
      <c r="C55" s="9">
        <f t="shared" si="26"/>
        <v>6413.04347826087</v>
      </c>
      <c r="D55">
        <v>500</v>
      </c>
      <c r="E55" s="9">
        <f t="shared" si="27"/>
        <v>6413.04347826087</v>
      </c>
      <c r="F55">
        <f t="shared" ref="F55:F56" si="35">SUM(F54,3)</f>
        <v>498</v>
      </c>
      <c r="G55" s="9">
        <f t="shared" si="28"/>
        <v>6401.3071895424846</v>
      </c>
      <c r="H55">
        <f>SUM(H54,4)</f>
        <v>489</v>
      </c>
      <c r="I55" s="9">
        <f t="shared" si="29"/>
        <v>6347.8547854785475</v>
      </c>
      <c r="J55">
        <f t="shared" si="34"/>
        <v>475</v>
      </c>
      <c r="K55" s="9">
        <f t="shared" si="31"/>
        <v>6262.5698324022342</v>
      </c>
      <c r="L55">
        <f t="shared" ref="L55:L56" si="36">SUM(L54,5)</f>
        <v>470</v>
      </c>
      <c r="M55" s="9">
        <f t="shared" si="33"/>
        <v>6231.4606741573043</v>
      </c>
      <c r="N55">
        <v>0</v>
      </c>
      <c r="O55">
        <v>0</v>
      </c>
    </row>
    <row r="56" spans="1:15" x14ac:dyDescent="0.25">
      <c r="A56">
        <f t="shared" si="25"/>
        <v>12800</v>
      </c>
      <c r="B56" s="9">
        <v>500</v>
      </c>
      <c r="C56" s="9">
        <f t="shared" si="26"/>
        <v>6956.521739130435</v>
      </c>
      <c r="D56" s="9">
        <v>501</v>
      </c>
      <c r="E56" s="9">
        <f t="shared" si="27"/>
        <v>6962.8664495114008</v>
      </c>
      <c r="F56">
        <f t="shared" si="35"/>
        <v>501</v>
      </c>
      <c r="G56" s="9">
        <f t="shared" si="28"/>
        <v>6962.8664495114008</v>
      </c>
      <c r="H56">
        <f t="shared" ref="H56:H66" si="37">SUM(H55,4)</f>
        <v>493</v>
      </c>
      <c r="I56" s="9">
        <f t="shared" si="29"/>
        <v>6911.719605695509</v>
      </c>
      <c r="J56">
        <f t="shared" si="34"/>
        <v>480</v>
      </c>
      <c r="K56" s="9">
        <f t="shared" si="31"/>
        <v>6826.666666666667</v>
      </c>
      <c r="L56">
        <f t="shared" si="36"/>
        <v>475</v>
      </c>
      <c r="M56" s="9">
        <f t="shared" si="33"/>
        <v>6793.2960893854743</v>
      </c>
      <c r="N56">
        <v>0</v>
      </c>
      <c r="O56">
        <v>0</v>
      </c>
    </row>
    <row r="57" spans="1:15" x14ac:dyDescent="0.25">
      <c r="A57">
        <f t="shared" si="25"/>
        <v>13800</v>
      </c>
      <c r="B57" s="9">
        <v>500</v>
      </c>
      <c r="C57" s="9">
        <f t="shared" si="26"/>
        <v>7500</v>
      </c>
      <c r="D57" s="9">
        <v>502</v>
      </c>
      <c r="E57" s="9">
        <f t="shared" si="27"/>
        <v>7513.6659436008676</v>
      </c>
      <c r="F57">
        <f>SUM(F56,1)</f>
        <v>502</v>
      </c>
      <c r="G57" s="9">
        <f t="shared" si="28"/>
        <v>7513.6659436008676</v>
      </c>
      <c r="H57">
        <f t="shared" si="37"/>
        <v>497</v>
      </c>
      <c r="I57" s="9">
        <f t="shared" si="29"/>
        <v>7479.3893129770995</v>
      </c>
      <c r="J57">
        <f t="shared" si="34"/>
        <v>485</v>
      </c>
      <c r="K57" s="9">
        <f t="shared" si="31"/>
        <v>7395.5801104972379</v>
      </c>
      <c r="L57">
        <f>SUM(L56,6)</f>
        <v>481</v>
      </c>
      <c r="M57" s="9">
        <f t="shared" si="33"/>
        <v>7367.1476137624859</v>
      </c>
      <c r="N57">
        <v>0</v>
      </c>
      <c r="O57">
        <v>0</v>
      </c>
    </row>
    <row r="58" spans="1:15" x14ac:dyDescent="0.25">
      <c r="A58">
        <f t="shared" si="25"/>
        <v>14800</v>
      </c>
      <c r="B58" s="9">
        <v>500</v>
      </c>
      <c r="C58" s="9">
        <f t="shared" si="26"/>
        <v>8043.478260869565</v>
      </c>
      <c r="D58" s="9">
        <v>503</v>
      </c>
      <c r="E58" s="9">
        <f t="shared" si="27"/>
        <v>8065.4387865655463</v>
      </c>
      <c r="F58">
        <f t="shared" ref="F58:F59" si="38">SUM(F57,1)</f>
        <v>503</v>
      </c>
      <c r="G58" s="9">
        <f t="shared" si="28"/>
        <v>8065.4387865655463</v>
      </c>
      <c r="H58">
        <f t="shared" si="37"/>
        <v>501</v>
      </c>
      <c r="I58" s="9">
        <f t="shared" si="29"/>
        <v>8050.8143322475571</v>
      </c>
      <c r="J58">
        <f t="shared" si="34"/>
        <v>490</v>
      </c>
      <c r="K58" s="9">
        <f t="shared" si="31"/>
        <v>7969.2307692307695</v>
      </c>
      <c r="L58">
        <f t="shared" ref="L58:L62" si="39">SUM(L57,6)</f>
        <v>487</v>
      </c>
      <c r="M58" s="9">
        <f t="shared" si="33"/>
        <v>7946.637265711136</v>
      </c>
      <c r="N58">
        <v>0</v>
      </c>
      <c r="O58">
        <v>0</v>
      </c>
    </row>
    <row r="59" spans="1:15" x14ac:dyDescent="0.25">
      <c r="A59">
        <f t="shared" si="25"/>
        <v>15800</v>
      </c>
      <c r="B59" s="9">
        <v>500</v>
      </c>
      <c r="C59" s="9">
        <f t="shared" si="26"/>
        <v>8586.95652173913</v>
      </c>
      <c r="D59" s="9">
        <v>504</v>
      </c>
      <c r="E59" s="9">
        <f t="shared" si="27"/>
        <v>8618.181818181818</v>
      </c>
      <c r="F59">
        <f t="shared" si="38"/>
        <v>504</v>
      </c>
      <c r="G59" s="9">
        <f t="shared" si="28"/>
        <v>8618.181818181818</v>
      </c>
      <c r="H59">
        <f t="shared" si="37"/>
        <v>505</v>
      </c>
      <c r="I59" s="9">
        <f t="shared" si="29"/>
        <v>8625.9459459459467</v>
      </c>
      <c r="J59">
        <f t="shared" si="34"/>
        <v>495</v>
      </c>
      <c r="K59" s="9">
        <f t="shared" si="31"/>
        <v>8547.5409836065573</v>
      </c>
      <c r="L59">
        <f t="shared" si="39"/>
        <v>493</v>
      </c>
      <c r="M59" s="9">
        <f t="shared" si="33"/>
        <v>8531.6538882803943</v>
      </c>
      <c r="N59">
        <v>0</v>
      </c>
      <c r="O59">
        <v>0</v>
      </c>
    </row>
    <row r="60" spans="1:15" x14ac:dyDescent="0.25">
      <c r="A60">
        <f t="shared" si="25"/>
        <v>16800</v>
      </c>
      <c r="B60" s="9">
        <v>503</v>
      </c>
      <c r="C60" s="9">
        <f t="shared" si="26"/>
        <v>9155.3629469122425</v>
      </c>
      <c r="D60" s="9">
        <v>506</v>
      </c>
      <c r="E60" s="9">
        <f t="shared" si="27"/>
        <v>9180.1295896328302</v>
      </c>
      <c r="F60">
        <f>SUM(F59,2)</f>
        <v>506</v>
      </c>
      <c r="G60" s="9">
        <f t="shared" si="28"/>
        <v>9180.1295896328302</v>
      </c>
      <c r="H60">
        <f t="shared" si="37"/>
        <v>509</v>
      </c>
      <c r="I60" s="9">
        <f t="shared" si="29"/>
        <v>9204.7362755651229</v>
      </c>
      <c r="J60">
        <f t="shared" si="34"/>
        <v>500</v>
      </c>
      <c r="K60" s="9">
        <f t="shared" si="31"/>
        <v>9130.434782608696</v>
      </c>
      <c r="L60">
        <f t="shared" si="39"/>
        <v>499</v>
      </c>
      <c r="M60" s="9">
        <f t="shared" si="33"/>
        <v>9122.089227421111</v>
      </c>
      <c r="N60">
        <v>0</v>
      </c>
      <c r="O60">
        <v>0</v>
      </c>
    </row>
    <row r="61" spans="1:15" x14ac:dyDescent="0.25">
      <c r="A61">
        <f t="shared" si="25"/>
        <v>17800</v>
      </c>
      <c r="B61" s="9">
        <v>506</v>
      </c>
      <c r="C61" s="9">
        <f t="shared" si="26"/>
        <v>9726.5658747300222</v>
      </c>
      <c r="D61" s="9">
        <v>508</v>
      </c>
      <c r="E61" s="9">
        <f t="shared" si="27"/>
        <v>9743.9655172413786</v>
      </c>
      <c r="F61">
        <f>SUM(F60,2)</f>
        <v>508</v>
      </c>
      <c r="G61" s="9">
        <f t="shared" si="28"/>
        <v>9743.9655172413786</v>
      </c>
      <c r="H61">
        <f t="shared" si="37"/>
        <v>513</v>
      </c>
      <c r="I61" s="9">
        <f t="shared" si="29"/>
        <v>9787.1382636655944</v>
      </c>
      <c r="J61">
        <f t="shared" si="34"/>
        <v>505</v>
      </c>
      <c r="K61" s="9">
        <f t="shared" si="31"/>
        <v>9717.8378378378384</v>
      </c>
      <c r="L61">
        <f t="shared" si="39"/>
        <v>505</v>
      </c>
      <c r="M61" s="9">
        <f t="shared" si="33"/>
        <v>9717.8378378378384</v>
      </c>
      <c r="N61">
        <v>0</v>
      </c>
      <c r="O61">
        <v>0</v>
      </c>
    </row>
    <row r="62" spans="1:15" x14ac:dyDescent="0.25">
      <c r="A62">
        <f t="shared" si="25"/>
        <v>18800</v>
      </c>
      <c r="B62" s="9">
        <v>509</v>
      </c>
      <c r="C62" s="9">
        <f t="shared" si="26"/>
        <v>10300.5382131324</v>
      </c>
      <c r="D62" s="9">
        <v>511</v>
      </c>
      <c r="E62" s="9">
        <f t="shared" si="27"/>
        <v>10318.796992481202</v>
      </c>
      <c r="F62">
        <f>SUM(F61,3)</f>
        <v>511</v>
      </c>
      <c r="G62" s="9">
        <f t="shared" si="28"/>
        <v>10318.796992481202</v>
      </c>
      <c r="H62">
        <f t="shared" si="37"/>
        <v>517</v>
      </c>
      <c r="I62" s="9">
        <f t="shared" si="29"/>
        <v>10373.105656350053</v>
      </c>
      <c r="J62">
        <f>SUM(J61,6)</f>
        <v>511</v>
      </c>
      <c r="K62" s="9">
        <f t="shared" si="31"/>
        <v>10318.796992481202</v>
      </c>
      <c r="L62">
        <f t="shared" si="39"/>
        <v>511</v>
      </c>
      <c r="M62" s="9">
        <f t="shared" si="33"/>
        <v>10318.796992481202</v>
      </c>
      <c r="N62">
        <v>0</v>
      </c>
      <c r="O62">
        <v>0</v>
      </c>
    </row>
    <row r="63" spans="1:15" x14ac:dyDescent="0.25">
      <c r="A63">
        <f t="shared" si="25"/>
        <v>19800</v>
      </c>
      <c r="B63" s="9">
        <v>514</v>
      </c>
      <c r="C63" s="9">
        <f t="shared" si="26"/>
        <v>10896.359743040686</v>
      </c>
      <c r="D63" s="9">
        <v>517</v>
      </c>
      <c r="E63" s="9">
        <f t="shared" si="27"/>
        <v>10924.866595517609</v>
      </c>
      <c r="F63">
        <f t="shared" ref="F63:F65" si="40">SUM(F62,6)</f>
        <v>517</v>
      </c>
      <c r="G63" s="9">
        <f t="shared" si="28"/>
        <v>10924.866595517609</v>
      </c>
      <c r="H63">
        <f t="shared" si="37"/>
        <v>521</v>
      </c>
      <c r="I63" s="9">
        <f t="shared" si="29"/>
        <v>10962.592986184909</v>
      </c>
      <c r="J63">
        <f t="shared" ref="J63:J67" si="41">SUM(J62,6)</f>
        <v>517</v>
      </c>
      <c r="K63" s="9">
        <f t="shared" si="31"/>
        <v>10924.866595517609</v>
      </c>
      <c r="L63">
        <f>SUM(L62,7)</f>
        <v>518</v>
      </c>
      <c r="M63" s="9">
        <f t="shared" si="33"/>
        <v>10934.328358208955</v>
      </c>
      <c r="N63">
        <v>0</v>
      </c>
      <c r="O63">
        <v>0</v>
      </c>
    </row>
    <row r="64" spans="1:15" x14ac:dyDescent="0.25">
      <c r="A64">
        <f t="shared" si="25"/>
        <v>20800</v>
      </c>
      <c r="B64" s="9">
        <v>520</v>
      </c>
      <c r="C64" s="9">
        <f t="shared" si="26"/>
        <v>11506.382978723404</v>
      </c>
      <c r="D64" s="9">
        <v>524</v>
      </c>
      <c r="E64" s="9">
        <f t="shared" si="27"/>
        <v>11545.762711864407</v>
      </c>
      <c r="F64">
        <f t="shared" si="40"/>
        <v>523</v>
      </c>
      <c r="G64" s="9">
        <f t="shared" si="28"/>
        <v>11535.949098621422</v>
      </c>
      <c r="H64">
        <f t="shared" si="37"/>
        <v>525</v>
      </c>
      <c r="I64" s="9">
        <f t="shared" si="29"/>
        <v>11555.555555555557</v>
      </c>
      <c r="J64">
        <f t="shared" si="41"/>
        <v>523</v>
      </c>
      <c r="K64" s="9">
        <f t="shared" si="31"/>
        <v>11535.949098621422</v>
      </c>
      <c r="L64">
        <f t="shared" ref="L64:L69" si="42">SUM(L63,7)</f>
        <v>525</v>
      </c>
      <c r="M64" s="9">
        <f t="shared" si="33"/>
        <v>11555.555555555557</v>
      </c>
      <c r="N64">
        <v>0</v>
      </c>
      <c r="O64">
        <v>0</v>
      </c>
    </row>
    <row r="65" spans="1:15" x14ac:dyDescent="0.25">
      <c r="A65">
        <f t="shared" si="25"/>
        <v>21800</v>
      </c>
      <c r="B65" s="9">
        <v>527</v>
      </c>
      <c r="C65" s="9">
        <f t="shared" si="26"/>
        <v>12131.57338965153</v>
      </c>
      <c r="D65" s="9">
        <v>529</v>
      </c>
      <c r="E65" s="9">
        <f t="shared" si="27"/>
        <v>12151.94942044257</v>
      </c>
      <c r="F65">
        <f t="shared" si="40"/>
        <v>529</v>
      </c>
      <c r="G65" s="9">
        <f t="shared" si="28"/>
        <v>12151.94942044257</v>
      </c>
      <c r="H65">
        <f t="shared" si="37"/>
        <v>529</v>
      </c>
      <c r="I65" s="9">
        <f t="shared" si="29"/>
        <v>12151.94942044257</v>
      </c>
      <c r="J65">
        <f t="shared" si="41"/>
        <v>529</v>
      </c>
      <c r="K65" s="9">
        <f t="shared" si="31"/>
        <v>12151.94942044257</v>
      </c>
      <c r="L65">
        <f t="shared" si="42"/>
        <v>532</v>
      </c>
      <c r="M65" s="9">
        <f t="shared" si="33"/>
        <v>12182.35294117647</v>
      </c>
      <c r="N65">
        <v>0</v>
      </c>
      <c r="O65">
        <v>0</v>
      </c>
    </row>
    <row r="66" spans="1:15" x14ac:dyDescent="0.25">
      <c r="A66" s="16">
        <f t="shared" si="25"/>
        <v>22800</v>
      </c>
      <c r="B66" s="9">
        <v>535</v>
      </c>
      <c r="C66" s="9">
        <f t="shared" si="26"/>
        <v>12772.77486910995</v>
      </c>
      <c r="D66" s="9">
        <v>535</v>
      </c>
      <c r="E66" s="9">
        <f t="shared" si="27"/>
        <v>12772.77486910995</v>
      </c>
      <c r="F66">
        <f>SUM(F65,7)</f>
        <v>536</v>
      </c>
      <c r="G66" s="9">
        <f t="shared" si="28"/>
        <v>12783.263598326359</v>
      </c>
      <c r="H66">
        <f t="shared" si="37"/>
        <v>533</v>
      </c>
      <c r="I66" s="9">
        <f t="shared" si="29"/>
        <v>12751.731374606507</v>
      </c>
      <c r="J66">
        <f t="shared" si="41"/>
        <v>535</v>
      </c>
      <c r="K66" s="9">
        <f t="shared" si="31"/>
        <v>12772.77486910995</v>
      </c>
      <c r="L66">
        <f t="shared" si="42"/>
        <v>539</v>
      </c>
      <c r="M66" s="9">
        <f t="shared" si="33"/>
        <v>12814.598540145986</v>
      </c>
      <c r="N66">
        <v>0</v>
      </c>
      <c r="O66">
        <v>0</v>
      </c>
    </row>
    <row r="67" spans="1:15" x14ac:dyDescent="0.25">
      <c r="A67">
        <f t="shared" si="25"/>
        <v>23800</v>
      </c>
      <c r="B67" s="9">
        <v>540</v>
      </c>
      <c r="C67" s="9">
        <f t="shared" si="26"/>
        <v>13387.5</v>
      </c>
      <c r="D67" s="9">
        <v>541</v>
      </c>
      <c r="E67" s="9">
        <f t="shared" si="27"/>
        <v>13398.335067637878</v>
      </c>
      <c r="F67">
        <f t="shared" ref="F67:F70" si="43">SUM(F66,7)</f>
        <v>543</v>
      </c>
      <c r="G67" s="9">
        <f t="shared" si="28"/>
        <v>13419.937694704049</v>
      </c>
      <c r="H67">
        <f>SUM(H66,5)</f>
        <v>538</v>
      </c>
      <c r="I67" s="9">
        <f t="shared" si="29"/>
        <v>13365.762004175363</v>
      </c>
      <c r="J67">
        <f t="shared" si="41"/>
        <v>541</v>
      </c>
      <c r="K67" s="9">
        <f t="shared" si="31"/>
        <v>13398.335067637878</v>
      </c>
      <c r="L67">
        <f t="shared" si="42"/>
        <v>546</v>
      </c>
      <c r="M67" s="9">
        <f t="shared" si="33"/>
        <v>13452.17391304348</v>
      </c>
      <c r="N67">
        <v>0</v>
      </c>
      <c r="O67">
        <v>0</v>
      </c>
    </row>
    <row r="68" spans="1:15" x14ac:dyDescent="0.25">
      <c r="A68">
        <f t="shared" si="25"/>
        <v>24800</v>
      </c>
      <c r="B68" s="9">
        <v>545</v>
      </c>
      <c r="C68" s="9">
        <f t="shared" si="26"/>
        <v>14006.21761658031</v>
      </c>
      <c r="D68" s="9">
        <v>546</v>
      </c>
      <c r="E68" s="9">
        <f t="shared" si="27"/>
        <v>14017.391304347828</v>
      </c>
      <c r="F68">
        <f t="shared" si="43"/>
        <v>550</v>
      </c>
      <c r="G68" s="9">
        <f t="shared" si="28"/>
        <v>14061.855670103094</v>
      </c>
      <c r="H68">
        <f>SUM(H67,6)</f>
        <v>544</v>
      </c>
      <c r="I68" s="9">
        <f t="shared" si="29"/>
        <v>13995.020746887967</v>
      </c>
      <c r="J68">
        <f>SUM(J67,7)</f>
        <v>548</v>
      </c>
      <c r="K68" s="9">
        <f t="shared" si="31"/>
        <v>14039.669421487604</v>
      </c>
      <c r="L68">
        <f t="shared" si="42"/>
        <v>553</v>
      </c>
      <c r="M68" s="9">
        <f t="shared" si="33"/>
        <v>14094.964028776978</v>
      </c>
      <c r="N68">
        <v>0</v>
      </c>
      <c r="O68">
        <v>0</v>
      </c>
    </row>
    <row r="69" spans="1:15" x14ac:dyDescent="0.25">
      <c r="A69" s="19">
        <f t="shared" si="25"/>
        <v>25800</v>
      </c>
      <c r="B69" s="9">
        <v>550</v>
      </c>
      <c r="C69" s="9">
        <f>PRODUCT(A69,B69,1/(B69+420))</f>
        <v>14628.865979381444</v>
      </c>
      <c r="D69" s="9">
        <v>551</v>
      </c>
      <c r="E69" s="9">
        <f t="shared" si="27"/>
        <v>14640.370751802266</v>
      </c>
      <c r="F69">
        <f t="shared" si="43"/>
        <v>557</v>
      </c>
      <c r="G69" s="9">
        <f t="shared" si="28"/>
        <v>14708.904810644832</v>
      </c>
      <c r="H69">
        <f>SUM(H68,7)</f>
        <v>551</v>
      </c>
      <c r="I69" s="9">
        <f t="shared" si="29"/>
        <v>14640.370751802266</v>
      </c>
      <c r="J69">
        <f>SUM(J68,8)</f>
        <v>556</v>
      </c>
      <c r="K69" s="9">
        <f t="shared" si="31"/>
        <v>14697.540983606557</v>
      </c>
      <c r="L69">
        <f t="shared" si="42"/>
        <v>560</v>
      </c>
      <c r="M69" s="9">
        <f t="shared" si="33"/>
        <v>14742.857142857145</v>
      </c>
      <c r="N69">
        <v>0</v>
      </c>
      <c r="O69">
        <v>0</v>
      </c>
    </row>
    <row r="70" spans="1:15" x14ac:dyDescent="0.25">
      <c r="A70">
        <f t="shared" si="25"/>
        <v>26800</v>
      </c>
      <c r="B70" s="9">
        <v>0</v>
      </c>
      <c r="C70" s="9">
        <f t="shared" si="26"/>
        <v>0</v>
      </c>
      <c r="D70" s="9">
        <v>556</v>
      </c>
      <c r="E70" s="9">
        <f t="shared" si="27"/>
        <v>15267.213114754099</v>
      </c>
      <c r="F70">
        <f t="shared" si="43"/>
        <v>564</v>
      </c>
      <c r="G70" s="9">
        <f t="shared" si="28"/>
        <v>15360.975609756098</v>
      </c>
      <c r="H70">
        <f t="shared" ref="H70:H78" si="44">SUM(H69,6)</f>
        <v>557</v>
      </c>
      <c r="I70" s="9">
        <f t="shared" si="29"/>
        <v>15279.017400204708</v>
      </c>
      <c r="J70">
        <f t="shared" ref="J70:J76" si="45">SUM(J69,8)</f>
        <v>564</v>
      </c>
      <c r="K70" s="9">
        <f t="shared" si="31"/>
        <v>15360.975609756098</v>
      </c>
      <c r="L70">
        <f>SUM(L69,8)</f>
        <v>568</v>
      </c>
      <c r="M70" s="9">
        <f t="shared" si="33"/>
        <v>15407.287449392712</v>
      </c>
      <c r="N70">
        <v>0</v>
      </c>
      <c r="O70">
        <v>0</v>
      </c>
    </row>
    <row r="71" spans="1:15" x14ac:dyDescent="0.25">
      <c r="A71">
        <f t="shared" si="25"/>
        <v>27800</v>
      </c>
      <c r="B71" s="9">
        <v>0</v>
      </c>
      <c r="C71">
        <v>0</v>
      </c>
      <c r="D71">
        <v>560</v>
      </c>
      <c r="E71" s="9">
        <f t="shared" si="27"/>
        <v>15885.714285714288</v>
      </c>
      <c r="F71">
        <f>SUM(F70,6)</f>
        <v>570</v>
      </c>
      <c r="G71" s="9">
        <f t="shared" si="28"/>
        <v>16006.060606060606</v>
      </c>
      <c r="H71">
        <f t="shared" si="44"/>
        <v>563</v>
      </c>
      <c r="I71" s="9">
        <f t="shared" si="29"/>
        <v>15922.075279755849</v>
      </c>
      <c r="J71">
        <f t="shared" si="45"/>
        <v>572</v>
      </c>
      <c r="K71" s="9">
        <f t="shared" si="31"/>
        <v>16029.838709677419</v>
      </c>
      <c r="L71">
        <f t="shared" ref="L71:L74" si="46">SUM(L70,8)</f>
        <v>576</v>
      </c>
      <c r="M71" s="9">
        <f t="shared" si="33"/>
        <v>16077.108433734938</v>
      </c>
      <c r="N71">
        <v>0</v>
      </c>
      <c r="O71">
        <v>0</v>
      </c>
    </row>
    <row r="72" spans="1:15" x14ac:dyDescent="0.25">
      <c r="A72">
        <f t="shared" si="25"/>
        <v>28800</v>
      </c>
      <c r="B72" s="9">
        <v>0</v>
      </c>
      <c r="C72">
        <v>0</v>
      </c>
      <c r="D72">
        <v>564</v>
      </c>
      <c r="E72" s="9">
        <f t="shared" si="27"/>
        <v>16507.317073170732</v>
      </c>
      <c r="F72">
        <f t="shared" ref="F72" si="47">SUM(F71,6)</f>
        <v>576</v>
      </c>
      <c r="G72" s="9">
        <f t="shared" si="28"/>
        <v>16655.421686746988</v>
      </c>
      <c r="H72">
        <f t="shared" si="44"/>
        <v>569</v>
      </c>
      <c r="I72" s="9">
        <f t="shared" si="29"/>
        <v>16569.464105156723</v>
      </c>
      <c r="J72">
        <f t="shared" si="45"/>
        <v>580</v>
      </c>
      <c r="K72" s="9">
        <f t="shared" si="31"/>
        <v>16704</v>
      </c>
      <c r="L72">
        <f t="shared" si="46"/>
        <v>584</v>
      </c>
      <c r="M72" s="9">
        <f t="shared" si="33"/>
        <v>16752.191235059759</v>
      </c>
      <c r="N72">
        <v>0</v>
      </c>
      <c r="O72">
        <v>0</v>
      </c>
    </row>
    <row r="73" spans="1:15" x14ac:dyDescent="0.25">
      <c r="A73">
        <f t="shared" si="25"/>
        <v>29800</v>
      </c>
      <c r="B73" s="9">
        <v>0</v>
      </c>
      <c r="C73">
        <v>0</v>
      </c>
      <c r="D73">
        <v>0</v>
      </c>
      <c r="E73">
        <v>0</v>
      </c>
      <c r="F73">
        <f>SUM(F72,5)</f>
        <v>581</v>
      </c>
      <c r="G73" s="9">
        <f t="shared" si="28"/>
        <v>17296.503496503497</v>
      </c>
      <c r="H73">
        <f t="shared" si="44"/>
        <v>575</v>
      </c>
      <c r="I73" s="9">
        <f t="shared" si="29"/>
        <v>17221.105527638192</v>
      </c>
      <c r="J73">
        <f t="shared" si="45"/>
        <v>588</v>
      </c>
      <c r="K73" s="9">
        <f t="shared" si="31"/>
        <v>17383.333333333332</v>
      </c>
      <c r="L73">
        <f t="shared" si="46"/>
        <v>592</v>
      </c>
      <c r="M73" s="9">
        <f t="shared" si="33"/>
        <v>17432.411067193676</v>
      </c>
      <c r="N73">
        <v>0</v>
      </c>
      <c r="O73">
        <v>0</v>
      </c>
    </row>
    <row r="74" spans="1:15" x14ac:dyDescent="0.25">
      <c r="A74" s="19">
        <f>SUM(A73,1000)</f>
        <v>30800</v>
      </c>
      <c r="B74" s="9">
        <v>0</v>
      </c>
      <c r="C74">
        <v>0</v>
      </c>
      <c r="D74">
        <v>0</v>
      </c>
      <c r="E74">
        <v>0</v>
      </c>
      <c r="F74">
        <f t="shared" ref="F74" si="48">SUM(F73,5)</f>
        <v>586</v>
      </c>
      <c r="G74" s="9">
        <f t="shared" si="28"/>
        <v>17941.153081510933</v>
      </c>
      <c r="H74">
        <f t="shared" si="44"/>
        <v>581</v>
      </c>
      <c r="I74" s="9">
        <f t="shared" si="29"/>
        <v>17876.923076923078</v>
      </c>
      <c r="J74">
        <f t="shared" si="45"/>
        <v>596</v>
      </c>
      <c r="K74" s="9">
        <f t="shared" si="31"/>
        <v>18067.716535433072</v>
      </c>
      <c r="L74">
        <f t="shared" si="46"/>
        <v>600</v>
      </c>
      <c r="M74" s="9">
        <f t="shared" si="33"/>
        <v>18117.647058823528</v>
      </c>
      <c r="N74">
        <v>0</v>
      </c>
      <c r="O74">
        <v>0</v>
      </c>
    </row>
    <row r="75" spans="1:15" x14ac:dyDescent="0.25">
      <c r="A75">
        <f t="shared" si="25"/>
        <v>31800</v>
      </c>
      <c r="B75" s="9">
        <v>0</v>
      </c>
      <c r="C75">
        <v>0</v>
      </c>
      <c r="D75">
        <v>0</v>
      </c>
      <c r="E75">
        <v>0</v>
      </c>
      <c r="F75">
        <f>SUM(F74,4)</f>
        <v>590</v>
      </c>
      <c r="G75" s="9">
        <f t="shared" si="28"/>
        <v>18576.237623762376</v>
      </c>
      <c r="H75">
        <f t="shared" si="44"/>
        <v>587</v>
      </c>
      <c r="I75" s="9">
        <f t="shared" si="29"/>
        <v>18536.842105263157</v>
      </c>
      <c r="J75">
        <f t="shared" si="45"/>
        <v>604</v>
      </c>
      <c r="K75" s="9">
        <f t="shared" si="31"/>
        <v>18757.03125</v>
      </c>
      <c r="L75">
        <f>SUM(L74,9)</f>
        <v>609</v>
      </c>
      <c r="M75" s="9">
        <f t="shared" si="33"/>
        <v>18820.408163265303</v>
      </c>
      <c r="N75">
        <v>0</v>
      </c>
      <c r="O75">
        <v>0</v>
      </c>
    </row>
    <row r="76" spans="1:15" x14ac:dyDescent="0.25">
      <c r="A76">
        <f t="shared" si="25"/>
        <v>32800</v>
      </c>
      <c r="B76" s="9">
        <v>0</v>
      </c>
      <c r="C76">
        <v>0</v>
      </c>
      <c r="D76">
        <v>0</v>
      </c>
      <c r="E76">
        <v>0</v>
      </c>
      <c r="F76">
        <f t="shared" ref="F76:F77" si="49">SUM(F75,3)</f>
        <v>593</v>
      </c>
      <c r="G76" s="9">
        <f t="shared" si="28"/>
        <v>19200.789733464953</v>
      </c>
      <c r="H76">
        <f t="shared" si="44"/>
        <v>593</v>
      </c>
      <c r="I76" s="9">
        <f t="shared" si="29"/>
        <v>19200.789733464953</v>
      </c>
      <c r="J76">
        <f t="shared" si="45"/>
        <v>612</v>
      </c>
      <c r="K76" s="9">
        <f t="shared" si="31"/>
        <v>19451.162790697676</v>
      </c>
      <c r="L76">
        <f>SUM(L75,9)</f>
        <v>618</v>
      </c>
      <c r="M76" s="9">
        <f t="shared" si="33"/>
        <v>19528.323699421966</v>
      </c>
      <c r="N76">
        <v>0</v>
      </c>
      <c r="O76">
        <v>0</v>
      </c>
    </row>
    <row r="77" spans="1:15" x14ac:dyDescent="0.25">
      <c r="A77">
        <f t="shared" si="25"/>
        <v>33800</v>
      </c>
      <c r="B77" s="9">
        <v>0</v>
      </c>
      <c r="C77">
        <v>0</v>
      </c>
      <c r="D77">
        <v>0</v>
      </c>
      <c r="E77">
        <v>0</v>
      </c>
      <c r="F77">
        <f t="shared" si="49"/>
        <v>596</v>
      </c>
      <c r="G77" s="9">
        <f t="shared" si="28"/>
        <v>19827.559055118109</v>
      </c>
      <c r="H77">
        <f t="shared" si="44"/>
        <v>599</v>
      </c>
      <c r="I77" s="9">
        <f t="shared" si="29"/>
        <v>19868.694798822373</v>
      </c>
      <c r="J77">
        <f t="shared" ref="J77:J79" si="50">SUM(J76,7)</f>
        <v>619</v>
      </c>
      <c r="K77" s="9">
        <f t="shared" si="31"/>
        <v>20136.862367661215</v>
      </c>
      <c r="L77">
        <f t="shared" ref="L77:L80" si="51">SUM(L76,6)</f>
        <v>624</v>
      </c>
      <c r="M77" s="9">
        <f t="shared" si="33"/>
        <v>20202.298850574713</v>
      </c>
      <c r="N77">
        <v>0</v>
      </c>
      <c r="O77">
        <v>0</v>
      </c>
    </row>
    <row r="78" spans="1:15" x14ac:dyDescent="0.25">
      <c r="A78">
        <f t="shared" si="25"/>
        <v>34800</v>
      </c>
      <c r="B78" s="9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f t="shared" si="44"/>
        <v>605</v>
      </c>
      <c r="I78" s="9">
        <f t="shared" si="29"/>
        <v>20540.487804878048</v>
      </c>
      <c r="J78">
        <f t="shared" si="50"/>
        <v>626</v>
      </c>
      <c r="K78" s="9">
        <f t="shared" si="31"/>
        <v>20826.76864244742</v>
      </c>
      <c r="L78">
        <f t="shared" si="51"/>
        <v>630</v>
      </c>
      <c r="M78" s="9">
        <f t="shared" si="33"/>
        <v>20880</v>
      </c>
      <c r="N78">
        <v>0</v>
      </c>
      <c r="O78">
        <v>0</v>
      </c>
    </row>
    <row r="79" spans="1:15" x14ac:dyDescent="0.25">
      <c r="A79">
        <f t="shared" si="25"/>
        <v>35800</v>
      </c>
      <c r="B79" s="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f t="shared" si="50"/>
        <v>633</v>
      </c>
      <c r="K79" s="9">
        <f t="shared" si="31"/>
        <v>21520.79772079772</v>
      </c>
      <c r="L79">
        <f t="shared" si="51"/>
        <v>636</v>
      </c>
      <c r="M79" s="9">
        <f t="shared" si="33"/>
        <v>21561.363636363636</v>
      </c>
      <c r="N79">
        <v>0</v>
      </c>
      <c r="O79">
        <v>0</v>
      </c>
    </row>
    <row r="80" spans="1:15" x14ac:dyDescent="0.25">
      <c r="A80">
        <f t="shared" si="25"/>
        <v>36800</v>
      </c>
      <c r="B80" s="9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f t="shared" si="51"/>
        <v>642</v>
      </c>
      <c r="M80" s="9">
        <f t="shared" si="33"/>
        <v>22246.327683615818</v>
      </c>
      <c r="N80">
        <v>0</v>
      </c>
      <c r="O80">
        <v>0</v>
      </c>
    </row>
    <row r="81" spans="1:15" x14ac:dyDescent="0.25">
      <c r="A81">
        <f t="shared" si="25"/>
        <v>37800</v>
      </c>
      <c r="B81" s="9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51</v>
      </c>
      <c r="C82" s="16">
        <v>5800</v>
      </c>
      <c r="D82" s="16"/>
      <c r="E82" s="16">
        <v>5800</v>
      </c>
      <c r="F82" s="16"/>
      <c r="G82" s="16">
        <v>6800</v>
      </c>
      <c r="H82" s="16"/>
      <c r="I82" s="16">
        <v>7800</v>
      </c>
      <c r="J82" s="16"/>
      <c r="K82" s="16">
        <v>8800</v>
      </c>
      <c r="L82" s="16"/>
      <c r="M82" s="16">
        <v>9800</v>
      </c>
      <c r="N82">
        <v>0</v>
      </c>
      <c r="O82">
        <v>0</v>
      </c>
    </row>
    <row r="83" spans="1:15" x14ac:dyDescent="0.25">
      <c r="A83" t="s">
        <v>50</v>
      </c>
      <c r="C83" s="16">
        <v>25800</v>
      </c>
      <c r="D83" s="16"/>
      <c r="E83" s="16">
        <v>28800</v>
      </c>
      <c r="F83" s="16"/>
      <c r="G83" s="16">
        <v>33800</v>
      </c>
      <c r="H83" s="16"/>
      <c r="I83" s="16">
        <v>34800</v>
      </c>
      <c r="J83" s="16"/>
      <c r="K83" s="16">
        <v>35800</v>
      </c>
      <c r="L83" s="16"/>
      <c r="M83" s="16">
        <v>36800</v>
      </c>
      <c r="N83">
        <v>0</v>
      </c>
      <c r="O83">
        <v>0</v>
      </c>
    </row>
    <row r="84" spans="1:15" x14ac:dyDescent="0.25">
      <c r="A84" t="s">
        <v>52</v>
      </c>
      <c r="C84" s="16">
        <v>3100</v>
      </c>
      <c r="D84" s="16"/>
      <c r="E84" s="16">
        <v>3100</v>
      </c>
      <c r="F84" s="16"/>
      <c r="G84" s="16">
        <v>3600</v>
      </c>
      <c r="H84" s="16"/>
      <c r="I84" s="16">
        <v>4100</v>
      </c>
      <c r="J84" s="16"/>
      <c r="K84" s="16">
        <v>4500</v>
      </c>
      <c r="L84" s="16"/>
      <c r="M84" s="16">
        <v>5000</v>
      </c>
      <c r="N84">
        <v>0</v>
      </c>
      <c r="O84">
        <v>0</v>
      </c>
    </row>
    <row r="85" spans="1:15" x14ac:dyDescent="0.25">
      <c r="A85" t="s">
        <v>53</v>
      </c>
      <c r="C85" s="16">
        <v>14650</v>
      </c>
      <c r="D85" s="16"/>
      <c r="E85" s="16">
        <v>16550</v>
      </c>
      <c r="F85" s="16"/>
      <c r="G85" s="16">
        <v>20000</v>
      </c>
      <c r="H85" s="16"/>
      <c r="I85" s="16">
        <v>20800</v>
      </c>
      <c r="J85" s="16"/>
      <c r="K85" s="16">
        <v>21600</v>
      </c>
      <c r="L85" s="16"/>
      <c r="M85" s="16">
        <v>22300</v>
      </c>
      <c r="N85">
        <v>0</v>
      </c>
      <c r="O85">
        <v>0</v>
      </c>
    </row>
    <row r="86" spans="1:15" x14ac:dyDescent="0.25">
      <c r="A86" s="25" t="s">
        <v>72</v>
      </c>
      <c r="B86" s="26"/>
      <c r="C86" s="16">
        <v>17560</v>
      </c>
      <c r="D86" s="16"/>
      <c r="E86" s="16">
        <v>17560</v>
      </c>
      <c r="F86" s="16"/>
      <c r="G86" s="16">
        <v>18560</v>
      </c>
      <c r="H86" s="16"/>
      <c r="I86" s="16">
        <v>19560</v>
      </c>
      <c r="J86" s="16"/>
      <c r="K86" s="16">
        <v>20560</v>
      </c>
      <c r="L86" s="16"/>
      <c r="M86" s="16">
        <v>21560</v>
      </c>
      <c r="N86">
        <v>0</v>
      </c>
      <c r="O86">
        <v>0</v>
      </c>
    </row>
    <row r="87" spans="1:15" x14ac:dyDescent="0.25">
      <c r="A87" s="25" t="s">
        <v>58</v>
      </c>
      <c r="B87" s="26"/>
      <c r="C87" s="16">
        <v>6640</v>
      </c>
      <c r="D87" s="16"/>
      <c r="E87" s="16">
        <v>6640</v>
      </c>
      <c r="F87" s="16"/>
      <c r="G87" s="16">
        <v>7640</v>
      </c>
      <c r="H87" s="16"/>
      <c r="I87" s="16">
        <v>8640</v>
      </c>
      <c r="J87" s="16"/>
      <c r="K87" s="16">
        <v>9640</v>
      </c>
      <c r="L87" s="16"/>
      <c r="M87" s="16">
        <v>10640</v>
      </c>
      <c r="N87">
        <v>0</v>
      </c>
      <c r="O87">
        <v>0</v>
      </c>
    </row>
    <row r="89" spans="1:15" ht="29.25" customHeight="1" x14ac:dyDescent="0.25">
      <c r="A89" s="25" t="s">
        <v>74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1:15" x14ac:dyDescent="0.25">
      <c r="A90" s="25" t="s">
        <v>39</v>
      </c>
      <c r="B90" s="24" t="s">
        <v>70</v>
      </c>
      <c r="C90" s="24"/>
      <c r="D90" s="24" t="s">
        <v>71</v>
      </c>
      <c r="E90" s="24"/>
      <c r="F90" s="24" t="s">
        <v>43</v>
      </c>
      <c r="G90" s="24"/>
      <c r="H90" s="24" t="s">
        <v>44</v>
      </c>
      <c r="I90" s="24"/>
      <c r="J90" s="24" t="s">
        <v>45</v>
      </c>
      <c r="K90" s="24"/>
      <c r="L90" s="24" t="s">
        <v>46</v>
      </c>
      <c r="M90" s="24"/>
      <c r="N90" s="24" t="s">
        <v>47</v>
      </c>
      <c r="O90" s="24"/>
    </row>
    <row r="91" spans="1:15" x14ac:dyDescent="0.25">
      <c r="A91" s="25"/>
      <c r="B91" t="s">
        <v>40</v>
      </c>
      <c r="C91" t="s">
        <v>41</v>
      </c>
      <c r="D91" t="s">
        <v>40</v>
      </c>
      <c r="E91" t="s">
        <v>41</v>
      </c>
      <c r="F91" t="s">
        <v>40</v>
      </c>
      <c r="G91" t="s">
        <v>41</v>
      </c>
      <c r="H91" t="s">
        <v>40</v>
      </c>
      <c r="I91" t="s">
        <v>41</v>
      </c>
      <c r="J91" t="s">
        <v>40</v>
      </c>
      <c r="K91" t="s">
        <v>41</v>
      </c>
      <c r="L91" t="s">
        <v>40</v>
      </c>
      <c r="M91" t="s">
        <v>41</v>
      </c>
      <c r="N91" t="s">
        <v>40</v>
      </c>
      <c r="O91" t="s">
        <v>41</v>
      </c>
    </row>
    <row r="92" spans="1:15" x14ac:dyDescent="0.25">
      <c r="A92" s="4">
        <v>4800</v>
      </c>
      <c r="B92">
        <v>500</v>
      </c>
      <c r="C92" s="9">
        <f>PRODUCT(A92,B92,1/(B92+150))</f>
        <v>3692.3076923076924</v>
      </c>
      <c r="D92">
        <v>500</v>
      </c>
      <c r="E92" s="9">
        <f>PRODUCT(A92,D92,1/(D92+150))</f>
        <v>3692.3076923076924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>
        <f>SUM(A92,1000)</f>
        <v>5800</v>
      </c>
      <c r="B93" s="9">
        <v>500</v>
      </c>
      <c r="C93" s="9">
        <f t="shared" ref="C93:C109" si="52">PRODUCT(A93,B93,1/(B93+150))</f>
        <v>4461.5384615384619</v>
      </c>
      <c r="D93">
        <v>500</v>
      </c>
      <c r="E93" s="9">
        <f t="shared" ref="E93:E111" si="53">PRODUCT(A93,D93,1/(D93+150))</f>
        <v>4461.5384615384619</v>
      </c>
      <c r="F93">
        <v>480</v>
      </c>
      <c r="G93" s="9">
        <f>PRODUCT(A93,F93,1/(F93+150))</f>
        <v>4419.0476190476193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>
        <f t="shared" ref="A94:A125" si="54">SUM(A93,1000)</f>
        <v>6800</v>
      </c>
      <c r="B94" s="9">
        <v>500</v>
      </c>
      <c r="C94" s="9">
        <f t="shared" si="52"/>
        <v>5230.7692307692305</v>
      </c>
      <c r="D94">
        <v>500</v>
      </c>
      <c r="E94" s="9">
        <f t="shared" si="53"/>
        <v>5230.7692307692305</v>
      </c>
      <c r="F94">
        <v>480</v>
      </c>
      <c r="G94" s="9">
        <f t="shared" ref="G94:G118" si="55">PRODUCT(A94,F94,1/(F94+150))</f>
        <v>5180.9523809523807</v>
      </c>
      <c r="H94">
        <v>470</v>
      </c>
      <c r="I94" s="9">
        <f>PRODUCT(A94,H94,1/(H94+150))</f>
        <v>5154.8387096774195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>
        <f t="shared" si="54"/>
        <v>7800</v>
      </c>
      <c r="B95" s="9">
        <v>500</v>
      </c>
      <c r="C95" s="9">
        <f t="shared" si="52"/>
        <v>6000</v>
      </c>
      <c r="D95">
        <v>500</v>
      </c>
      <c r="E95" s="9">
        <f t="shared" si="53"/>
        <v>6000</v>
      </c>
      <c r="F95">
        <f t="shared" ref="F95:F97" si="56">SUM(F94,4)</f>
        <v>484</v>
      </c>
      <c r="G95" s="9">
        <f t="shared" si="55"/>
        <v>5954.5741324921137</v>
      </c>
      <c r="H95">
        <f>SUM(H94,5)</f>
        <v>475</v>
      </c>
      <c r="I95" s="9">
        <f t="shared" ref="I95:I118" si="57">PRODUCT(A95,H95,1/(H95+150))</f>
        <v>5928</v>
      </c>
      <c r="J95">
        <v>460</v>
      </c>
      <c r="K95" s="9">
        <f>PRODUCT(A95,J95,1/(J95+150))</f>
        <v>5881.9672131147545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>
        <f t="shared" si="54"/>
        <v>8800</v>
      </c>
      <c r="B96" s="9">
        <v>500</v>
      </c>
      <c r="C96" s="9">
        <f t="shared" si="52"/>
        <v>6769.2307692307695</v>
      </c>
      <c r="D96">
        <v>500</v>
      </c>
      <c r="E96" s="9">
        <f t="shared" si="53"/>
        <v>6769.2307692307695</v>
      </c>
      <c r="F96">
        <f t="shared" si="56"/>
        <v>488</v>
      </c>
      <c r="G96" s="9">
        <f t="shared" si="55"/>
        <v>6731.0344827586205</v>
      </c>
      <c r="H96">
        <f t="shared" ref="H96:H97" si="58">SUM(H95,5)</f>
        <v>480</v>
      </c>
      <c r="I96" s="9">
        <f t="shared" si="57"/>
        <v>6704.7619047619046</v>
      </c>
      <c r="J96">
        <f>SUM(J95,5)</f>
        <v>465</v>
      </c>
      <c r="K96" s="9">
        <f t="shared" ref="K96:K119" si="59">PRODUCT(A96,J96,1/(J96+150))</f>
        <v>6653.6585365853662</v>
      </c>
      <c r="L96">
        <v>460</v>
      </c>
      <c r="M96" s="9">
        <f>PRODUCT(A96,L96,1/(L96+150))</f>
        <v>6636.0655737704919</v>
      </c>
      <c r="N96">
        <v>0</v>
      </c>
      <c r="O96">
        <v>0</v>
      </c>
    </row>
    <row r="97" spans="1:15" x14ac:dyDescent="0.25">
      <c r="A97">
        <f t="shared" si="54"/>
        <v>9800</v>
      </c>
      <c r="B97" s="9">
        <v>500</v>
      </c>
      <c r="C97" s="9">
        <f t="shared" si="52"/>
        <v>7538.4615384615381</v>
      </c>
      <c r="D97">
        <v>500</v>
      </c>
      <c r="E97" s="9">
        <f t="shared" si="53"/>
        <v>7538.4615384615381</v>
      </c>
      <c r="F97">
        <f t="shared" si="56"/>
        <v>492</v>
      </c>
      <c r="G97" s="9">
        <f t="shared" si="55"/>
        <v>7510.2803738317753</v>
      </c>
      <c r="H97">
        <f t="shared" si="58"/>
        <v>485</v>
      </c>
      <c r="I97" s="9">
        <f t="shared" si="57"/>
        <v>7485.0393700787399</v>
      </c>
      <c r="J97">
        <f t="shared" ref="J97:J104" si="60">SUM(J96,5)</f>
        <v>470</v>
      </c>
      <c r="K97" s="9">
        <f t="shared" si="59"/>
        <v>7429.0322580645161</v>
      </c>
      <c r="L97">
        <f>SUM(L96,5)</f>
        <v>465</v>
      </c>
      <c r="M97" s="9">
        <f t="shared" ref="M97:M120" si="61">PRODUCT(A97,L97,1/(L97+150))</f>
        <v>7409.7560975609758</v>
      </c>
      <c r="N97">
        <v>0</v>
      </c>
      <c r="O97">
        <v>0</v>
      </c>
    </row>
    <row r="98" spans="1:15" x14ac:dyDescent="0.25">
      <c r="A98">
        <f t="shared" si="54"/>
        <v>10800</v>
      </c>
      <c r="B98" s="9">
        <v>500</v>
      </c>
      <c r="C98" s="9">
        <f t="shared" si="52"/>
        <v>8307.6923076923085</v>
      </c>
      <c r="D98">
        <v>500</v>
      </c>
      <c r="E98" s="9">
        <f t="shared" si="53"/>
        <v>8307.6923076923085</v>
      </c>
      <c r="F98">
        <f>SUM(F97,3)</f>
        <v>495</v>
      </c>
      <c r="G98" s="9">
        <f t="shared" si="55"/>
        <v>8288.3720930232557</v>
      </c>
      <c r="H98">
        <f>SUM(H97,4)</f>
        <v>489</v>
      </c>
      <c r="I98" s="9">
        <f t="shared" si="57"/>
        <v>8264.7887323943669</v>
      </c>
      <c r="J98">
        <f t="shared" si="60"/>
        <v>475</v>
      </c>
      <c r="K98" s="9">
        <f t="shared" si="59"/>
        <v>8208</v>
      </c>
      <c r="L98">
        <f t="shared" ref="L98:L99" si="62">SUM(L97,5)</f>
        <v>470</v>
      </c>
      <c r="M98" s="9">
        <f t="shared" si="61"/>
        <v>8187.0967741935483</v>
      </c>
      <c r="N98">
        <v>0</v>
      </c>
      <c r="O98">
        <v>0</v>
      </c>
    </row>
    <row r="99" spans="1:15" x14ac:dyDescent="0.25">
      <c r="A99">
        <f t="shared" si="54"/>
        <v>11800</v>
      </c>
      <c r="B99" s="9">
        <v>500</v>
      </c>
      <c r="C99" s="9">
        <f t="shared" si="52"/>
        <v>9076.9230769230762</v>
      </c>
      <c r="D99" s="9">
        <v>501</v>
      </c>
      <c r="E99" s="9">
        <f t="shared" si="53"/>
        <v>9081.1059907834097</v>
      </c>
      <c r="F99">
        <f>SUM(F98,3)</f>
        <v>498</v>
      </c>
      <c r="G99" s="9">
        <f t="shared" si="55"/>
        <v>9068.5185185185182</v>
      </c>
      <c r="H99">
        <f t="shared" ref="H99:H109" si="63">SUM(H98,4)</f>
        <v>493</v>
      </c>
      <c r="I99" s="9">
        <f t="shared" si="57"/>
        <v>9047.2783825816477</v>
      </c>
      <c r="J99">
        <f t="shared" si="60"/>
        <v>480</v>
      </c>
      <c r="K99" s="9">
        <f t="shared" si="59"/>
        <v>8990.4761904761908</v>
      </c>
      <c r="L99">
        <f t="shared" si="62"/>
        <v>475</v>
      </c>
      <c r="M99" s="9">
        <f t="shared" si="61"/>
        <v>8968</v>
      </c>
      <c r="N99">
        <v>0</v>
      </c>
      <c r="O99">
        <v>0</v>
      </c>
    </row>
    <row r="100" spans="1:15" x14ac:dyDescent="0.25">
      <c r="A100">
        <f t="shared" si="54"/>
        <v>12800</v>
      </c>
      <c r="B100" s="9">
        <v>500</v>
      </c>
      <c r="C100" s="9">
        <f t="shared" si="52"/>
        <v>9846.1538461538457</v>
      </c>
      <c r="D100" s="9">
        <v>502</v>
      </c>
      <c r="E100" s="9">
        <f t="shared" si="53"/>
        <v>9855.2147239263813</v>
      </c>
      <c r="F100">
        <f t="shared" ref="F100" si="64">SUM(F99,3)</f>
        <v>501</v>
      </c>
      <c r="G100" s="9">
        <f t="shared" si="55"/>
        <v>9850.6912442396315</v>
      </c>
      <c r="H100">
        <f t="shared" si="63"/>
        <v>497</v>
      </c>
      <c r="I100" s="9">
        <f t="shared" si="57"/>
        <v>9832.4574961360122</v>
      </c>
      <c r="J100">
        <f t="shared" si="60"/>
        <v>485</v>
      </c>
      <c r="K100" s="9">
        <f t="shared" si="59"/>
        <v>9776.3779527559054</v>
      </c>
      <c r="L100">
        <f>SUM(L99,6)</f>
        <v>481</v>
      </c>
      <c r="M100" s="9">
        <f t="shared" si="61"/>
        <v>9757.2107765451674</v>
      </c>
      <c r="N100">
        <v>0</v>
      </c>
      <c r="O100">
        <v>0</v>
      </c>
    </row>
    <row r="101" spans="1:15" x14ac:dyDescent="0.25">
      <c r="A101">
        <f t="shared" si="54"/>
        <v>13800</v>
      </c>
      <c r="B101" s="9">
        <v>500</v>
      </c>
      <c r="C101" s="9">
        <f t="shared" si="52"/>
        <v>10615.384615384615</v>
      </c>
      <c r="D101" s="9">
        <v>503</v>
      </c>
      <c r="E101" s="9">
        <f t="shared" si="53"/>
        <v>10630.015313935683</v>
      </c>
      <c r="F101">
        <f>SUM(F100,1)</f>
        <v>502</v>
      </c>
      <c r="G101" s="9">
        <f t="shared" si="55"/>
        <v>10625.153374233128</v>
      </c>
      <c r="H101">
        <f t="shared" si="63"/>
        <v>501</v>
      </c>
      <c r="I101" s="9">
        <f t="shared" si="57"/>
        <v>10620.276497695853</v>
      </c>
      <c r="J101">
        <f t="shared" si="60"/>
        <v>490</v>
      </c>
      <c r="K101" s="9">
        <f t="shared" si="59"/>
        <v>10565.625</v>
      </c>
      <c r="L101">
        <f t="shared" ref="L101:L105" si="65">SUM(L100,6)</f>
        <v>487</v>
      </c>
      <c r="M101" s="9">
        <f t="shared" si="61"/>
        <v>10550.39246467818</v>
      </c>
      <c r="N101">
        <v>0</v>
      </c>
      <c r="O101">
        <v>0</v>
      </c>
    </row>
    <row r="102" spans="1:15" x14ac:dyDescent="0.25">
      <c r="A102">
        <f t="shared" si="54"/>
        <v>14800</v>
      </c>
      <c r="B102" s="9">
        <v>500</v>
      </c>
      <c r="C102" s="9">
        <f t="shared" si="52"/>
        <v>11384.615384615385</v>
      </c>
      <c r="D102" s="9">
        <v>504</v>
      </c>
      <c r="E102" s="9">
        <f t="shared" si="53"/>
        <v>11405.504587155963</v>
      </c>
      <c r="F102">
        <f>SUM(F101,1)</f>
        <v>503</v>
      </c>
      <c r="G102" s="9">
        <f t="shared" si="55"/>
        <v>11400.30627871363</v>
      </c>
      <c r="H102">
        <f t="shared" si="63"/>
        <v>505</v>
      </c>
      <c r="I102" s="9">
        <f t="shared" si="57"/>
        <v>11410.687022900764</v>
      </c>
      <c r="J102">
        <f t="shared" si="60"/>
        <v>495</v>
      </c>
      <c r="K102" s="9">
        <f t="shared" si="59"/>
        <v>11358.139534883721</v>
      </c>
      <c r="L102">
        <f t="shared" si="65"/>
        <v>493</v>
      </c>
      <c r="M102" s="9">
        <f t="shared" si="61"/>
        <v>11347.433903576983</v>
      </c>
      <c r="N102">
        <v>0</v>
      </c>
      <c r="O102">
        <v>0</v>
      </c>
    </row>
    <row r="103" spans="1:15" x14ac:dyDescent="0.25">
      <c r="A103">
        <f t="shared" si="54"/>
        <v>15800</v>
      </c>
      <c r="B103" s="9">
        <v>503</v>
      </c>
      <c r="C103" s="9">
        <f t="shared" si="52"/>
        <v>12170.597243491578</v>
      </c>
      <c r="D103" s="9">
        <v>506</v>
      </c>
      <c r="E103" s="9">
        <f t="shared" si="53"/>
        <v>12187.195121951219</v>
      </c>
      <c r="F103">
        <f t="shared" ref="F103" si="66">SUM(F102,1)</f>
        <v>504</v>
      </c>
      <c r="G103" s="9">
        <f t="shared" si="55"/>
        <v>12176.146788990825</v>
      </c>
      <c r="H103">
        <f t="shared" si="63"/>
        <v>509</v>
      </c>
      <c r="I103" s="9">
        <f t="shared" si="57"/>
        <v>12203.641881638847</v>
      </c>
      <c r="J103">
        <f t="shared" si="60"/>
        <v>500</v>
      </c>
      <c r="K103" s="9">
        <f t="shared" si="59"/>
        <v>12153.846153846154</v>
      </c>
      <c r="L103">
        <f t="shared" si="65"/>
        <v>499</v>
      </c>
      <c r="M103" s="9">
        <f t="shared" si="61"/>
        <v>12148.228043143297</v>
      </c>
      <c r="N103">
        <v>0</v>
      </c>
      <c r="O103">
        <v>0</v>
      </c>
    </row>
    <row r="104" spans="1:15" x14ac:dyDescent="0.25">
      <c r="A104">
        <f t="shared" si="54"/>
        <v>16800</v>
      </c>
      <c r="B104" s="9">
        <v>506</v>
      </c>
      <c r="C104" s="9">
        <f t="shared" si="52"/>
        <v>12958.536585365855</v>
      </c>
      <c r="D104" s="9">
        <v>508</v>
      </c>
      <c r="E104" s="9">
        <f t="shared" si="53"/>
        <v>12970.212765957447</v>
      </c>
      <c r="F104">
        <f>SUM(F103,2)</f>
        <v>506</v>
      </c>
      <c r="G104" s="9">
        <f t="shared" si="55"/>
        <v>12958.536585365855</v>
      </c>
      <c r="H104">
        <f t="shared" si="63"/>
        <v>513</v>
      </c>
      <c r="I104" s="9">
        <f t="shared" si="57"/>
        <v>12999.095022624435</v>
      </c>
      <c r="J104">
        <f t="shared" si="60"/>
        <v>505</v>
      </c>
      <c r="K104" s="9">
        <f t="shared" si="59"/>
        <v>12952.67175572519</v>
      </c>
      <c r="L104">
        <f t="shared" si="65"/>
        <v>505</v>
      </c>
      <c r="M104" s="9">
        <f t="shared" si="61"/>
        <v>12952.67175572519</v>
      </c>
      <c r="N104">
        <v>0</v>
      </c>
      <c r="O104">
        <v>0</v>
      </c>
    </row>
    <row r="105" spans="1:15" x14ac:dyDescent="0.25">
      <c r="A105">
        <f t="shared" si="54"/>
        <v>17800</v>
      </c>
      <c r="B105" s="9">
        <v>509</v>
      </c>
      <c r="C105" s="9">
        <f t="shared" si="52"/>
        <v>13748.406676783005</v>
      </c>
      <c r="D105" s="9">
        <v>511</v>
      </c>
      <c r="E105" s="9">
        <f t="shared" si="53"/>
        <v>13760.665658093798</v>
      </c>
      <c r="F105">
        <f t="shared" ref="F105" si="67">SUM(F104,2)</f>
        <v>508</v>
      </c>
      <c r="G105" s="9">
        <f t="shared" si="55"/>
        <v>13742.24924012158</v>
      </c>
      <c r="H105">
        <f t="shared" si="63"/>
        <v>517</v>
      </c>
      <c r="I105" s="9">
        <f t="shared" si="57"/>
        <v>13797.001499250375</v>
      </c>
      <c r="J105">
        <f>SUM(J104,6)</f>
        <v>511</v>
      </c>
      <c r="K105" s="9">
        <f t="shared" si="59"/>
        <v>13760.665658093798</v>
      </c>
      <c r="L105">
        <f t="shared" si="65"/>
        <v>511</v>
      </c>
      <c r="M105" s="9">
        <f t="shared" si="61"/>
        <v>13760.665658093798</v>
      </c>
      <c r="N105">
        <v>0</v>
      </c>
      <c r="O105">
        <v>0</v>
      </c>
    </row>
    <row r="106" spans="1:15" x14ac:dyDescent="0.25">
      <c r="A106">
        <f t="shared" si="54"/>
        <v>18800</v>
      </c>
      <c r="B106" s="9">
        <v>514</v>
      </c>
      <c r="C106" s="9">
        <f t="shared" si="52"/>
        <v>14553.012048192772</v>
      </c>
      <c r="D106" s="9">
        <v>517</v>
      </c>
      <c r="E106" s="9">
        <f t="shared" si="53"/>
        <v>14572.113943028486</v>
      </c>
      <c r="F106">
        <f>SUM(F105,3)</f>
        <v>511</v>
      </c>
      <c r="G106" s="9">
        <f t="shared" si="55"/>
        <v>14533.73676248109</v>
      </c>
      <c r="H106">
        <f t="shared" si="63"/>
        <v>521</v>
      </c>
      <c r="I106" s="9">
        <f t="shared" si="57"/>
        <v>14597.317436661699</v>
      </c>
      <c r="J106">
        <f t="shared" ref="J106:J110" si="68">SUM(J105,6)</f>
        <v>517</v>
      </c>
      <c r="K106" s="9">
        <f t="shared" si="59"/>
        <v>14572.113943028486</v>
      </c>
      <c r="L106">
        <f>SUM(L105,7)</f>
        <v>518</v>
      </c>
      <c r="M106" s="9">
        <f t="shared" si="61"/>
        <v>14578.443113772457</v>
      </c>
      <c r="N106">
        <v>0</v>
      </c>
      <c r="O106">
        <v>0</v>
      </c>
    </row>
    <row r="107" spans="1:15" x14ac:dyDescent="0.25">
      <c r="A107">
        <f t="shared" si="54"/>
        <v>19800</v>
      </c>
      <c r="B107" s="9">
        <v>520</v>
      </c>
      <c r="C107" s="9">
        <f t="shared" si="52"/>
        <v>15367.164179104479</v>
      </c>
      <c r="D107" s="9">
        <v>524</v>
      </c>
      <c r="E107" s="9">
        <f t="shared" si="53"/>
        <v>15393.47181008902</v>
      </c>
      <c r="F107">
        <f t="shared" ref="F107:F108" si="69">SUM(F106,6)</f>
        <v>517</v>
      </c>
      <c r="G107" s="9">
        <f t="shared" si="55"/>
        <v>15347.226386806597</v>
      </c>
      <c r="H107">
        <f t="shared" si="63"/>
        <v>525</v>
      </c>
      <c r="I107" s="9">
        <f t="shared" si="57"/>
        <v>15400</v>
      </c>
      <c r="J107">
        <f t="shared" si="68"/>
        <v>523</v>
      </c>
      <c r="K107" s="9">
        <f t="shared" si="59"/>
        <v>15386.924219910847</v>
      </c>
      <c r="L107">
        <f t="shared" ref="L107:L112" si="70">SUM(L106,7)</f>
        <v>525</v>
      </c>
      <c r="M107" s="9">
        <f t="shared" si="61"/>
        <v>15400</v>
      </c>
      <c r="N107">
        <v>0</v>
      </c>
      <c r="O107">
        <v>0</v>
      </c>
    </row>
    <row r="108" spans="1:15" x14ac:dyDescent="0.25">
      <c r="A108">
        <f t="shared" si="54"/>
        <v>20800</v>
      </c>
      <c r="B108" s="9">
        <v>527</v>
      </c>
      <c r="C108" s="9">
        <f t="shared" si="52"/>
        <v>16191.432791728213</v>
      </c>
      <c r="D108" s="9">
        <v>529</v>
      </c>
      <c r="E108" s="9">
        <f t="shared" si="53"/>
        <v>16205.00736377025</v>
      </c>
      <c r="F108">
        <f t="shared" si="69"/>
        <v>523</v>
      </c>
      <c r="G108" s="9">
        <f t="shared" si="55"/>
        <v>16164.041604754828</v>
      </c>
      <c r="H108">
        <f t="shared" si="63"/>
        <v>529</v>
      </c>
      <c r="I108" s="9">
        <f t="shared" si="57"/>
        <v>16205.00736377025</v>
      </c>
      <c r="J108">
        <f t="shared" si="68"/>
        <v>529</v>
      </c>
      <c r="K108" s="9">
        <f t="shared" si="59"/>
        <v>16205.00736377025</v>
      </c>
      <c r="L108">
        <f t="shared" si="70"/>
        <v>532</v>
      </c>
      <c r="M108" s="9">
        <f t="shared" si="61"/>
        <v>16225.219941348974</v>
      </c>
      <c r="N108">
        <v>0</v>
      </c>
      <c r="O108">
        <v>0</v>
      </c>
    </row>
    <row r="109" spans="1:15" x14ac:dyDescent="0.25">
      <c r="A109">
        <f t="shared" si="54"/>
        <v>21800</v>
      </c>
      <c r="B109" s="9">
        <v>535</v>
      </c>
      <c r="C109" s="9">
        <f t="shared" si="52"/>
        <v>17026.277372262772</v>
      </c>
      <c r="D109" s="9">
        <v>535</v>
      </c>
      <c r="E109" s="9">
        <f t="shared" si="53"/>
        <v>17026.277372262772</v>
      </c>
      <c r="F109">
        <f>SUM(F108,6)</f>
        <v>529</v>
      </c>
      <c r="G109" s="9">
        <f t="shared" si="55"/>
        <v>16984.094256259203</v>
      </c>
      <c r="H109">
        <f t="shared" si="63"/>
        <v>533</v>
      </c>
      <c r="I109" s="9">
        <f t="shared" si="57"/>
        <v>17012.298682284043</v>
      </c>
      <c r="J109">
        <f t="shared" si="68"/>
        <v>535</v>
      </c>
      <c r="K109" s="9">
        <f t="shared" si="59"/>
        <v>17026.277372262772</v>
      </c>
      <c r="L109">
        <f t="shared" si="70"/>
        <v>539</v>
      </c>
      <c r="M109" s="9">
        <f t="shared" si="61"/>
        <v>17053.991291727139</v>
      </c>
      <c r="N109">
        <v>0</v>
      </c>
      <c r="O109">
        <v>0</v>
      </c>
    </row>
    <row r="110" spans="1:15" x14ac:dyDescent="0.25">
      <c r="A110" s="16">
        <f t="shared" si="54"/>
        <v>22800</v>
      </c>
      <c r="B110" s="9">
        <v>0</v>
      </c>
      <c r="C110">
        <v>0</v>
      </c>
      <c r="D110" s="9">
        <v>541</v>
      </c>
      <c r="E110" s="9">
        <f t="shared" si="53"/>
        <v>17850.651230101303</v>
      </c>
      <c r="F110">
        <f>SUM(F109,7)</f>
        <v>536</v>
      </c>
      <c r="G110" s="9">
        <f t="shared" si="55"/>
        <v>17814.57725947522</v>
      </c>
      <c r="H110">
        <f>SUM(H109,5)</f>
        <v>538</v>
      </c>
      <c r="I110" s="9">
        <f t="shared" si="57"/>
        <v>17829.069767441859</v>
      </c>
      <c r="J110">
        <f t="shared" si="68"/>
        <v>541</v>
      </c>
      <c r="K110" s="9">
        <f t="shared" si="59"/>
        <v>17850.651230101303</v>
      </c>
      <c r="L110">
        <f t="shared" si="70"/>
        <v>546</v>
      </c>
      <c r="M110" s="9">
        <f t="shared" si="61"/>
        <v>17886.206896551725</v>
      </c>
      <c r="N110">
        <v>0</v>
      </c>
      <c r="O110">
        <v>0</v>
      </c>
    </row>
    <row r="111" spans="1:15" x14ac:dyDescent="0.25">
      <c r="A111">
        <f t="shared" si="54"/>
        <v>23800</v>
      </c>
      <c r="B111" s="9">
        <v>0</v>
      </c>
      <c r="C111">
        <v>0</v>
      </c>
      <c r="D111" s="9">
        <v>0</v>
      </c>
      <c r="E111" s="9">
        <f t="shared" si="53"/>
        <v>0</v>
      </c>
      <c r="F111">
        <f>SUM(F110,7)</f>
        <v>543</v>
      </c>
      <c r="G111" s="9">
        <f t="shared" si="55"/>
        <v>18648.484848484848</v>
      </c>
      <c r="H111">
        <f>SUM(H110,6)</f>
        <v>544</v>
      </c>
      <c r="I111" s="9">
        <f t="shared" si="57"/>
        <v>18655.907780979825</v>
      </c>
      <c r="J111">
        <f>SUM(J110,7)</f>
        <v>548</v>
      </c>
      <c r="K111" s="9">
        <f t="shared" si="59"/>
        <v>18685.38681948424</v>
      </c>
      <c r="L111">
        <f t="shared" si="70"/>
        <v>553</v>
      </c>
      <c r="M111" s="9">
        <f t="shared" si="61"/>
        <v>18721.76386913229</v>
      </c>
      <c r="N111">
        <v>0</v>
      </c>
      <c r="O111">
        <v>0</v>
      </c>
    </row>
    <row r="112" spans="1:15" x14ac:dyDescent="0.25">
      <c r="A112">
        <f t="shared" si="54"/>
        <v>24800</v>
      </c>
      <c r="B112" s="9">
        <v>0</v>
      </c>
      <c r="C112">
        <v>0</v>
      </c>
      <c r="D112" s="9">
        <v>0</v>
      </c>
      <c r="E112" s="9">
        <v>0</v>
      </c>
      <c r="F112">
        <f t="shared" ref="F112:F114" si="71">SUM(F111,7)</f>
        <v>550</v>
      </c>
      <c r="G112" s="9">
        <f t="shared" si="55"/>
        <v>19485.714285714286</v>
      </c>
      <c r="H112">
        <f>SUM(H111,7)</f>
        <v>551</v>
      </c>
      <c r="I112" s="9">
        <f t="shared" si="57"/>
        <v>19493.295292439372</v>
      </c>
      <c r="J112">
        <f>SUM(J111,8)</f>
        <v>556</v>
      </c>
      <c r="K112" s="9">
        <f t="shared" si="59"/>
        <v>19530.878186968839</v>
      </c>
      <c r="L112">
        <f t="shared" si="70"/>
        <v>560</v>
      </c>
      <c r="M112" s="9">
        <f t="shared" si="61"/>
        <v>19560.563380281692</v>
      </c>
      <c r="N112">
        <v>0</v>
      </c>
      <c r="O112">
        <v>0</v>
      </c>
    </row>
    <row r="113" spans="1:15" x14ac:dyDescent="0.25">
      <c r="A113" s="19">
        <f t="shared" si="54"/>
        <v>25800</v>
      </c>
      <c r="B113" s="9">
        <v>0</v>
      </c>
      <c r="C113">
        <v>0</v>
      </c>
      <c r="D113" s="9">
        <v>0</v>
      </c>
      <c r="E113" s="9">
        <v>0</v>
      </c>
      <c r="F113">
        <f t="shared" si="71"/>
        <v>557</v>
      </c>
      <c r="G113" s="9">
        <f t="shared" si="55"/>
        <v>20326.166902404526</v>
      </c>
      <c r="H113">
        <f t="shared" ref="H113:H118" si="72">SUM(H112,6)</f>
        <v>557</v>
      </c>
      <c r="I113" s="9">
        <f t="shared" si="57"/>
        <v>20326.166902404526</v>
      </c>
      <c r="J113">
        <f t="shared" ref="J113:J119" si="73">SUM(J112,8)</f>
        <v>564</v>
      </c>
      <c r="K113" s="9">
        <f t="shared" si="59"/>
        <v>20379.831932773108</v>
      </c>
      <c r="L113">
        <f>SUM(L112,8)</f>
        <v>568</v>
      </c>
      <c r="M113" s="9">
        <f t="shared" si="61"/>
        <v>20410.027855153203</v>
      </c>
      <c r="N113">
        <v>0</v>
      </c>
      <c r="O113">
        <v>0</v>
      </c>
    </row>
    <row r="114" spans="1:15" x14ac:dyDescent="0.25">
      <c r="A114">
        <f t="shared" si="54"/>
        <v>26800</v>
      </c>
      <c r="B114" s="9">
        <v>0</v>
      </c>
      <c r="C114">
        <v>0</v>
      </c>
      <c r="D114">
        <v>0</v>
      </c>
      <c r="E114">
        <v>0</v>
      </c>
      <c r="F114">
        <f t="shared" si="71"/>
        <v>564</v>
      </c>
      <c r="G114" s="9">
        <f t="shared" si="55"/>
        <v>21169.747899159665</v>
      </c>
      <c r="H114">
        <f t="shared" si="72"/>
        <v>563</v>
      </c>
      <c r="I114" s="9">
        <f t="shared" si="57"/>
        <v>21161.851332398317</v>
      </c>
      <c r="J114">
        <f t="shared" si="73"/>
        <v>572</v>
      </c>
      <c r="K114" s="9">
        <f t="shared" si="59"/>
        <v>21232.132963988919</v>
      </c>
      <c r="L114">
        <f t="shared" ref="L114:L117" si="74">SUM(L113,8)</f>
        <v>576</v>
      </c>
      <c r="M114" s="9">
        <f t="shared" si="61"/>
        <v>21262.809917355371</v>
      </c>
      <c r="N114">
        <v>0</v>
      </c>
      <c r="O114">
        <v>0</v>
      </c>
    </row>
    <row r="115" spans="1:15" x14ac:dyDescent="0.25">
      <c r="A115">
        <f t="shared" si="54"/>
        <v>27800</v>
      </c>
      <c r="B115" s="9">
        <v>0</v>
      </c>
      <c r="C115">
        <v>0</v>
      </c>
      <c r="D115">
        <v>0</v>
      </c>
      <c r="E115">
        <v>0</v>
      </c>
      <c r="F115">
        <f>SUM(F114,6)</f>
        <v>570</v>
      </c>
      <c r="G115" s="9">
        <f t="shared" si="55"/>
        <v>22008.333333333336</v>
      </c>
      <c r="H115">
        <f t="shared" si="72"/>
        <v>569</v>
      </c>
      <c r="I115" s="9">
        <f t="shared" si="57"/>
        <v>22000.278164116829</v>
      </c>
      <c r="J115">
        <f t="shared" si="73"/>
        <v>580</v>
      </c>
      <c r="K115" s="9">
        <f t="shared" si="59"/>
        <v>22087.671232876713</v>
      </c>
      <c r="L115">
        <f t="shared" si="74"/>
        <v>584</v>
      </c>
      <c r="M115" s="9">
        <f t="shared" si="61"/>
        <v>22118.801089918255</v>
      </c>
      <c r="N115">
        <v>0</v>
      </c>
      <c r="O115">
        <v>0</v>
      </c>
    </row>
    <row r="116" spans="1:15" x14ac:dyDescent="0.25">
      <c r="A116">
        <f t="shared" si="54"/>
        <v>28800</v>
      </c>
      <c r="B116" s="9">
        <v>0</v>
      </c>
      <c r="C116">
        <v>0</v>
      </c>
      <c r="D116">
        <v>0</v>
      </c>
      <c r="E116">
        <v>0</v>
      </c>
      <c r="F116">
        <f t="shared" ref="F116" si="75">SUM(F115,6)</f>
        <v>576</v>
      </c>
      <c r="G116" s="9">
        <f t="shared" si="55"/>
        <v>22849.586776859505</v>
      </c>
      <c r="H116">
        <f t="shared" si="72"/>
        <v>575</v>
      </c>
      <c r="I116" s="9">
        <f t="shared" si="57"/>
        <v>22841.379310344826</v>
      </c>
      <c r="J116">
        <f t="shared" si="73"/>
        <v>588</v>
      </c>
      <c r="K116" s="9">
        <f t="shared" si="59"/>
        <v>22946.341463414636</v>
      </c>
      <c r="L116">
        <f t="shared" si="74"/>
        <v>592</v>
      </c>
      <c r="M116" s="9">
        <f t="shared" si="61"/>
        <v>22977.897574123992</v>
      </c>
      <c r="N116">
        <v>0</v>
      </c>
      <c r="O116">
        <v>0</v>
      </c>
    </row>
    <row r="117" spans="1:15" x14ac:dyDescent="0.25">
      <c r="A117">
        <f t="shared" si="54"/>
        <v>29800</v>
      </c>
      <c r="B117" s="9">
        <v>0</v>
      </c>
      <c r="C117">
        <v>0</v>
      </c>
      <c r="D117">
        <v>0</v>
      </c>
      <c r="E117">
        <v>0</v>
      </c>
      <c r="F117">
        <f>SUM(F116,5)</f>
        <v>581</v>
      </c>
      <c r="G117" s="9">
        <f t="shared" si="55"/>
        <v>23685.088919288646</v>
      </c>
      <c r="H117">
        <f t="shared" si="72"/>
        <v>581</v>
      </c>
      <c r="I117" s="9">
        <f t="shared" si="57"/>
        <v>23685.088919288646</v>
      </c>
      <c r="J117">
        <f t="shared" si="73"/>
        <v>596</v>
      </c>
      <c r="K117" s="9">
        <f t="shared" si="59"/>
        <v>23808.042895442359</v>
      </c>
      <c r="L117">
        <f t="shared" si="74"/>
        <v>600</v>
      </c>
      <c r="M117" s="9">
        <f t="shared" si="61"/>
        <v>23840</v>
      </c>
      <c r="N117">
        <v>0</v>
      </c>
      <c r="O117">
        <v>0</v>
      </c>
    </row>
    <row r="118" spans="1:15" x14ac:dyDescent="0.25">
      <c r="A118" s="19">
        <f>SUM(A117,1000)</f>
        <v>30800</v>
      </c>
      <c r="B118" s="9">
        <v>0</v>
      </c>
      <c r="C118">
        <v>0</v>
      </c>
      <c r="D118">
        <v>0</v>
      </c>
      <c r="E118">
        <v>0</v>
      </c>
      <c r="F118">
        <v>0</v>
      </c>
      <c r="G118" s="9">
        <f t="shared" si="55"/>
        <v>0</v>
      </c>
      <c r="H118">
        <f t="shared" si="72"/>
        <v>587</v>
      </c>
      <c r="I118" s="9">
        <f t="shared" si="57"/>
        <v>24531.343283582086</v>
      </c>
      <c r="J118">
        <f t="shared" si="73"/>
        <v>604</v>
      </c>
      <c r="K118" s="9">
        <f t="shared" si="59"/>
        <v>24672.679045092838</v>
      </c>
      <c r="L118">
        <f>SUM(L117,9)</f>
        <v>609</v>
      </c>
      <c r="M118" s="9">
        <f t="shared" si="61"/>
        <v>24713.043478260872</v>
      </c>
      <c r="N118">
        <v>0</v>
      </c>
      <c r="O118">
        <v>0</v>
      </c>
    </row>
    <row r="119" spans="1:15" x14ac:dyDescent="0.25">
      <c r="A119">
        <f t="shared" si="54"/>
        <v>31800</v>
      </c>
      <c r="B119" s="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f t="shared" si="73"/>
        <v>612</v>
      </c>
      <c r="K119" s="9">
        <f t="shared" si="59"/>
        <v>25540.15748031496</v>
      </c>
      <c r="L119">
        <f>SUM(L118,9)</f>
        <v>618</v>
      </c>
      <c r="M119" s="9">
        <f t="shared" si="61"/>
        <v>25589.0625</v>
      </c>
      <c r="N119">
        <v>0</v>
      </c>
      <c r="O119">
        <v>0</v>
      </c>
    </row>
    <row r="120" spans="1:15" x14ac:dyDescent="0.25">
      <c r="A120">
        <f t="shared" si="54"/>
        <v>32800</v>
      </c>
      <c r="B120" s="9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s="9">
        <f t="shared" si="61"/>
        <v>0</v>
      </c>
      <c r="N120">
        <v>0</v>
      </c>
      <c r="O120">
        <v>0</v>
      </c>
    </row>
    <row r="121" spans="1:15" x14ac:dyDescent="0.25">
      <c r="A121">
        <f t="shared" si="54"/>
        <v>33800</v>
      </c>
      <c r="B121" s="9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s="9">
        <f t="shared" ref="M121:M122" si="76">PRODUCT(A121,L121,1/(L121+300))</f>
        <v>0</v>
      </c>
      <c r="N121">
        <v>0</v>
      </c>
      <c r="O121">
        <v>0</v>
      </c>
    </row>
    <row r="122" spans="1:15" x14ac:dyDescent="0.25">
      <c r="A122">
        <f t="shared" si="54"/>
        <v>34800</v>
      </c>
      <c r="B122" s="9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s="9">
        <f t="shared" si="76"/>
        <v>0</v>
      </c>
      <c r="N122">
        <v>0</v>
      </c>
      <c r="O122">
        <v>0</v>
      </c>
    </row>
    <row r="123" spans="1:15" x14ac:dyDescent="0.25">
      <c r="A123">
        <f t="shared" si="54"/>
        <v>35800</v>
      </c>
      <c r="B123" s="9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>
        <f t="shared" si="54"/>
        <v>36800</v>
      </c>
      <c r="B124" s="9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>
        <f t="shared" si="54"/>
        <v>37800</v>
      </c>
      <c r="B125" s="9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t="s">
        <v>51</v>
      </c>
      <c r="C126" s="16">
        <v>4800</v>
      </c>
      <c r="D126" s="16"/>
      <c r="E126" s="16">
        <v>4800</v>
      </c>
      <c r="F126" s="16"/>
      <c r="G126" s="16">
        <v>5800</v>
      </c>
      <c r="H126" s="16"/>
      <c r="I126" s="16">
        <v>6800</v>
      </c>
      <c r="J126" s="16"/>
      <c r="K126" s="16">
        <v>7800</v>
      </c>
      <c r="L126" s="16"/>
      <c r="M126" s="16">
        <v>8800</v>
      </c>
      <c r="N126">
        <v>0</v>
      </c>
      <c r="O126">
        <v>0</v>
      </c>
    </row>
    <row r="127" spans="1:15" x14ac:dyDescent="0.25">
      <c r="A127" t="s">
        <v>50</v>
      </c>
      <c r="C127" s="16">
        <v>21800</v>
      </c>
      <c r="D127" s="16"/>
      <c r="E127" s="16">
        <v>22800</v>
      </c>
      <c r="F127" s="16"/>
      <c r="G127" s="16">
        <v>29800</v>
      </c>
      <c r="H127" s="16"/>
      <c r="I127" s="16">
        <v>30800</v>
      </c>
      <c r="J127" s="16"/>
      <c r="K127" s="16">
        <v>31800</v>
      </c>
      <c r="L127" s="16"/>
      <c r="M127" s="16">
        <v>31800</v>
      </c>
      <c r="N127">
        <v>0</v>
      </c>
      <c r="O127">
        <v>0</v>
      </c>
    </row>
    <row r="128" spans="1:15" x14ac:dyDescent="0.25">
      <c r="A128" t="s">
        <v>52</v>
      </c>
      <c r="C128" s="16">
        <v>3650</v>
      </c>
      <c r="D128" s="16"/>
      <c r="E128" s="16">
        <v>3650</v>
      </c>
      <c r="F128" s="16"/>
      <c r="G128" s="16">
        <v>4400</v>
      </c>
      <c r="H128" s="16"/>
      <c r="I128" s="16">
        <v>5100</v>
      </c>
      <c r="J128" s="16"/>
      <c r="K128" s="16">
        <v>5800</v>
      </c>
      <c r="L128" s="16"/>
      <c r="M128" s="16">
        <v>6600</v>
      </c>
      <c r="N128">
        <v>0</v>
      </c>
      <c r="O128">
        <v>0</v>
      </c>
    </row>
    <row r="129" spans="1:15" x14ac:dyDescent="0.25">
      <c r="A129" t="s">
        <v>53</v>
      </c>
      <c r="C129" s="16">
        <v>17050</v>
      </c>
      <c r="D129" s="16"/>
      <c r="E129" s="16">
        <v>17900</v>
      </c>
      <c r="F129" s="16"/>
      <c r="G129" s="16">
        <v>23700</v>
      </c>
      <c r="H129" s="16"/>
      <c r="I129" s="16">
        <v>24550</v>
      </c>
      <c r="J129" s="16"/>
      <c r="K129" s="16">
        <v>25600</v>
      </c>
      <c r="L129" s="16"/>
      <c r="M129" s="16">
        <v>25600</v>
      </c>
      <c r="N129">
        <v>0</v>
      </c>
      <c r="O129">
        <v>0</v>
      </c>
    </row>
    <row r="130" spans="1:15" x14ac:dyDescent="0.25">
      <c r="A130" s="25" t="s">
        <v>72</v>
      </c>
      <c r="B130" s="26"/>
      <c r="C130" s="16">
        <v>9000</v>
      </c>
      <c r="D130" s="16"/>
      <c r="E130" s="16">
        <v>9000</v>
      </c>
      <c r="F130" s="16"/>
      <c r="G130" s="16">
        <v>10000</v>
      </c>
      <c r="H130" s="16"/>
      <c r="I130" s="16">
        <v>11000</v>
      </c>
      <c r="J130" s="16"/>
      <c r="K130" s="16">
        <v>12000</v>
      </c>
      <c r="L130" s="16"/>
      <c r="M130" s="16">
        <v>13000</v>
      </c>
      <c r="N130">
        <v>0</v>
      </c>
      <c r="O130">
        <v>0</v>
      </c>
    </row>
    <row r="131" spans="1:15" x14ac:dyDescent="0.25">
      <c r="A131" s="25" t="s">
        <v>58</v>
      </c>
      <c r="B131" s="26"/>
      <c r="C131" s="16">
        <v>5100</v>
      </c>
      <c r="D131" s="16"/>
      <c r="E131" s="16">
        <v>5100</v>
      </c>
      <c r="F131" s="16"/>
      <c r="G131" s="16">
        <v>6100</v>
      </c>
      <c r="H131" s="16"/>
      <c r="I131" s="16">
        <v>7100</v>
      </c>
      <c r="J131" s="16"/>
      <c r="K131" s="16">
        <v>8100</v>
      </c>
      <c r="L131" s="16"/>
      <c r="M131" s="16">
        <v>9100</v>
      </c>
      <c r="N131">
        <v>0</v>
      </c>
      <c r="O131">
        <v>0</v>
      </c>
    </row>
    <row r="133" spans="1:15" ht="29.25" customHeight="1" x14ac:dyDescent="0.25">
      <c r="A133" s="25" t="s">
        <v>75</v>
      </c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</row>
    <row r="134" spans="1:15" x14ac:dyDescent="0.25">
      <c r="A134" s="25" t="s">
        <v>39</v>
      </c>
      <c r="B134" s="24" t="s">
        <v>70</v>
      </c>
      <c r="C134" s="24"/>
      <c r="D134" s="24" t="s">
        <v>71</v>
      </c>
      <c r="E134" s="24"/>
      <c r="F134" s="24" t="s">
        <v>43</v>
      </c>
      <c r="G134" s="24"/>
      <c r="H134" s="24" t="s">
        <v>44</v>
      </c>
      <c r="I134" s="24"/>
      <c r="J134" s="24" t="s">
        <v>45</v>
      </c>
      <c r="K134" s="24"/>
      <c r="L134" s="24" t="s">
        <v>46</v>
      </c>
      <c r="M134" s="24"/>
      <c r="N134" s="24" t="s">
        <v>47</v>
      </c>
      <c r="O134" s="24"/>
    </row>
    <row r="135" spans="1:15" x14ac:dyDescent="0.25">
      <c r="A135" s="25"/>
      <c r="B135" t="s">
        <v>40</v>
      </c>
      <c r="C135" t="s">
        <v>41</v>
      </c>
      <c r="D135" t="s">
        <v>40</v>
      </c>
      <c r="E135" t="s">
        <v>41</v>
      </c>
      <c r="F135" t="s">
        <v>40</v>
      </c>
      <c r="G135" t="s">
        <v>41</v>
      </c>
      <c r="H135" t="s">
        <v>40</v>
      </c>
      <c r="I135" t="s">
        <v>41</v>
      </c>
      <c r="J135" t="s">
        <v>40</v>
      </c>
      <c r="K135" t="s">
        <v>41</v>
      </c>
      <c r="L135" t="s">
        <v>40</v>
      </c>
      <c r="M135" t="s">
        <v>41</v>
      </c>
      <c r="N135" t="s">
        <v>40</v>
      </c>
      <c r="O135" t="s">
        <v>41</v>
      </c>
    </row>
    <row r="136" spans="1:15" x14ac:dyDescent="0.25">
      <c r="A136" s="4">
        <v>4800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>
        <f>SUM(A136,1000)</f>
        <v>5800</v>
      </c>
      <c r="B137">
        <v>0</v>
      </c>
      <c r="C137" s="9">
        <v>0</v>
      </c>
      <c r="D137">
        <v>0</v>
      </c>
      <c r="E137" s="9">
        <f>PRODUCT(A137,D137,1/(D137+420))</f>
        <v>0</v>
      </c>
      <c r="F137">
        <v>0</v>
      </c>
      <c r="G137" s="9">
        <f>PRODUCT(A137,F137,1/(F137+420))</f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>
        <f t="shared" ref="A138:A169" si="77">SUM(A137,1000)</f>
        <v>6800</v>
      </c>
      <c r="B138">
        <v>0</v>
      </c>
      <c r="C138" s="9">
        <v>0</v>
      </c>
      <c r="D138">
        <v>0</v>
      </c>
      <c r="E138" s="9">
        <f t="shared" ref="E138" si="78">PRODUCT(A138,D138,1/(D138+420))</f>
        <v>0</v>
      </c>
      <c r="F138">
        <v>0</v>
      </c>
      <c r="G138" s="9">
        <f>PRODUCT(A138,F138,1/(F138+420))</f>
        <v>0</v>
      </c>
      <c r="H138">
        <v>0</v>
      </c>
      <c r="I138" s="9">
        <f>PRODUCT(A138,H138,1/(H138+420))</f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>
        <f t="shared" si="77"/>
        <v>7800</v>
      </c>
      <c r="B139">
        <v>500</v>
      </c>
      <c r="C139" s="9">
        <f>PRODUCT(A139,B139,1/(B139+640))</f>
        <v>3421.0526315789475</v>
      </c>
      <c r="D139">
        <v>500</v>
      </c>
      <c r="E139" s="9">
        <f>PRODUCT(A139,D139,1/(D139+640))</f>
        <v>3421.0526315789475</v>
      </c>
      <c r="F139">
        <v>480</v>
      </c>
      <c r="G139" s="9">
        <f t="shared" ref="G139" si="79">PRODUCT(A139,F139,1/(F139+420))</f>
        <v>4160</v>
      </c>
      <c r="H139">
        <v>0</v>
      </c>
      <c r="I139" s="9">
        <f t="shared" ref="I139:I140" si="80">PRODUCT(A139,H139,1/(H139+420))</f>
        <v>0</v>
      </c>
      <c r="J139">
        <v>0</v>
      </c>
      <c r="K139" s="9">
        <f>PRODUCT(A139,J139,1/(J139+420))</f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>
        <f t="shared" si="77"/>
        <v>8800</v>
      </c>
      <c r="B140">
        <v>500</v>
      </c>
      <c r="C140" s="9">
        <f t="shared" ref="C140:C162" si="81">PRODUCT(A140,B140,1/(B140+640))</f>
        <v>3859.6491228070176</v>
      </c>
      <c r="D140">
        <v>500</v>
      </c>
      <c r="E140" s="9">
        <f t="shared" ref="E140:E164" si="82">PRODUCT(A140,D140,1/(D140+640))</f>
        <v>3859.6491228070176</v>
      </c>
      <c r="F140">
        <f>SUM(F139,4)</f>
        <v>484</v>
      </c>
      <c r="G140" s="9">
        <f>PRODUCT(A140,F140,1/(F140+640))</f>
        <v>3789.32384341637</v>
      </c>
      <c r="H140">
        <v>470</v>
      </c>
      <c r="I140" s="9">
        <f t="shared" si="80"/>
        <v>4647.1910112359556</v>
      </c>
      <c r="J140">
        <v>0</v>
      </c>
      <c r="K140" s="9">
        <f t="shared" ref="K140" si="83">PRODUCT(A140,J140,1/(J140+420))</f>
        <v>0</v>
      </c>
      <c r="L140">
        <v>0</v>
      </c>
      <c r="M140" s="9">
        <f>PRODUCT(A140,L140,1/(L140+420))</f>
        <v>0</v>
      </c>
      <c r="N140">
        <v>0</v>
      </c>
      <c r="O140">
        <v>0</v>
      </c>
    </row>
    <row r="141" spans="1:15" x14ac:dyDescent="0.25">
      <c r="A141">
        <f t="shared" si="77"/>
        <v>9800</v>
      </c>
      <c r="B141">
        <v>500</v>
      </c>
      <c r="C141" s="9">
        <f t="shared" si="81"/>
        <v>4298.2456140350878</v>
      </c>
      <c r="D141">
        <v>500</v>
      </c>
      <c r="E141" s="9">
        <f t="shared" si="82"/>
        <v>4298.2456140350878</v>
      </c>
      <c r="F141">
        <f t="shared" ref="F141:F142" si="84">SUM(F140,4)</f>
        <v>488</v>
      </c>
      <c r="G141" s="9">
        <f t="shared" ref="G141:G167" si="85">PRODUCT(A141,F141,1/(F141+640))</f>
        <v>4239.7163120567375</v>
      </c>
      <c r="H141">
        <f>SUM(H140,5)</f>
        <v>475</v>
      </c>
      <c r="I141" s="9">
        <f>PRODUCT(A141,H141,1/(H141+640))</f>
        <v>4174.8878923766815</v>
      </c>
      <c r="J141">
        <v>460</v>
      </c>
      <c r="K141" s="9">
        <f>PRODUCT(A141,J141,1/(J141+640))</f>
        <v>4098.181818181818</v>
      </c>
      <c r="L141">
        <v>0</v>
      </c>
      <c r="M141" s="9">
        <f t="shared" ref="M141" si="86">PRODUCT(A141,L141,1/(L141+420))</f>
        <v>0</v>
      </c>
      <c r="N141">
        <v>0</v>
      </c>
      <c r="O141">
        <v>0</v>
      </c>
    </row>
    <row r="142" spans="1:15" x14ac:dyDescent="0.25">
      <c r="A142">
        <f t="shared" si="77"/>
        <v>10800</v>
      </c>
      <c r="B142">
        <v>500</v>
      </c>
      <c r="C142" s="9">
        <f t="shared" si="81"/>
        <v>4736.8421052631584</v>
      </c>
      <c r="D142">
        <v>500</v>
      </c>
      <c r="E142" s="9">
        <f t="shared" si="82"/>
        <v>4736.8421052631584</v>
      </c>
      <c r="F142">
        <f t="shared" si="84"/>
        <v>492</v>
      </c>
      <c r="G142" s="9">
        <f t="shared" si="85"/>
        <v>4693.9929328621911</v>
      </c>
      <c r="H142">
        <f t="shared" ref="H142:H143" si="87">SUM(H141,5)</f>
        <v>480</v>
      </c>
      <c r="I142" s="9">
        <f t="shared" ref="I142:I169" si="88">PRODUCT(A142,H142,1/(H142+640))</f>
        <v>4628.5714285714284</v>
      </c>
      <c r="J142">
        <f>SUM(J141,5)</f>
        <v>465</v>
      </c>
      <c r="K142" s="9">
        <f t="shared" ref="K142:K169" si="89">PRODUCT(A142,J142,1/(J142+640))</f>
        <v>4544.7963800904981</v>
      </c>
      <c r="L142">
        <v>460</v>
      </c>
      <c r="M142" s="9">
        <f>PRODUCT(A142,L142,1/(L142+640))</f>
        <v>4516.363636363636</v>
      </c>
      <c r="N142">
        <v>0</v>
      </c>
      <c r="O142">
        <v>0</v>
      </c>
    </row>
    <row r="143" spans="1:15" x14ac:dyDescent="0.25">
      <c r="A143">
        <f t="shared" si="77"/>
        <v>11800</v>
      </c>
      <c r="B143">
        <v>500</v>
      </c>
      <c r="C143" s="9">
        <f t="shared" si="81"/>
        <v>5175.4385964912281</v>
      </c>
      <c r="D143">
        <v>500</v>
      </c>
      <c r="E143" s="9">
        <f t="shared" si="82"/>
        <v>5175.4385964912281</v>
      </c>
      <c r="F143">
        <f>SUM(F142,3)</f>
        <v>495</v>
      </c>
      <c r="G143" s="9">
        <f t="shared" si="85"/>
        <v>5146.2555066079294</v>
      </c>
      <c r="H143">
        <f t="shared" si="87"/>
        <v>485</v>
      </c>
      <c r="I143" s="9">
        <f t="shared" si="88"/>
        <v>5087.1111111111113</v>
      </c>
      <c r="J143">
        <f t="shared" ref="J143:J150" si="90">SUM(J142,5)</f>
        <v>470</v>
      </c>
      <c r="K143" s="9">
        <f t="shared" si="89"/>
        <v>4996.3963963963961</v>
      </c>
      <c r="L143">
        <f>SUM(L142,5)</f>
        <v>465</v>
      </c>
      <c r="M143" s="9">
        <f t="shared" ref="M143:M169" si="91">PRODUCT(A143,L143,1/(L143+640))</f>
        <v>4965.6108597285074</v>
      </c>
      <c r="N143">
        <v>0</v>
      </c>
      <c r="O143">
        <v>0</v>
      </c>
    </row>
    <row r="144" spans="1:15" x14ac:dyDescent="0.25">
      <c r="A144">
        <f t="shared" si="77"/>
        <v>12800</v>
      </c>
      <c r="B144">
        <v>500</v>
      </c>
      <c r="C144" s="9">
        <f t="shared" si="81"/>
        <v>5614.0350877192986</v>
      </c>
      <c r="D144">
        <v>500</v>
      </c>
      <c r="E144" s="9">
        <f t="shared" si="82"/>
        <v>5614.0350877192986</v>
      </c>
      <c r="F144">
        <f t="shared" ref="F144:F145" si="92">SUM(F143,3)</f>
        <v>498</v>
      </c>
      <c r="G144" s="9">
        <f t="shared" si="85"/>
        <v>5601.4059753954307</v>
      </c>
      <c r="H144">
        <f>SUM(H143,4)</f>
        <v>489</v>
      </c>
      <c r="I144" s="9">
        <f t="shared" si="88"/>
        <v>5544.0212577502216</v>
      </c>
      <c r="J144">
        <f t="shared" si="90"/>
        <v>475</v>
      </c>
      <c r="K144" s="9">
        <f t="shared" si="89"/>
        <v>5452.9147982062777</v>
      </c>
      <c r="L144">
        <f t="shared" ref="L144:L145" si="93">SUM(L143,5)</f>
        <v>470</v>
      </c>
      <c r="M144" s="9">
        <f t="shared" si="91"/>
        <v>5419.8198198198197</v>
      </c>
      <c r="N144">
        <v>0</v>
      </c>
      <c r="O144">
        <v>0</v>
      </c>
    </row>
    <row r="145" spans="1:15" x14ac:dyDescent="0.25">
      <c r="A145">
        <f t="shared" si="77"/>
        <v>13800</v>
      </c>
      <c r="B145">
        <v>500</v>
      </c>
      <c r="C145" s="9">
        <f t="shared" si="81"/>
        <v>6052.6315789473683</v>
      </c>
      <c r="D145">
        <v>500</v>
      </c>
      <c r="E145" s="9">
        <f t="shared" si="82"/>
        <v>6052.6315789473683</v>
      </c>
      <c r="F145">
        <f t="shared" si="92"/>
        <v>501</v>
      </c>
      <c r="G145" s="9">
        <f t="shared" si="85"/>
        <v>6059.4215600350572</v>
      </c>
      <c r="H145">
        <f t="shared" ref="H145:H155" si="94">SUM(H144,4)</f>
        <v>493</v>
      </c>
      <c r="I145" s="9">
        <f t="shared" si="88"/>
        <v>6004.766107678729</v>
      </c>
      <c r="J145">
        <f t="shared" si="90"/>
        <v>480</v>
      </c>
      <c r="K145" s="9">
        <f t="shared" si="89"/>
        <v>5914.2857142857138</v>
      </c>
      <c r="L145">
        <f t="shared" si="93"/>
        <v>475</v>
      </c>
      <c r="M145" s="9">
        <f t="shared" si="91"/>
        <v>5878.9237668161431</v>
      </c>
      <c r="N145">
        <v>0</v>
      </c>
      <c r="O145">
        <v>0</v>
      </c>
    </row>
    <row r="146" spans="1:15" x14ac:dyDescent="0.25">
      <c r="A146">
        <f t="shared" si="77"/>
        <v>14800</v>
      </c>
      <c r="B146">
        <v>500</v>
      </c>
      <c r="C146" s="9">
        <f t="shared" si="81"/>
        <v>6491.2280701754389</v>
      </c>
      <c r="D146">
        <v>500</v>
      </c>
      <c r="E146" s="9">
        <f t="shared" si="82"/>
        <v>6491.2280701754389</v>
      </c>
      <c r="F146">
        <f>SUM(F145,1)</f>
        <v>502</v>
      </c>
      <c r="G146" s="9">
        <f t="shared" si="85"/>
        <v>6505.7793345008758</v>
      </c>
      <c r="H146">
        <f t="shared" si="94"/>
        <v>497</v>
      </c>
      <c r="I146" s="9">
        <f t="shared" si="88"/>
        <v>6469.3051890941078</v>
      </c>
      <c r="J146">
        <f t="shared" si="90"/>
        <v>485</v>
      </c>
      <c r="K146" s="9">
        <f t="shared" si="89"/>
        <v>6380.4444444444443</v>
      </c>
      <c r="L146">
        <f>SUM(L145,6)</f>
        <v>481</v>
      </c>
      <c r="M146" s="9">
        <f t="shared" si="91"/>
        <v>6350.4014272970562</v>
      </c>
      <c r="N146">
        <v>0</v>
      </c>
      <c r="O146">
        <v>0</v>
      </c>
    </row>
    <row r="147" spans="1:15" x14ac:dyDescent="0.25">
      <c r="A147">
        <f t="shared" si="77"/>
        <v>15800</v>
      </c>
      <c r="B147">
        <v>500</v>
      </c>
      <c r="C147" s="9">
        <f t="shared" si="81"/>
        <v>6929.8245614035086</v>
      </c>
      <c r="D147">
        <v>500</v>
      </c>
      <c r="E147" s="9">
        <f t="shared" si="82"/>
        <v>6929.8245614035086</v>
      </c>
      <c r="F147">
        <f t="shared" ref="F147:F148" si="95">SUM(F146,1)</f>
        <v>503</v>
      </c>
      <c r="G147" s="9">
        <f t="shared" si="85"/>
        <v>6953.1058617672788</v>
      </c>
      <c r="H147">
        <f t="shared" si="94"/>
        <v>501</v>
      </c>
      <c r="I147" s="9">
        <f t="shared" si="88"/>
        <v>6937.5985977212977</v>
      </c>
      <c r="J147">
        <f t="shared" si="90"/>
        <v>490</v>
      </c>
      <c r="K147" s="9">
        <f t="shared" si="89"/>
        <v>6851.3274336283184</v>
      </c>
      <c r="L147">
        <f t="shared" ref="L147:L151" si="96">SUM(L146,6)</f>
        <v>487</v>
      </c>
      <c r="M147" s="9">
        <f t="shared" si="91"/>
        <v>6827.5066548358473</v>
      </c>
      <c r="N147">
        <v>0</v>
      </c>
      <c r="O147">
        <v>0</v>
      </c>
    </row>
    <row r="148" spans="1:15" x14ac:dyDescent="0.25">
      <c r="A148">
        <f t="shared" si="77"/>
        <v>16800</v>
      </c>
      <c r="B148">
        <v>500</v>
      </c>
      <c r="C148" s="9">
        <f t="shared" si="81"/>
        <v>7368.4210526315792</v>
      </c>
      <c r="D148">
        <v>500</v>
      </c>
      <c r="E148" s="9">
        <f t="shared" si="82"/>
        <v>7368.4210526315792</v>
      </c>
      <c r="F148">
        <f t="shared" si="95"/>
        <v>504</v>
      </c>
      <c r="G148" s="9">
        <f t="shared" si="85"/>
        <v>7401.3986013986014</v>
      </c>
      <c r="H148">
        <f t="shared" si="94"/>
        <v>505</v>
      </c>
      <c r="I148" s="9">
        <f t="shared" si="88"/>
        <v>7409.6069868995637</v>
      </c>
      <c r="J148">
        <f t="shared" si="90"/>
        <v>495</v>
      </c>
      <c r="K148" s="9">
        <f t="shared" si="89"/>
        <v>7326.8722466960353</v>
      </c>
      <c r="L148">
        <f t="shared" si="96"/>
        <v>493</v>
      </c>
      <c r="M148" s="9">
        <f t="shared" si="91"/>
        <v>7310.1500441306271</v>
      </c>
      <c r="N148">
        <v>0</v>
      </c>
      <c r="O148">
        <v>0</v>
      </c>
    </row>
    <row r="149" spans="1:15" x14ac:dyDescent="0.25">
      <c r="A149">
        <f t="shared" si="77"/>
        <v>17800</v>
      </c>
      <c r="B149">
        <v>500</v>
      </c>
      <c r="C149" s="9">
        <f t="shared" si="81"/>
        <v>7807.0175438596489</v>
      </c>
      <c r="D149">
        <v>500</v>
      </c>
      <c r="E149" s="9">
        <f t="shared" si="82"/>
        <v>7807.0175438596489</v>
      </c>
      <c r="F149">
        <f>SUM(F148,2)</f>
        <v>506</v>
      </c>
      <c r="G149" s="9">
        <f t="shared" si="85"/>
        <v>7859.3368237347295</v>
      </c>
      <c r="H149">
        <f t="shared" si="94"/>
        <v>509</v>
      </c>
      <c r="I149" s="9">
        <f t="shared" si="88"/>
        <v>7885.2915578764141</v>
      </c>
      <c r="J149">
        <f t="shared" si="90"/>
        <v>500</v>
      </c>
      <c r="K149" s="9">
        <f t="shared" si="89"/>
        <v>7807.0175438596489</v>
      </c>
      <c r="L149">
        <f t="shared" si="96"/>
        <v>499</v>
      </c>
      <c r="M149" s="9">
        <f t="shared" si="91"/>
        <v>7798.2440737489023</v>
      </c>
      <c r="N149">
        <v>0</v>
      </c>
      <c r="O149">
        <v>0</v>
      </c>
    </row>
    <row r="150" spans="1:15" x14ac:dyDescent="0.25">
      <c r="A150">
        <f t="shared" si="77"/>
        <v>18800</v>
      </c>
      <c r="B150">
        <v>500</v>
      </c>
      <c r="C150" s="9">
        <f t="shared" si="81"/>
        <v>8245.6140350877195</v>
      </c>
      <c r="D150">
        <v>500</v>
      </c>
      <c r="E150" s="9">
        <f t="shared" si="82"/>
        <v>8245.6140350877195</v>
      </c>
      <c r="F150">
        <f>SUM(F149,2)</f>
        <v>508</v>
      </c>
      <c r="G150" s="9">
        <f t="shared" si="85"/>
        <v>8319.1637630662026</v>
      </c>
      <c r="H150">
        <f t="shared" si="94"/>
        <v>513</v>
      </c>
      <c r="I150" s="9">
        <f t="shared" si="88"/>
        <v>8364.6140503035549</v>
      </c>
      <c r="J150">
        <f t="shared" si="90"/>
        <v>505</v>
      </c>
      <c r="K150" s="9">
        <f t="shared" si="89"/>
        <v>8291.7030567685597</v>
      </c>
      <c r="L150">
        <f t="shared" si="96"/>
        <v>505</v>
      </c>
      <c r="M150" s="9">
        <f t="shared" si="91"/>
        <v>8291.7030567685597</v>
      </c>
      <c r="N150">
        <v>0</v>
      </c>
      <c r="O150">
        <v>0</v>
      </c>
    </row>
    <row r="151" spans="1:15" x14ac:dyDescent="0.25">
      <c r="A151">
        <f t="shared" si="77"/>
        <v>19800</v>
      </c>
      <c r="B151">
        <v>500</v>
      </c>
      <c r="C151" s="9">
        <f t="shared" si="81"/>
        <v>8684.21052631579</v>
      </c>
      <c r="D151">
        <v>500</v>
      </c>
      <c r="E151" s="9">
        <f t="shared" si="82"/>
        <v>8684.21052631579</v>
      </c>
      <c r="F151">
        <f>SUM(F150,3)</f>
        <v>511</v>
      </c>
      <c r="G151" s="9">
        <f t="shared" si="85"/>
        <v>8790.4430929626415</v>
      </c>
      <c r="H151">
        <f t="shared" si="94"/>
        <v>517</v>
      </c>
      <c r="I151" s="9">
        <f t="shared" si="88"/>
        <v>8847.5367329299916</v>
      </c>
      <c r="J151">
        <f>SUM(J150,6)</f>
        <v>511</v>
      </c>
      <c r="K151" s="9">
        <f t="shared" si="89"/>
        <v>8790.4430929626415</v>
      </c>
      <c r="L151">
        <f t="shared" si="96"/>
        <v>511</v>
      </c>
      <c r="M151" s="9">
        <f t="shared" si="91"/>
        <v>8790.4430929626415</v>
      </c>
      <c r="N151">
        <v>0</v>
      </c>
      <c r="O151">
        <v>0</v>
      </c>
    </row>
    <row r="152" spans="1:15" x14ac:dyDescent="0.25">
      <c r="A152">
        <f t="shared" si="77"/>
        <v>20800</v>
      </c>
      <c r="B152" s="9">
        <v>503</v>
      </c>
      <c r="C152" s="9">
        <f t="shared" si="81"/>
        <v>9153.4558180227468</v>
      </c>
      <c r="D152" s="9">
        <v>503</v>
      </c>
      <c r="E152" s="9">
        <f t="shared" si="82"/>
        <v>9153.4558180227468</v>
      </c>
      <c r="F152">
        <f t="shared" ref="F152:F154" si="97">SUM(F151,6)</f>
        <v>517</v>
      </c>
      <c r="G152" s="9">
        <f t="shared" si="85"/>
        <v>9294.3820224719111</v>
      </c>
      <c r="H152">
        <f t="shared" si="94"/>
        <v>521</v>
      </c>
      <c r="I152" s="9">
        <f t="shared" si="88"/>
        <v>9334.0223944875106</v>
      </c>
      <c r="J152">
        <f t="shared" ref="J152:J156" si="98">SUM(J151,6)</f>
        <v>517</v>
      </c>
      <c r="K152" s="9">
        <f t="shared" si="89"/>
        <v>9294.3820224719111</v>
      </c>
      <c r="L152">
        <f>SUM(L151,7)</f>
        <v>518</v>
      </c>
      <c r="M152" s="9">
        <f t="shared" si="91"/>
        <v>9304.3177892918829</v>
      </c>
      <c r="N152">
        <v>0</v>
      </c>
      <c r="O152">
        <v>0</v>
      </c>
    </row>
    <row r="153" spans="1:15" x14ac:dyDescent="0.25">
      <c r="A153">
        <f t="shared" si="77"/>
        <v>21800</v>
      </c>
      <c r="B153" s="9">
        <v>506</v>
      </c>
      <c r="C153" s="9">
        <f t="shared" si="81"/>
        <v>9625.479930191972</v>
      </c>
      <c r="D153" s="9">
        <v>506</v>
      </c>
      <c r="E153" s="9">
        <f t="shared" si="82"/>
        <v>9625.479930191972</v>
      </c>
      <c r="F153">
        <f t="shared" si="97"/>
        <v>523</v>
      </c>
      <c r="G153" s="9">
        <f t="shared" si="85"/>
        <v>9803.4393809114354</v>
      </c>
      <c r="H153">
        <f t="shared" si="94"/>
        <v>525</v>
      </c>
      <c r="I153" s="9">
        <f t="shared" si="88"/>
        <v>9824.0343347639482</v>
      </c>
      <c r="J153">
        <f t="shared" si="98"/>
        <v>523</v>
      </c>
      <c r="K153" s="9">
        <f t="shared" si="89"/>
        <v>9803.4393809114354</v>
      </c>
      <c r="L153">
        <f t="shared" ref="L153:L158" si="99">SUM(L152,7)</f>
        <v>525</v>
      </c>
      <c r="M153" s="9">
        <f t="shared" si="91"/>
        <v>9824.0343347639482</v>
      </c>
      <c r="N153">
        <v>0</v>
      </c>
      <c r="O153">
        <v>0</v>
      </c>
    </row>
    <row r="154" spans="1:15" x14ac:dyDescent="0.25">
      <c r="A154" s="16">
        <f t="shared" si="77"/>
        <v>22800</v>
      </c>
      <c r="B154" s="9">
        <v>509</v>
      </c>
      <c r="C154" s="9">
        <f t="shared" si="81"/>
        <v>10100.261096605744</v>
      </c>
      <c r="D154" s="9">
        <v>509</v>
      </c>
      <c r="E154" s="9">
        <f t="shared" si="82"/>
        <v>10100.261096605744</v>
      </c>
      <c r="F154">
        <f t="shared" si="97"/>
        <v>529</v>
      </c>
      <c r="G154" s="9">
        <f t="shared" si="85"/>
        <v>10317.536355859709</v>
      </c>
      <c r="H154">
        <f t="shared" si="94"/>
        <v>529</v>
      </c>
      <c r="I154" s="9">
        <f t="shared" si="88"/>
        <v>10317.536355859709</v>
      </c>
      <c r="J154">
        <f t="shared" si="98"/>
        <v>529</v>
      </c>
      <c r="K154" s="9">
        <f t="shared" si="89"/>
        <v>10317.536355859709</v>
      </c>
      <c r="L154">
        <f t="shared" si="99"/>
        <v>532</v>
      </c>
      <c r="M154" s="9">
        <f t="shared" si="91"/>
        <v>10349.488054607509</v>
      </c>
      <c r="N154">
        <v>0</v>
      </c>
      <c r="O154">
        <v>0</v>
      </c>
    </row>
    <row r="155" spans="1:15" x14ac:dyDescent="0.25">
      <c r="A155">
        <f t="shared" si="77"/>
        <v>23800</v>
      </c>
      <c r="B155" s="9">
        <v>514</v>
      </c>
      <c r="C155" s="9">
        <f t="shared" si="81"/>
        <v>10600.693240901213</v>
      </c>
      <c r="D155" s="9">
        <v>514</v>
      </c>
      <c r="E155" s="9">
        <f t="shared" si="82"/>
        <v>10600.693240901213</v>
      </c>
      <c r="F155">
        <f>SUM(F154,7)</f>
        <v>536</v>
      </c>
      <c r="G155" s="9">
        <f t="shared" si="85"/>
        <v>10847.619047619048</v>
      </c>
      <c r="H155">
        <f t="shared" si="94"/>
        <v>533</v>
      </c>
      <c r="I155" s="9">
        <f t="shared" si="88"/>
        <v>10814.492753623188</v>
      </c>
      <c r="J155">
        <f t="shared" si="98"/>
        <v>535</v>
      </c>
      <c r="K155" s="9">
        <f t="shared" si="89"/>
        <v>10836.595744680852</v>
      </c>
      <c r="L155">
        <f t="shared" si="99"/>
        <v>539</v>
      </c>
      <c r="M155" s="9">
        <f t="shared" si="91"/>
        <v>10880.576759966072</v>
      </c>
      <c r="N155">
        <v>0</v>
      </c>
      <c r="O155">
        <v>0</v>
      </c>
    </row>
    <row r="156" spans="1:15" x14ac:dyDescent="0.25">
      <c r="A156">
        <f t="shared" si="77"/>
        <v>24800</v>
      </c>
      <c r="B156" s="9">
        <v>520</v>
      </c>
      <c r="C156" s="9">
        <f t="shared" si="81"/>
        <v>11117.241379310344</v>
      </c>
      <c r="D156" s="9">
        <v>520</v>
      </c>
      <c r="E156" s="9">
        <f t="shared" si="82"/>
        <v>11117.241379310344</v>
      </c>
      <c r="F156">
        <f t="shared" ref="F156:F159" si="100">SUM(F155,7)</f>
        <v>543</v>
      </c>
      <c r="G156" s="9">
        <f t="shared" si="85"/>
        <v>11383.262890955199</v>
      </c>
      <c r="H156">
        <f>SUM(H155,5)</f>
        <v>538</v>
      </c>
      <c r="I156" s="9">
        <f t="shared" si="88"/>
        <v>11326.315789473683</v>
      </c>
      <c r="J156">
        <f t="shared" si="98"/>
        <v>541</v>
      </c>
      <c r="K156" s="9">
        <f t="shared" si="89"/>
        <v>11360.541913632514</v>
      </c>
      <c r="L156">
        <f t="shared" si="99"/>
        <v>546</v>
      </c>
      <c r="M156" s="9">
        <f t="shared" si="91"/>
        <v>11417.200674536256</v>
      </c>
      <c r="N156">
        <v>0</v>
      </c>
      <c r="O156">
        <v>0</v>
      </c>
    </row>
    <row r="157" spans="1:15" x14ac:dyDescent="0.25">
      <c r="A157" s="19">
        <f t="shared" si="77"/>
        <v>25800</v>
      </c>
      <c r="B157" s="9">
        <v>527</v>
      </c>
      <c r="C157" s="9">
        <f t="shared" si="81"/>
        <v>11650.899742930593</v>
      </c>
      <c r="D157" s="9">
        <v>527</v>
      </c>
      <c r="E157" s="9">
        <f t="shared" si="82"/>
        <v>11650.899742930593</v>
      </c>
      <c r="F157">
        <f t="shared" si="100"/>
        <v>550</v>
      </c>
      <c r="G157" s="9">
        <f t="shared" si="85"/>
        <v>11924.36974789916</v>
      </c>
      <c r="H157">
        <f>SUM(H156,6)</f>
        <v>544</v>
      </c>
      <c r="I157" s="9">
        <f t="shared" si="88"/>
        <v>11854.054054054055</v>
      </c>
      <c r="J157">
        <f>SUM(J156,7)</f>
        <v>548</v>
      </c>
      <c r="K157" s="9">
        <f t="shared" si="89"/>
        <v>11901.010101010101</v>
      </c>
      <c r="L157">
        <f t="shared" si="99"/>
        <v>553</v>
      </c>
      <c r="M157" s="9">
        <f t="shared" si="91"/>
        <v>11959.262363788768</v>
      </c>
      <c r="N157">
        <v>0</v>
      </c>
      <c r="O157">
        <v>0</v>
      </c>
    </row>
    <row r="158" spans="1:15" x14ac:dyDescent="0.25">
      <c r="A158">
        <f t="shared" si="77"/>
        <v>26800</v>
      </c>
      <c r="B158" s="9">
        <v>535</v>
      </c>
      <c r="C158" s="9">
        <f t="shared" si="81"/>
        <v>12202.553191489362</v>
      </c>
      <c r="D158" s="9">
        <v>535</v>
      </c>
      <c r="E158" s="9">
        <f t="shared" si="82"/>
        <v>12202.553191489362</v>
      </c>
      <c r="F158">
        <f t="shared" si="100"/>
        <v>557</v>
      </c>
      <c r="G158" s="9">
        <f t="shared" si="85"/>
        <v>12470.843776106933</v>
      </c>
      <c r="H158">
        <f>SUM(H157,7)</f>
        <v>551</v>
      </c>
      <c r="I158" s="9">
        <f t="shared" si="88"/>
        <v>12398.656591099916</v>
      </c>
      <c r="J158">
        <f>SUM(J157,8)</f>
        <v>556</v>
      </c>
      <c r="K158" s="9">
        <f t="shared" si="89"/>
        <v>12458.862876254181</v>
      </c>
      <c r="L158">
        <f t="shared" si="99"/>
        <v>560</v>
      </c>
      <c r="M158" s="9">
        <f t="shared" si="91"/>
        <v>12506.666666666668</v>
      </c>
      <c r="N158">
        <v>0</v>
      </c>
      <c r="O158">
        <v>0</v>
      </c>
    </row>
    <row r="159" spans="1:15" x14ac:dyDescent="0.25">
      <c r="A159">
        <f t="shared" si="77"/>
        <v>27800</v>
      </c>
      <c r="B159" s="9">
        <v>543</v>
      </c>
      <c r="C159" s="9">
        <f t="shared" si="81"/>
        <v>12760.270498732036</v>
      </c>
      <c r="D159">
        <v>543</v>
      </c>
      <c r="E159" s="9">
        <f t="shared" si="82"/>
        <v>12760.270498732036</v>
      </c>
      <c r="F159">
        <f t="shared" si="100"/>
        <v>564</v>
      </c>
      <c r="G159" s="9">
        <f t="shared" si="85"/>
        <v>13022.591362126246</v>
      </c>
      <c r="H159">
        <f t="shared" ref="H159:H169" si="101">SUM(H158,6)</f>
        <v>557</v>
      </c>
      <c r="I159" s="9">
        <f t="shared" si="88"/>
        <v>12936.173767752714</v>
      </c>
      <c r="J159">
        <f t="shared" ref="J159:J165" si="102">SUM(J158,8)</f>
        <v>564</v>
      </c>
      <c r="K159" s="9">
        <f t="shared" si="89"/>
        <v>13022.591362126246</v>
      </c>
      <c r="L159">
        <f>SUM(L158,8)</f>
        <v>568</v>
      </c>
      <c r="M159" s="9">
        <f t="shared" si="91"/>
        <v>13071.523178807947</v>
      </c>
      <c r="N159">
        <v>0</v>
      </c>
      <c r="O159">
        <v>0</v>
      </c>
    </row>
    <row r="160" spans="1:15" x14ac:dyDescent="0.25">
      <c r="A160">
        <f t="shared" si="77"/>
        <v>28800</v>
      </c>
      <c r="B160" s="9">
        <v>551</v>
      </c>
      <c r="C160" s="9">
        <f t="shared" si="81"/>
        <v>13323.929471032745</v>
      </c>
      <c r="D160">
        <v>551</v>
      </c>
      <c r="E160" s="9">
        <f t="shared" si="82"/>
        <v>13323.929471032745</v>
      </c>
      <c r="F160">
        <f>SUM(F159,6)</f>
        <v>570</v>
      </c>
      <c r="G160" s="9">
        <f t="shared" si="85"/>
        <v>13566.94214876033</v>
      </c>
      <c r="H160">
        <f t="shared" si="101"/>
        <v>563</v>
      </c>
      <c r="I160" s="9">
        <f t="shared" si="88"/>
        <v>13478.304239401497</v>
      </c>
      <c r="J160">
        <f t="shared" si="102"/>
        <v>572</v>
      </c>
      <c r="K160" s="9">
        <f t="shared" si="89"/>
        <v>13592.079207920793</v>
      </c>
      <c r="L160">
        <f t="shared" ref="L160:L163" si="103">SUM(L159,8)</f>
        <v>576</v>
      </c>
      <c r="M160" s="9">
        <f t="shared" si="91"/>
        <v>13642.105263157893</v>
      </c>
      <c r="N160">
        <v>0</v>
      </c>
      <c r="O160">
        <v>0</v>
      </c>
    </row>
    <row r="161" spans="1:15" x14ac:dyDescent="0.25">
      <c r="A161">
        <f t="shared" si="77"/>
        <v>29800</v>
      </c>
      <c r="B161" s="9">
        <v>559</v>
      </c>
      <c r="C161" s="9">
        <f t="shared" si="81"/>
        <v>13893.411175979983</v>
      </c>
      <c r="D161">
        <v>559</v>
      </c>
      <c r="E161" s="9">
        <f t="shared" si="82"/>
        <v>13893.411175979983</v>
      </c>
      <c r="F161">
        <f t="shared" ref="F161" si="104">SUM(F160,6)</f>
        <v>576</v>
      </c>
      <c r="G161" s="9">
        <f t="shared" si="85"/>
        <v>14115.78947368421</v>
      </c>
      <c r="H161">
        <f t="shared" si="101"/>
        <v>569</v>
      </c>
      <c r="I161" s="9">
        <f t="shared" si="88"/>
        <v>14024.979321753515</v>
      </c>
      <c r="J161">
        <f t="shared" si="102"/>
        <v>580</v>
      </c>
      <c r="K161" s="9">
        <f t="shared" si="89"/>
        <v>14167.213114754099</v>
      </c>
      <c r="L161">
        <f t="shared" si="103"/>
        <v>584</v>
      </c>
      <c r="M161" s="9">
        <f t="shared" si="91"/>
        <v>14218.300653594772</v>
      </c>
      <c r="N161">
        <v>0</v>
      </c>
      <c r="O161">
        <v>0</v>
      </c>
    </row>
    <row r="162" spans="1:15" x14ac:dyDescent="0.25">
      <c r="A162" s="19">
        <f>SUM(A161,1000)</f>
        <v>30800</v>
      </c>
      <c r="B162" s="9">
        <v>565</v>
      </c>
      <c r="C162" s="9">
        <f t="shared" si="81"/>
        <v>14441.49377593361</v>
      </c>
      <c r="D162">
        <v>565</v>
      </c>
      <c r="E162" s="9">
        <f t="shared" si="82"/>
        <v>14441.49377593361</v>
      </c>
      <c r="F162">
        <f>SUM(F161,5)</f>
        <v>581</v>
      </c>
      <c r="G162" s="9">
        <f t="shared" si="85"/>
        <v>14655.855855855856</v>
      </c>
      <c r="H162">
        <f t="shared" si="101"/>
        <v>575</v>
      </c>
      <c r="I162" s="9">
        <f t="shared" si="88"/>
        <v>14576.131687242798</v>
      </c>
      <c r="J162">
        <f t="shared" si="102"/>
        <v>588</v>
      </c>
      <c r="K162" s="9">
        <f t="shared" si="89"/>
        <v>14747.882736156353</v>
      </c>
      <c r="L162">
        <f t="shared" si="103"/>
        <v>592</v>
      </c>
      <c r="M162" s="9">
        <f t="shared" si="91"/>
        <v>14800.000000000002</v>
      </c>
      <c r="N162">
        <v>0</v>
      </c>
      <c r="O162">
        <v>0</v>
      </c>
    </row>
    <row r="163" spans="1:15" x14ac:dyDescent="0.25">
      <c r="A163">
        <f t="shared" si="77"/>
        <v>31800</v>
      </c>
      <c r="B163" s="9">
        <v>0</v>
      </c>
      <c r="C163" s="9">
        <v>0</v>
      </c>
      <c r="D163">
        <v>571</v>
      </c>
      <c r="E163" s="9">
        <f t="shared" si="82"/>
        <v>14994.054500412882</v>
      </c>
      <c r="F163">
        <f t="shared" ref="F163" si="105">SUM(F162,5)</f>
        <v>586</v>
      </c>
      <c r="G163" s="9">
        <f t="shared" si="85"/>
        <v>15199.673735725939</v>
      </c>
      <c r="H163">
        <f t="shared" si="101"/>
        <v>581</v>
      </c>
      <c r="I163" s="9">
        <f t="shared" si="88"/>
        <v>15131.695331695333</v>
      </c>
      <c r="J163">
        <f t="shared" si="102"/>
        <v>596</v>
      </c>
      <c r="K163" s="9">
        <f t="shared" si="89"/>
        <v>15333.980582524273</v>
      </c>
      <c r="L163">
        <f t="shared" si="103"/>
        <v>600</v>
      </c>
      <c r="M163" s="9">
        <f t="shared" si="91"/>
        <v>15387.096774193549</v>
      </c>
      <c r="N163">
        <v>0</v>
      </c>
      <c r="O163">
        <v>0</v>
      </c>
    </row>
    <row r="164" spans="1:15" x14ac:dyDescent="0.25">
      <c r="A164">
        <f t="shared" si="77"/>
        <v>32800</v>
      </c>
      <c r="B164" s="9">
        <v>0</v>
      </c>
      <c r="C164" s="9">
        <v>0</v>
      </c>
      <c r="D164">
        <v>577</v>
      </c>
      <c r="E164" s="9">
        <f t="shared" si="82"/>
        <v>15551.027115858667</v>
      </c>
      <c r="F164">
        <f>SUM(F163,4)</f>
        <v>590</v>
      </c>
      <c r="G164" s="9">
        <f t="shared" si="85"/>
        <v>15733.333333333334</v>
      </c>
      <c r="H164">
        <f t="shared" si="101"/>
        <v>587</v>
      </c>
      <c r="I164" s="9">
        <f t="shared" si="88"/>
        <v>15691.605541972289</v>
      </c>
      <c r="J164">
        <f t="shared" si="102"/>
        <v>604</v>
      </c>
      <c r="K164" s="9">
        <f t="shared" si="89"/>
        <v>15925.40192926045</v>
      </c>
      <c r="L164">
        <f>SUM(L163,9)</f>
        <v>609</v>
      </c>
      <c r="M164" s="9">
        <f t="shared" si="91"/>
        <v>15992.954363490791</v>
      </c>
      <c r="N164">
        <v>0</v>
      </c>
      <c r="O164">
        <v>0</v>
      </c>
    </row>
    <row r="165" spans="1:15" x14ac:dyDescent="0.25">
      <c r="A165">
        <f t="shared" si="77"/>
        <v>33800</v>
      </c>
      <c r="B165" s="9">
        <v>0</v>
      </c>
      <c r="C165">
        <v>0</v>
      </c>
      <c r="D165">
        <v>0</v>
      </c>
      <c r="E165">
        <v>0</v>
      </c>
      <c r="F165">
        <f t="shared" ref="F165:F167" si="106">SUM(F164,3)</f>
        <v>593</v>
      </c>
      <c r="G165" s="9">
        <f t="shared" si="85"/>
        <v>16255.79886455799</v>
      </c>
      <c r="H165">
        <f t="shared" si="101"/>
        <v>593</v>
      </c>
      <c r="I165" s="9">
        <f t="shared" si="88"/>
        <v>16255.79886455799</v>
      </c>
      <c r="J165">
        <f t="shared" si="102"/>
        <v>612</v>
      </c>
      <c r="K165" s="9">
        <f t="shared" si="89"/>
        <v>16522.044728434503</v>
      </c>
      <c r="L165">
        <f>SUM(L164,9)</f>
        <v>618</v>
      </c>
      <c r="M165" s="9">
        <f t="shared" si="91"/>
        <v>16604.451510333864</v>
      </c>
      <c r="N165">
        <v>0</v>
      </c>
      <c r="O165">
        <v>0</v>
      </c>
    </row>
    <row r="166" spans="1:15" x14ac:dyDescent="0.25">
      <c r="A166">
        <f t="shared" si="77"/>
        <v>34800</v>
      </c>
      <c r="B166" s="9">
        <v>0</v>
      </c>
      <c r="C166">
        <v>0</v>
      </c>
      <c r="D166">
        <v>0</v>
      </c>
      <c r="E166">
        <v>0</v>
      </c>
      <c r="F166">
        <f t="shared" si="106"/>
        <v>596</v>
      </c>
      <c r="G166" s="9">
        <f t="shared" si="85"/>
        <v>16780.582524271846</v>
      </c>
      <c r="H166">
        <f t="shared" si="101"/>
        <v>599</v>
      </c>
      <c r="I166" s="9">
        <f t="shared" si="88"/>
        <v>16824.213075060532</v>
      </c>
      <c r="J166">
        <f t="shared" ref="J166:J169" si="107">SUM(J165,7)</f>
        <v>619</v>
      </c>
      <c r="K166" s="9">
        <f t="shared" si="89"/>
        <v>17109.769658459092</v>
      </c>
      <c r="L166">
        <f t="shared" ref="L166:L169" si="108">SUM(L165,6)</f>
        <v>624</v>
      </c>
      <c r="M166" s="9">
        <f t="shared" si="91"/>
        <v>17179.746835443038</v>
      </c>
      <c r="N166">
        <v>0</v>
      </c>
      <c r="O166">
        <v>0</v>
      </c>
    </row>
    <row r="167" spans="1:15" x14ac:dyDescent="0.25">
      <c r="A167">
        <f t="shared" si="77"/>
        <v>35800</v>
      </c>
      <c r="B167" s="9">
        <v>0</v>
      </c>
      <c r="C167">
        <v>0</v>
      </c>
      <c r="D167">
        <v>0</v>
      </c>
      <c r="E167">
        <v>0</v>
      </c>
      <c r="F167">
        <f t="shared" si="106"/>
        <v>599</v>
      </c>
      <c r="G167" s="9">
        <f t="shared" si="85"/>
        <v>17307.667473769168</v>
      </c>
      <c r="H167">
        <f t="shared" si="101"/>
        <v>605</v>
      </c>
      <c r="I167" s="9">
        <f t="shared" si="88"/>
        <v>17396.78714859438</v>
      </c>
      <c r="J167">
        <f t="shared" si="107"/>
        <v>626</v>
      </c>
      <c r="K167" s="9">
        <f t="shared" si="89"/>
        <v>17702.053712480254</v>
      </c>
      <c r="L167">
        <f t="shared" si="108"/>
        <v>630</v>
      </c>
      <c r="M167" s="9">
        <f t="shared" si="91"/>
        <v>17759.055118110235</v>
      </c>
      <c r="N167">
        <v>0</v>
      </c>
      <c r="O167">
        <v>0</v>
      </c>
    </row>
    <row r="168" spans="1:15" x14ac:dyDescent="0.25">
      <c r="A168">
        <f t="shared" si="77"/>
        <v>36800</v>
      </c>
      <c r="B168" s="9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f t="shared" si="101"/>
        <v>611</v>
      </c>
      <c r="I168" s="9">
        <f t="shared" si="88"/>
        <v>17973.461231015186</v>
      </c>
      <c r="J168">
        <f t="shared" si="107"/>
        <v>633</v>
      </c>
      <c r="K168" s="9">
        <f t="shared" si="89"/>
        <v>18298.821681068344</v>
      </c>
      <c r="L168">
        <f t="shared" si="108"/>
        <v>636</v>
      </c>
      <c r="M168" s="9">
        <f t="shared" si="91"/>
        <v>18342.319749216302</v>
      </c>
      <c r="N168">
        <v>0</v>
      </c>
      <c r="O168">
        <v>0</v>
      </c>
    </row>
    <row r="169" spans="1:15" x14ac:dyDescent="0.25">
      <c r="A169">
        <f t="shared" si="77"/>
        <v>37800</v>
      </c>
      <c r="B169" s="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f t="shared" si="101"/>
        <v>617</v>
      </c>
      <c r="I169" s="9">
        <f t="shared" si="88"/>
        <v>18554.17661097852</v>
      </c>
      <c r="J169">
        <f t="shared" si="107"/>
        <v>640</v>
      </c>
      <c r="K169" s="9">
        <f t="shared" si="89"/>
        <v>18900</v>
      </c>
      <c r="L169">
        <f t="shared" si="108"/>
        <v>642</v>
      </c>
      <c r="M169" s="9">
        <f t="shared" si="91"/>
        <v>18929.485179407176</v>
      </c>
      <c r="N169">
        <v>0</v>
      </c>
      <c r="O169">
        <v>0</v>
      </c>
    </row>
    <row r="170" spans="1:15" x14ac:dyDescent="0.25">
      <c r="A170" t="s">
        <v>51</v>
      </c>
      <c r="C170" s="16">
        <v>7800</v>
      </c>
      <c r="D170" s="16"/>
      <c r="E170" s="16">
        <v>7800</v>
      </c>
      <c r="F170" s="16"/>
      <c r="G170" s="16">
        <v>7800</v>
      </c>
      <c r="H170" s="16"/>
      <c r="I170" s="16">
        <v>8800</v>
      </c>
      <c r="J170" s="16"/>
      <c r="K170" s="16">
        <v>9800</v>
      </c>
      <c r="M170" s="16">
        <v>10800</v>
      </c>
      <c r="N170">
        <v>0</v>
      </c>
      <c r="O170">
        <v>0</v>
      </c>
    </row>
    <row r="171" spans="1:15" x14ac:dyDescent="0.25">
      <c r="A171" t="s">
        <v>50</v>
      </c>
      <c r="C171" s="16">
        <v>30800</v>
      </c>
      <c r="D171" s="16"/>
      <c r="E171" s="16">
        <v>32800</v>
      </c>
      <c r="F171" s="16"/>
      <c r="G171" s="16">
        <v>35800</v>
      </c>
      <c r="H171" s="16"/>
      <c r="I171" s="16">
        <v>37800</v>
      </c>
      <c r="J171" s="16"/>
      <c r="K171" s="16">
        <v>37800</v>
      </c>
      <c r="L171" s="16"/>
      <c r="M171" s="16">
        <v>37800</v>
      </c>
      <c r="N171">
        <v>0</v>
      </c>
      <c r="O171">
        <v>0</v>
      </c>
    </row>
    <row r="172" spans="1:15" x14ac:dyDescent="0.25">
      <c r="A172" t="s">
        <v>52</v>
      </c>
      <c r="C172" s="16">
        <v>3400</v>
      </c>
      <c r="D172" s="16"/>
      <c r="E172" s="16">
        <v>3400</v>
      </c>
      <c r="F172" s="16"/>
      <c r="G172" s="16">
        <v>4100</v>
      </c>
      <c r="H172" s="16"/>
      <c r="I172" s="16">
        <v>4600</v>
      </c>
      <c r="J172" s="16"/>
      <c r="K172" s="16">
        <v>4050</v>
      </c>
      <c r="L172" s="16"/>
      <c r="M172" s="16">
        <v>4500</v>
      </c>
      <c r="N172">
        <v>0</v>
      </c>
      <c r="O172">
        <v>0</v>
      </c>
    </row>
    <row r="173" spans="1:15" x14ac:dyDescent="0.25">
      <c r="A173" t="s">
        <v>53</v>
      </c>
      <c r="C173" s="16">
        <v>14450</v>
      </c>
      <c r="D173" s="16"/>
      <c r="E173" s="16">
        <v>15600</v>
      </c>
      <c r="F173" s="16"/>
      <c r="G173" s="16">
        <v>17500</v>
      </c>
      <c r="H173" s="16"/>
      <c r="I173" s="16">
        <v>18600</v>
      </c>
      <c r="J173" s="16"/>
      <c r="K173" s="16">
        <v>18950</v>
      </c>
      <c r="L173" s="16"/>
      <c r="M173" s="16">
        <v>18950</v>
      </c>
      <c r="N173">
        <v>0</v>
      </c>
      <c r="O173">
        <v>0</v>
      </c>
    </row>
    <row r="174" spans="1:15" x14ac:dyDescent="0.25">
      <c r="A174" s="25" t="s">
        <v>72</v>
      </c>
      <c r="B174" s="26"/>
      <c r="C174" s="16">
        <v>25720</v>
      </c>
      <c r="D174" s="16"/>
      <c r="E174" s="16">
        <v>25720</v>
      </c>
      <c r="F174" s="16"/>
      <c r="G174" s="16">
        <v>25720</v>
      </c>
      <c r="H174" s="16"/>
      <c r="I174" s="16">
        <v>26720</v>
      </c>
      <c r="J174" s="16"/>
      <c r="K174" s="16">
        <v>27720</v>
      </c>
      <c r="L174" s="16"/>
      <c r="M174" s="16">
        <v>28720</v>
      </c>
      <c r="N174">
        <v>0</v>
      </c>
      <c r="O174">
        <v>0</v>
      </c>
    </row>
    <row r="175" spans="1:15" x14ac:dyDescent="0.25">
      <c r="A175" s="25" t="s">
        <v>58</v>
      </c>
      <c r="B175" s="26"/>
      <c r="C175" s="16">
        <v>9080</v>
      </c>
      <c r="D175" s="16"/>
      <c r="E175" s="16">
        <v>9080</v>
      </c>
      <c r="F175" s="16"/>
      <c r="G175" s="16">
        <v>9080</v>
      </c>
      <c r="H175" s="16"/>
      <c r="I175" s="16">
        <v>10080</v>
      </c>
      <c r="J175" s="16"/>
      <c r="K175" s="16">
        <v>11080</v>
      </c>
      <c r="L175" s="16"/>
      <c r="M175" s="16">
        <v>12080</v>
      </c>
      <c r="N175">
        <v>0</v>
      </c>
      <c r="O175">
        <v>0</v>
      </c>
    </row>
  </sheetData>
  <mergeCells count="44">
    <mergeCell ref="A42:B42"/>
    <mergeCell ref="A43:B43"/>
    <mergeCell ref="A1:O1"/>
    <mergeCell ref="A2:A3"/>
    <mergeCell ref="B2:C2"/>
    <mergeCell ref="D2:E2"/>
    <mergeCell ref="F2:G2"/>
    <mergeCell ref="H2:I2"/>
    <mergeCell ref="J2:K2"/>
    <mergeCell ref="L2:M2"/>
    <mergeCell ref="N2:O2"/>
    <mergeCell ref="A45:O45"/>
    <mergeCell ref="A46:A47"/>
    <mergeCell ref="B46:C46"/>
    <mergeCell ref="D46:E46"/>
    <mergeCell ref="F46:G46"/>
    <mergeCell ref="H46:I46"/>
    <mergeCell ref="J46:K46"/>
    <mergeCell ref="L46:M46"/>
    <mergeCell ref="N46:O46"/>
    <mergeCell ref="A86:B86"/>
    <mergeCell ref="A87:B87"/>
    <mergeCell ref="A89:O89"/>
    <mergeCell ref="A90:A91"/>
    <mergeCell ref="B90:C90"/>
    <mergeCell ref="D90:E90"/>
    <mergeCell ref="F90:G90"/>
    <mergeCell ref="H90:I90"/>
    <mergeCell ref="J90:K90"/>
    <mergeCell ref="L90:M90"/>
    <mergeCell ref="N90:O90"/>
    <mergeCell ref="A174:B174"/>
    <mergeCell ref="A175:B175"/>
    <mergeCell ref="A130:B130"/>
    <mergeCell ref="A131:B131"/>
    <mergeCell ref="A133:O133"/>
    <mergeCell ref="A134:A135"/>
    <mergeCell ref="B134:C134"/>
    <mergeCell ref="D134:E134"/>
    <mergeCell ref="F134:G134"/>
    <mergeCell ref="H134:I134"/>
    <mergeCell ref="J134:K134"/>
    <mergeCell ref="L134:M134"/>
    <mergeCell ref="N134:O1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1"/>
  <sheetViews>
    <sheetView topLeftCell="A70" workbookViewId="0">
      <selection activeCell="A38" sqref="A38:G43"/>
    </sheetView>
  </sheetViews>
  <sheetFormatPr baseColWidth="10" defaultRowHeight="15" x14ac:dyDescent="0.25"/>
  <cols>
    <col min="2" max="2" width="14.140625" customWidth="1"/>
  </cols>
  <sheetData>
    <row r="1" spans="1:15" ht="30" customHeight="1" x14ac:dyDescent="0.25">
      <c r="A1" s="25" t="s">
        <v>76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5">
      <c r="A2" s="25" t="s">
        <v>39</v>
      </c>
      <c r="B2" s="24" t="s">
        <v>70</v>
      </c>
      <c r="C2" s="24"/>
      <c r="D2" s="24" t="s">
        <v>71</v>
      </c>
      <c r="E2" s="24"/>
      <c r="F2" s="24" t="s">
        <v>43</v>
      </c>
      <c r="G2" s="24"/>
      <c r="H2" s="24" t="s">
        <v>44</v>
      </c>
      <c r="I2" s="24"/>
      <c r="J2" s="24" t="s">
        <v>45</v>
      </c>
      <c r="K2" s="24"/>
      <c r="L2" s="24" t="s">
        <v>46</v>
      </c>
      <c r="M2" s="24"/>
      <c r="N2" s="24" t="s">
        <v>47</v>
      </c>
      <c r="O2" s="24"/>
    </row>
    <row r="3" spans="1:15" x14ac:dyDescent="0.25">
      <c r="A3" s="25"/>
      <c r="B3" t="s">
        <v>40</v>
      </c>
      <c r="C3" t="s">
        <v>41</v>
      </c>
      <c r="D3" t="s">
        <v>40</v>
      </c>
      <c r="E3" t="s">
        <v>41</v>
      </c>
      <c r="F3" t="s">
        <v>40</v>
      </c>
      <c r="G3" t="s">
        <v>41</v>
      </c>
      <c r="H3" t="s">
        <v>40</v>
      </c>
      <c r="I3" t="s">
        <v>41</v>
      </c>
      <c r="J3" t="s">
        <v>40</v>
      </c>
      <c r="K3" t="s">
        <v>41</v>
      </c>
      <c r="L3" t="s">
        <v>40</v>
      </c>
      <c r="M3" t="s">
        <v>41</v>
      </c>
      <c r="N3" t="s">
        <v>40</v>
      </c>
      <c r="O3" t="s">
        <v>41</v>
      </c>
    </row>
    <row r="4" spans="1:15" x14ac:dyDescent="0.25">
      <c r="A4" s="4">
        <v>3200</v>
      </c>
      <c r="B4">
        <v>300</v>
      </c>
      <c r="C4">
        <f t="shared" ref="C4:C21" si="0">PRODUCT(A4,B4,1/(B4+300))</f>
        <v>1600</v>
      </c>
      <c r="D4">
        <v>300</v>
      </c>
      <c r="E4">
        <f>PRODUCT(A4,D4,1/(D4+300))</f>
        <v>1600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>
        <f>SUM(A4,1000)</f>
        <v>4200</v>
      </c>
      <c r="B5">
        <f>SUM(B4,30)</f>
        <v>330</v>
      </c>
      <c r="C5">
        <f t="shared" si="0"/>
        <v>2200</v>
      </c>
      <c r="D5">
        <f>SUM(D4,30)</f>
        <v>330</v>
      </c>
      <c r="E5">
        <f t="shared" ref="E5:E25" si="1">PRODUCT(A5,D5,1/(D5+300))</f>
        <v>2200</v>
      </c>
      <c r="F5">
        <v>290</v>
      </c>
      <c r="G5" s="9">
        <f>PRODUCT(A5,F5,1/(F5+300))</f>
        <v>2064.406779661017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>
        <f t="shared" ref="A6:A37" si="2">SUM(A5,1000)</f>
        <v>5200</v>
      </c>
      <c r="B6">
        <f>SUM(B5,20)</f>
        <v>350</v>
      </c>
      <c r="C6">
        <f t="shared" si="0"/>
        <v>2800</v>
      </c>
      <c r="D6">
        <f>SUM(D5,20)</f>
        <v>350</v>
      </c>
      <c r="E6">
        <f t="shared" si="1"/>
        <v>2800</v>
      </c>
      <c r="F6">
        <v>300</v>
      </c>
      <c r="G6" s="9">
        <f>PRODUCT(A6,F6,1/(F6+300))</f>
        <v>2600</v>
      </c>
      <c r="H6">
        <v>280</v>
      </c>
      <c r="I6" s="9">
        <f>PRODUCT(A6,H6,1/(H6+300))</f>
        <v>2510.344827586207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>
        <f t="shared" si="2"/>
        <v>6200</v>
      </c>
      <c r="B7">
        <f>SUM(B6,21)</f>
        <v>371</v>
      </c>
      <c r="C7" s="9">
        <f t="shared" si="0"/>
        <v>3428.0178837555886</v>
      </c>
      <c r="D7">
        <f>SUM(D6,21)</f>
        <v>371</v>
      </c>
      <c r="E7" s="9">
        <f t="shared" si="1"/>
        <v>3428.0178837555886</v>
      </c>
      <c r="F7">
        <f>SUM(F6,25)</f>
        <v>325</v>
      </c>
      <c r="G7" s="9">
        <f t="shared" ref="G7:G30" si="3">PRODUCT(A7,F7,1/(F7+300))</f>
        <v>3224</v>
      </c>
      <c r="H7">
        <v>290</v>
      </c>
      <c r="I7" s="9">
        <f t="shared" ref="I7:I30" si="4">PRODUCT(A7,H7,1/(H7+300))</f>
        <v>3047.4576271186438</v>
      </c>
      <c r="J7">
        <v>0</v>
      </c>
      <c r="K7" s="9">
        <f>PRODUCT(A7,J7,1/(J7+300))</f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>
        <f t="shared" si="2"/>
        <v>7200</v>
      </c>
      <c r="B8">
        <f>SUM(B7,22)</f>
        <v>393</v>
      </c>
      <c r="C8" s="9">
        <f t="shared" si="0"/>
        <v>4083.1168831168829</v>
      </c>
      <c r="D8">
        <f>SUM(D7,22)</f>
        <v>393</v>
      </c>
      <c r="E8" s="9">
        <f t="shared" si="1"/>
        <v>4083.1168831168829</v>
      </c>
      <c r="F8">
        <f>SUM(F7,20)</f>
        <v>345</v>
      </c>
      <c r="G8" s="9">
        <f t="shared" si="3"/>
        <v>3851.1627906976742</v>
      </c>
      <c r="H8">
        <v>300</v>
      </c>
      <c r="I8" s="9">
        <f t="shared" si="4"/>
        <v>3600.0000000000005</v>
      </c>
      <c r="J8">
        <v>0</v>
      </c>
      <c r="K8" s="9">
        <f t="shared" ref="K8:K31" si="5">PRODUCT(A8,J8,1/(J8+300))</f>
        <v>0</v>
      </c>
      <c r="L8">
        <v>0</v>
      </c>
      <c r="M8" s="9">
        <f>PRODUCT(A8,L8,1/(L8+300))</f>
        <v>0</v>
      </c>
      <c r="N8">
        <v>0</v>
      </c>
      <c r="O8">
        <v>0</v>
      </c>
    </row>
    <row r="9" spans="1:15" x14ac:dyDescent="0.25">
      <c r="A9">
        <f t="shared" si="2"/>
        <v>8200</v>
      </c>
      <c r="B9">
        <f>SUM(B8,24)</f>
        <v>417</v>
      </c>
      <c r="C9" s="9">
        <f t="shared" si="0"/>
        <v>4769.0376569037653</v>
      </c>
      <c r="D9">
        <f>SUM(D8,24)</f>
        <v>417</v>
      </c>
      <c r="E9" s="9">
        <f t="shared" si="1"/>
        <v>4769.0376569037653</v>
      </c>
      <c r="F9">
        <f>SUM(F8,21)</f>
        <v>366</v>
      </c>
      <c r="G9" s="9">
        <f t="shared" si="3"/>
        <v>4506.3063063063064</v>
      </c>
      <c r="H9">
        <f>SUM(H8,25)</f>
        <v>325</v>
      </c>
      <c r="I9" s="9">
        <f t="shared" si="4"/>
        <v>4264</v>
      </c>
      <c r="J9">
        <v>0</v>
      </c>
      <c r="K9" s="9">
        <f t="shared" si="5"/>
        <v>0</v>
      </c>
      <c r="L9">
        <v>0</v>
      </c>
      <c r="M9" s="9">
        <f t="shared" ref="M9:M34" si="6">PRODUCT(A9,L9,1/(L9+300))</f>
        <v>0</v>
      </c>
      <c r="N9">
        <v>0</v>
      </c>
      <c r="O9">
        <v>0</v>
      </c>
    </row>
    <row r="10" spans="1:15" x14ac:dyDescent="0.25">
      <c r="A10">
        <f t="shared" si="2"/>
        <v>9200</v>
      </c>
      <c r="B10">
        <f>SUM(B9,25)</f>
        <v>442</v>
      </c>
      <c r="C10" s="9">
        <f t="shared" si="0"/>
        <v>5480.3234501347715</v>
      </c>
      <c r="D10">
        <f>SUM(D9,25)</f>
        <v>442</v>
      </c>
      <c r="E10" s="9">
        <f>PRODUCT(A10,D10,1/(D10+300))</f>
        <v>5480.3234501347715</v>
      </c>
      <c r="F10">
        <f>SUM(F9,22)</f>
        <v>388</v>
      </c>
      <c r="G10" s="9">
        <f t="shared" si="3"/>
        <v>5188.3720930232557</v>
      </c>
      <c r="H10">
        <f>SUM(H9,20)</f>
        <v>345</v>
      </c>
      <c r="I10" s="9">
        <f t="shared" si="4"/>
        <v>4920.9302325581393</v>
      </c>
      <c r="J10">
        <v>0</v>
      </c>
      <c r="K10" s="9">
        <f t="shared" si="5"/>
        <v>0</v>
      </c>
      <c r="L10">
        <v>0</v>
      </c>
      <c r="M10" s="9">
        <f t="shared" si="6"/>
        <v>0</v>
      </c>
      <c r="N10">
        <v>0</v>
      </c>
      <c r="O10">
        <v>0</v>
      </c>
    </row>
    <row r="11" spans="1:15" x14ac:dyDescent="0.25">
      <c r="A11">
        <f t="shared" si="2"/>
        <v>10200</v>
      </c>
      <c r="B11">
        <f>SUM(B10,26)</f>
        <v>468</v>
      </c>
      <c r="C11" s="9">
        <f t="shared" si="0"/>
        <v>6215.625</v>
      </c>
      <c r="D11">
        <f>SUM(D10,26)</f>
        <v>468</v>
      </c>
      <c r="E11" s="9">
        <f t="shared" si="1"/>
        <v>6215.625</v>
      </c>
      <c r="F11">
        <f>SUM(F10,24)</f>
        <v>412</v>
      </c>
      <c r="G11" s="9">
        <f t="shared" si="3"/>
        <v>5902.2471910112354</v>
      </c>
      <c r="H11">
        <f>SUM(H10,21)</f>
        <v>366</v>
      </c>
      <c r="I11" s="9">
        <f t="shared" si="4"/>
        <v>5605.405405405405</v>
      </c>
      <c r="J11">
        <v>0</v>
      </c>
      <c r="K11" s="9">
        <f t="shared" si="5"/>
        <v>0</v>
      </c>
      <c r="L11">
        <v>0</v>
      </c>
      <c r="M11" s="9">
        <f t="shared" si="6"/>
        <v>0</v>
      </c>
      <c r="N11">
        <v>0</v>
      </c>
      <c r="O11">
        <v>0</v>
      </c>
    </row>
    <row r="12" spans="1:15" x14ac:dyDescent="0.25">
      <c r="A12">
        <f t="shared" si="2"/>
        <v>11200</v>
      </c>
      <c r="B12">
        <f>SUM(B11,30)</f>
        <v>498</v>
      </c>
      <c r="C12" s="9">
        <f t="shared" si="0"/>
        <v>6989.4736842105258</v>
      </c>
      <c r="D12">
        <f>SUM(D11,30)</f>
        <v>498</v>
      </c>
      <c r="E12" s="9">
        <f t="shared" si="1"/>
        <v>6989.4736842105258</v>
      </c>
      <c r="F12">
        <f>SUM(F11,25)</f>
        <v>437</v>
      </c>
      <c r="G12" s="9">
        <f t="shared" si="3"/>
        <v>6640.9769335142464</v>
      </c>
      <c r="H12">
        <f>SUM(H11,22)</f>
        <v>388</v>
      </c>
      <c r="I12" s="9">
        <f t="shared" si="4"/>
        <v>6316.2790697674418</v>
      </c>
      <c r="J12">
        <v>0</v>
      </c>
      <c r="K12" s="9">
        <f t="shared" si="5"/>
        <v>0</v>
      </c>
      <c r="L12">
        <v>0</v>
      </c>
      <c r="M12" s="9">
        <f t="shared" si="6"/>
        <v>0</v>
      </c>
      <c r="N12">
        <v>0</v>
      </c>
      <c r="O12">
        <v>0</v>
      </c>
    </row>
    <row r="13" spans="1:15" x14ac:dyDescent="0.25">
      <c r="A13">
        <f t="shared" si="2"/>
        <v>12200</v>
      </c>
      <c r="B13" s="9">
        <v>0</v>
      </c>
      <c r="C13">
        <f t="shared" si="0"/>
        <v>0</v>
      </c>
      <c r="D13" s="9">
        <v>0</v>
      </c>
      <c r="E13" s="9">
        <f t="shared" si="1"/>
        <v>0</v>
      </c>
      <c r="F13">
        <f>SUM(F12,26)</f>
        <v>463</v>
      </c>
      <c r="G13" s="9">
        <f t="shared" si="3"/>
        <v>7403.1454783748359</v>
      </c>
      <c r="H13">
        <f>SUM(H12,24)</f>
        <v>412</v>
      </c>
      <c r="I13" s="9">
        <f t="shared" si="4"/>
        <v>7059.5505617977524</v>
      </c>
      <c r="J13">
        <v>0</v>
      </c>
      <c r="K13" s="9">
        <f t="shared" si="5"/>
        <v>0</v>
      </c>
      <c r="L13">
        <v>0</v>
      </c>
      <c r="M13" s="9">
        <f t="shared" si="6"/>
        <v>0</v>
      </c>
      <c r="N13">
        <v>0</v>
      </c>
      <c r="O13">
        <v>0</v>
      </c>
    </row>
    <row r="14" spans="1:15" x14ac:dyDescent="0.25">
      <c r="A14">
        <f t="shared" si="2"/>
        <v>13200</v>
      </c>
      <c r="B14" s="9">
        <v>0</v>
      </c>
      <c r="C14">
        <f t="shared" si="0"/>
        <v>0</v>
      </c>
      <c r="D14" s="9">
        <v>0</v>
      </c>
      <c r="E14" s="9">
        <f t="shared" si="1"/>
        <v>0</v>
      </c>
      <c r="F14">
        <f>SUM(F13,29)</f>
        <v>492</v>
      </c>
      <c r="G14" s="9">
        <f t="shared" si="3"/>
        <v>8200</v>
      </c>
      <c r="H14">
        <f>SUM(H13,25)</f>
        <v>437</v>
      </c>
      <c r="I14" s="9">
        <f t="shared" si="4"/>
        <v>7826.8656716417909</v>
      </c>
      <c r="J14">
        <v>0</v>
      </c>
      <c r="K14" s="9">
        <f t="shared" si="5"/>
        <v>0</v>
      </c>
      <c r="L14">
        <v>0</v>
      </c>
      <c r="M14" s="9">
        <f t="shared" si="6"/>
        <v>0</v>
      </c>
      <c r="N14">
        <v>0</v>
      </c>
      <c r="O14">
        <v>0</v>
      </c>
    </row>
    <row r="15" spans="1:15" x14ac:dyDescent="0.25">
      <c r="A15">
        <f t="shared" si="2"/>
        <v>14200</v>
      </c>
      <c r="B15" s="9">
        <v>0</v>
      </c>
      <c r="C15" s="9">
        <f t="shared" si="0"/>
        <v>0</v>
      </c>
      <c r="D15" s="9">
        <v>0</v>
      </c>
      <c r="E15" s="9">
        <f>PRODUCT(A15,D15,1/(D15+300))</f>
        <v>0</v>
      </c>
      <c r="F15">
        <f>SUM(F14,29)</f>
        <v>521</v>
      </c>
      <c r="G15" s="9">
        <f t="shared" si="3"/>
        <v>9011.2058465286227</v>
      </c>
      <c r="H15">
        <f>SUM(H14,26)</f>
        <v>463</v>
      </c>
      <c r="I15" s="9">
        <f t="shared" si="4"/>
        <v>8616.7758846657925</v>
      </c>
      <c r="J15">
        <v>0</v>
      </c>
      <c r="K15" s="9">
        <f t="shared" si="5"/>
        <v>0</v>
      </c>
      <c r="L15">
        <v>0</v>
      </c>
      <c r="M15" s="9">
        <f t="shared" si="6"/>
        <v>0</v>
      </c>
      <c r="N15">
        <v>0</v>
      </c>
      <c r="O15">
        <v>0</v>
      </c>
    </row>
    <row r="16" spans="1:15" x14ac:dyDescent="0.25">
      <c r="A16">
        <f t="shared" si="2"/>
        <v>15200</v>
      </c>
      <c r="B16" s="9">
        <v>0</v>
      </c>
      <c r="C16" s="9">
        <f t="shared" si="0"/>
        <v>0</v>
      </c>
      <c r="D16" s="9">
        <v>0</v>
      </c>
      <c r="E16" s="9">
        <f t="shared" si="1"/>
        <v>0</v>
      </c>
      <c r="F16">
        <f>SUM(F15,29)</f>
        <v>550</v>
      </c>
      <c r="G16" s="9">
        <f t="shared" si="3"/>
        <v>9835.2941176470576</v>
      </c>
      <c r="H16">
        <f>SUM(H15,28)</f>
        <v>491</v>
      </c>
      <c r="I16" s="9">
        <f t="shared" si="4"/>
        <v>9435.1453855878644</v>
      </c>
      <c r="J16">
        <v>0</v>
      </c>
      <c r="K16" s="9">
        <f t="shared" si="5"/>
        <v>0</v>
      </c>
      <c r="L16">
        <v>0</v>
      </c>
      <c r="M16" s="9">
        <f t="shared" si="6"/>
        <v>0</v>
      </c>
      <c r="N16">
        <v>0</v>
      </c>
      <c r="O16">
        <v>0</v>
      </c>
    </row>
    <row r="17" spans="1:15" x14ac:dyDescent="0.25">
      <c r="A17">
        <f t="shared" si="2"/>
        <v>16200</v>
      </c>
      <c r="B17" s="9">
        <v>0</v>
      </c>
      <c r="C17" s="9">
        <f t="shared" si="0"/>
        <v>0</v>
      </c>
      <c r="D17" s="9">
        <v>0</v>
      </c>
      <c r="E17" s="9">
        <f t="shared" si="1"/>
        <v>0</v>
      </c>
      <c r="F17">
        <v>0</v>
      </c>
      <c r="G17" s="9">
        <f t="shared" si="3"/>
        <v>0</v>
      </c>
      <c r="H17">
        <f>SUM(H16,28)</f>
        <v>519</v>
      </c>
      <c r="I17" s="9">
        <f t="shared" si="4"/>
        <v>10265.934065934065</v>
      </c>
      <c r="J17">
        <v>0</v>
      </c>
      <c r="K17" s="9">
        <f t="shared" si="5"/>
        <v>0</v>
      </c>
      <c r="L17">
        <v>0</v>
      </c>
      <c r="M17" s="9">
        <f t="shared" si="6"/>
        <v>0</v>
      </c>
      <c r="N17">
        <v>0</v>
      </c>
      <c r="O17">
        <v>0</v>
      </c>
    </row>
    <row r="18" spans="1:15" x14ac:dyDescent="0.25">
      <c r="A18">
        <f t="shared" si="2"/>
        <v>17200</v>
      </c>
      <c r="B18" s="9">
        <v>0</v>
      </c>
      <c r="C18" s="9">
        <f t="shared" si="0"/>
        <v>0</v>
      </c>
      <c r="D18" s="9">
        <v>0</v>
      </c>
      <c r="E18" s="9">
        <f t="shared" si="1"/>
        <v>0</v>
      </c>
      <c r="F18">
        <v>0</v>
      </c>
      <c r="G18" s="9">
        <f t="shared" si="3"/>
        <v>0</v>
      </c>
      <c r="H18">
        <v>0</v>
      </c>
      <c r="I18" s="9">
        <f t="shared" si="4"/>
        <v>0</v>
      </c>
      <c r="J18">
        <v>0</v>
      </c>
      <c r="K18" s="9">
        <f t="shared" si="5"/>
        <v>0</v>
      </c>
      <c r="L18">
        <v>0</v>
      </c>
      <c r="M18" s="9">
        <f t="shared" si="6"/>
        <v>0</v>
      </c>
      <c r="N18">
        <v>0</v>
      </c>
      <c r="O18">
        <v>0</v>
      </c>
    </row>
    <row r="19" spans="1:15" x14ac:dyDescent="0.25">
      <c r="A19">
        <f t="shared" si="2"/>
        <v>18200</v>
      </c>
      <c r="B19" s="9">
        <v>0</v>
      </c>
      <c r="C19" s="9">
        <f t="shared" si="0"/>
        <v>0</v>
      </c>
      <c r="D19" s="9">
        <v>0</v>
      </c>
      <c r="E19" s="9">
        <f t="shared" si="1"/>
        <v>0</v>
      </c>
      <c r="F19">
        <v>0</v>
      </c>
      <c r="G19" s="9">
        <f t="shared" si="3"/>
        <v>0</v>
      </c>
      <c r="H19">
        <v>0</v>
      </c>
      <c r="I19" s="9">
        <f t="shared" si="4"/>
        <v>0</v>
      </c>
      <c r="J19">
        <v>0</v>
      </c>
      <c r="K19" s="9">
        <f t="shared" si="5"/>
        <v>0</v>
      </c>
      <c r="L19">
        <v>0</v>
      </c>
      <c r="M19" s="9">
        <f t="shared" si="6"/>
        <v>0</v>
      </c>
      <c r="N19">
        <v>0</v>
      </c>
      <c r="O19">
        <v>0</v>
      </c>
    </row>
    <row r="20" spans="1:15" x14ac:dyDescent="0.25">
      <c r="A20">
        <f t="shared" si="2"/>
        <v>19200</v>
      </c>
      <c r="B20" s="9">
        <v>0</v>
      </c>
      <c r="C20" s="9">
        <f t="shared" si="0"/>
        <v>0</v>
      </c>
      <c r="D20" s="9">
        <v>0</v>
      </c>
      <c r="E20" s="9">
        <f t="shared" si="1"/>
        <v>0</v>
      </c>
      <c r="F20">
        <v>0</v>
      </c>
      <c r="G20" s="9">
        <f t="shared" si="3"/>
        <v>0</v>
      </c>
      <c r="H20">
        <v>0</v>
      </c>
      <c r="I20" s="9">
        <f t="shared" si="4"/>
        <v>0</v>
      </c>
      <c r="J20">
        <v>0</v>
      </c>
      <c r="K20" s="9">
        <f t="shared" si="5"/>
        <v>0</v>
      </c>
      <c r="L20">
        <v>0</v>
      </c>
      <c r="M20" s="9">
        <f t="shared" si="6"/>
        <v>0</v>
      </c>
      <c r="N20">
        <v>0</v>
      </c>
      <c r="O20">
        <v>0</v>
      </c>
    </row>
    <row r="21" spans="1:15" x14ac:dyDescent="0.25">
      <c r="A21">
        <f t="shared" si="2"/>
        <v>20200</v>
      </c>
      <c r="B21" s="9">
        <v>0</v>
      </c>
      <c r="C21" s="9">
        <f t="shared" si="0"/>
        <v>0</v>
      </c>
      <c r="D21" s="9">
        <v>0</v>
      </c>
      <c r="E21" s="9">
        <f>PRODUCT(A21,D21,1/(D21+300))</f>
        <v>0</v>
      </c>
      <c r="F21">
        <v>0</v>
      </c>
      <c r="G21" s="9">
        <f t="shared" si="3"/>
        <v>0</v>
      </c>
      <c r="H21">
        <v>0</v>
      </c>
      <c r="I21" s="9">
        <f t="shared" si="4"/>
        <v>0</v>
      </c>
      <c r="J21">
        <v>0</v>
      </c>
      <c r="K21" s="9">
        <f t="shared" si="5"/>
        <v>0</v>
      </c>
      <c r="L21">
        <v>0</v>
      </c>
      <c r="M21" s="9">
        <f t="shared" si="6"/>
        <v>0</v>
      </c>
      <c r="N21">
        <v>0</v>
      </c>
      <c r="O21">
        <v>0</v>
      </c>
    </row>
    <row r="22" spans="1:15" x14ac:dyDescent="0.25">
      <c r="A22" s="16">
        <f t="shared" si="2"/>
        <v>21200</v>
      </c>
      <c r="B22" s="9">
        <v>0</v>
      </c>
      <c r="C22">
        <v>0</v>
      </c>
      <c r="D22" s="9">
        <v>0</v>
      </c>
      <c r="E22" s="9">
        <f t="shared" si="1"/>
        <v>0</v>
      </c>
      <c r="F22">
        <v>0</v>
      </c>
      <c r="G22" s="9">
        <f t="shared" si="3"/>
        <v>0</v>
      </c>
      <c r="H22">
        <v>0</v>
      </c>
      <c r="I22" s="9">
        <f t="shared" si="4"/>
        <v>0</v>
      </c>
      <c r="J22">
        <v>0</v>
      </c>
      <c r="K22" s="9">
        <f t="shared" si="5"/>
        <v>0</v>
      </c>
      <c r="L22">
        <v>0</v>
      </c>
      <c r="M22" s="9">
        <f t="shared" si="6"/>
        <v>0</v>
      </c>
      <c r="N22">
        <v>0</v>
      </c>
      <c r="O22">
        <v>0</v>
      </c>
    </row>
    <row r="23" spans="1:15" x14ac:dyDescent="0.25">
      <c r="A23">
        <f t="shared" si="2"/>
        <v>22200</v>
      </c>
      <c r="B23" s="9">
        <v>0</v>
      </c>
      <c r="C23">
        <v>0</v>
      </c>
      <c r="D23" s="9">
        <v>0</v>
      </c>
      <c r="E23" s="9">
        <f t="shared" si="1"/>
        <v>0</v>
      </c>
      <c r="F23">
        <v>0</v>
      </c>
      <c r="G23" s="9">
        <f t="shared" si="3"/>
        <v>0</v>
      </c>
      <c r="H23">
        <v>0</v>
      </c>
      <c r="I23" s="9">
        <f t="shared" si="4"/>
        <v>0</v>
      </c>
      <c r="J23">
        <v>0</v>
      </c>
      <c r="K23" s="9">
        <f t="shared" si="5"/>
        <v>0</v>
      </c>
      <c r="L23">
        <v>0</v>
      </c>
      <c r="M23" s="9">
        <f t="shared" si="6"/>
        <v>0</v>
      </c>
      <c r="N23">
        <v>0</v>
      </c>
      <c r="O23">
        <v>0</v>
      </c>
    </row>
    <row r="24" spans="1:15" x14ac:dyDescent="0.25">
      <c r="A24">
        <f t="shared" si="2"/>
        <v>23200</v>
      </c>
      <c r="B24" s="9">
        <v>0</v>
      </c>
      <c r="C24">
        <v>0</v>
      </c>
      <c r="D24" s="9">
        <v>0</v>
      </c>
      <c r="E24" s="9">
        <f t="shared" si="1"/>
        <v>0</v>
      </c>
      <c r="F24">
        <v>0</v>
      </c>
      <c r="G24" s="9">
        <f t="shared" si="3"/>
        <v>0</v>
      </c>
      <c r="H24">
        <v>0</v>
      </c>
      <c r="I24" s="9">
        <f t="shared" si="4"/>
        <v>0</v>
      </c>
      <c r="J24">
        <v>0</v>
      </c>
      <c r="K24" s="9">
        <f t="shared" si="5"/>
        <v>0</v>
      </c>
      <c r="L24">
        <v>0</v>
      </c>
      <c r="M24" s="9">
        <f t="shared" si="6"/>
        <v>0</v>
      </c>
      <c r="N24">
        <v>0</v>
      </c>
      <c r="O24">
        <v>0</v>
      </c>
    </row>
    <row r="25" spans="1:15" x14ac:dyDescent="0.25">
      <c r="A25" s="19">
        <f t="shared" si="2"/>
        <v>24200</v>
      </c>
      <c r="B25" s="9">
        <v>0</v>
      </c>
      <c r="C25">
        <v>0</v>
      </c>
      <c r="D25" s="9">
        <v>0</v>
      </c>
      <c r="E25" s="9">
        <f t="shared" si="1"/>
        <v>0</v>
      </c>
      <c r="F25">
        <v>0</v>
      </c>
      <c r="G25" s="9">
        <f t="shared" si="3"/>
        <v>0</v>
      </c>
      <c r="H25">
        <v>0</v>
      </c>
      <c r="I25" s="9">
        <f t="shared" si="4"/>
        <v>0</v>
      </c>
      <c r="J25">
        <v>0</v>
      </c>
      <c r="K25" s="9">
        <f t="shared" si="5"/>
        <v>0</v>
      </c>
      <c r="L25">
        <v>0</v>
      </c>
      <c r="M25" s="9">
        <f t="shared" si="6"/>
        <v>0</v>
      </c>
      <c r="N25">
        <v>0</v>
      </c>
      <c r="O25">
        <v>0</v>
      </c>
    </row>
    <row r="26" spans="1:15" x14ac:dyDescent="0.25">
      <c r="A26">
        <f t="shared" si="2"/>
        <v>25200</v>
      </c>
      <c r="B26" s="9">
        <v>0</v>
      </c>
      <c r="C26">
        <v>0</v>
      </c>
      <c r="D26">
        <v>0</v>
      </c>
      <c r="E26">
        <v>0</v>
      </c>
      <c r="F26">
        <v>0</v>
      </c>
      <c r="G26" s="9">
        <f t="shared" si="3"/>
        <v>0</v>
      </c>
      <c r="H26">
        <v>0</v>
      </c>
      <c r="I26" s="9">
        <f t="shared" si="4"/>
        <v>0</v>
      </c>
      <c r="J26">
        <v>0</v>
      </c>
      <c r="K26" s="9">
        <f t="shared" si="5"/>
        <v>0</v>
      </c>
      <c r="L26">
        <v>0</v>
      </c>
      <c r="M26" s="9">
        <f t="shared" si="6"/>
        <v>0</v>
      </c>
      <c r="N26">
        <v>0</v>
      </c>
      <c r="O26">
        <v>0</v>
      </c>
    </row>
    <row r="27" spans="1:15" x14ac:dyDescent="0.25">
      <c r="A27">
        <f t="shared" si="2"/>
        <v>26200</v>
      </c>
      <c r="B27" s="9">
        <v>0</v>
      </c>
      <c r="C27">
        <v>0</v>
      </c>
      <c r="D27">
        <v>0</v>
      </c>
      <c r="E27">
        <v>0</v>
      </c>
      <c r="F27">
        <v>0</v>
      </c>
      <c r="G27" s="9">
        <f t="shared" si="3"/>
        <v>0</v>
      </c>
      <c r="H27">
        <v>0</v>
      </c>
      <c r="I27" s="9">
        <f t="shared" si="4"/>
        <v>0</v>
      </c>
      <c r="J27">
        <v>0</v>
      </c>
      <c r="K27" s="9">
        <f t="shared" si="5"/>
        <v>0</v>
      </c>
      <c r="L27">
        <v>0</v>
      </c>
      <c r="M27" s="9">
        <f t="shared" si="6"/>
        <v>0</v>
      </c>
      <c r="N27">
        <v>0</v>
      </c>
      <c r="O27">
        <v>0</v>
      </c>
    </row>
    <row r="28" spans="1:15" x14ac:dyDescent="0.25">
      <c r="A28">
        <f t="shared" si="2"/>
        <v>27200</v>
      </c>
      <c r="B28" s="9">
        <v>0</v>
      </c>
      <c r="C28">
        <v>0</v>
      </c>
      <c r="D28">
        <v>0</v>
      </c>
      <c r="E28">
        <v>0</v>
      </c>
      <c r="F28">
        <v>0</v>
      </c>
      <c r="G28" s="9">
        <f t="shared" si="3"/>
        <v>0</v>
      </c>
      <c r="H28">
        <v>0</v>
      </c>
      <c r="I28" s="9">
        <f t="shared" si="4"/>
        <v>0</v>
      </c>
      <c r="J28">
        <v>0</v>
      </c>
      <c r="K28" s="9">
        <f t="shared" si="5"/>
        <v>0</v>
      </c>
      <c r="L28">
        <v>0</v>
      </c>
      <c r="M28" s="9">
        <f t="shared" si="6"/>
        <v>0</v>
      </c>
      <c r="N28">
        <v>0</v>
      </c>
      <c r="O28">
        <v>0</v>
      </c>
    </row>
    <row r="29" spans="1:15" x14ac:dyDescent="0.25">
      <c r="A29">
        <f t="shared" si="2"/>
        <v>28200</v>
      </c>
      <c r="B29" s="9">
        <v>0</v>
      </c>
      <c r="C29">
        <v>0</v>
      </c>
      <c r="D29">
        <v>0</v>
      </c>
      <c r="E29">
        <v>0</v>
      </c>
      <c r="F29">
        <v>0</v>
      </c>
      <c r="G29" s="9">
        <f t="shared" si="3"/>
        <v>0</v>
      </c>
      <c r="H29">
        <v>0</v>
      </c>
      <c r="I29" s="9">
        <f t="shared" si="4"/>
        <v>0</v>
      </c>
      <c r="J29">
        <v>0</v>
      </c>
      <c r="K29" s="9">
        <f t="shared" si="5"/>
        <v>0</v>
      </c>
      <c r="L29">
        <v>0</v>
      </c>
      <c r="M29" s="9">
        <f t="shared" si="6"/>
        <v>0</v>
      </c>
      <c r="N29">
        <v>0</v>
      </c>
      <c r="O29">
        <v>0</v>
      </c>
    </row>
    <row r="30" spans="1:15" x14ac:dyDescent="0.25">
      <c r="A30" s="19">
        <f>SUM(A29,1000)</f>
        <v>29200</v>
      </c>
      <c r="B30" s="9">
        <v>0</v>
      </c>
      <c r="C30">
        <v>0</v>
      </c>
      <c r="D30">
        <v>0</v>
      </c>
      <c r="E30">
        <v>0</v>
      </c>
      <c r="F30">
        <v>0</v>
      </c>
      <c r="G30" s="9">
        <f t="shared" si="3"/>
        <v>0</v>
      </c>
      <c r="H30">
        <v>0</v>
      </c>
      <c r="I30" s="9">
        <f t="shared" si="4"/>
        <v>0</v>
      </c>
      <c r="J30">
        <v>0</v>
      </c>
      <c r="K30" s="9">
        <f t="shared" si="5"/>
        <v>0</v>
      </c>
      <c r="L30">
        <v>0</v>
      </c>
      <c r="M30" s="9">
        <f t="shared" si="6"/>
        <v>0</v>
      </c>
      <c r="N30">
        <v>0</v>
      </c>
      <c r="O30">
        <v>0</v>
      </c>
    </row>
    <row r="31" spans="1:15" x14ac:dyDescent="0.25">
      <c r="A31">
        <f t="shared" si="2"/>
        <v>30200</v>
      </c>
      <c r="B31" s="9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9">
        <f t="shared" si="5"/>
        <v>0</v>
      </c>
      <c r="L31">
        <v>0</v>
      </c>
      <c r="M31" s="9">
        <f t="shared" si="6"/>
        <v>0</v>
      </c>
      <c r="N31">
        <v>0</v>
      </c>
      <c r="O31">
        <v>0</v>
      </c>
    </row>
    <row r="32" spans="1:15" x14ac:dyDescent="0.25">
      <c r="A32">
        <f t="shared" si="2"/>
        <v>31200</v>
      </c>
      <c r="B32" s="9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9">
        <f t="shared" si="6"/>
        <v>0</v>
      </c>
      <c r="N32">
        <v>0</v>
      </c>
      <c r="O32">
        <v>0</v>
      </c>
    </row>
    <row r="33" spans="1:15" x14ac:dyDescent="0.25">
      <c r="A33">
        <f t="shared" si="2"/>
        <v>32200</v>
      </c>
      <c r="B33" s="9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s="9">
        <f t="shared" si="6"/>
        <v>0</v>
      </c>
      <c r="N33">
        <v>0</v>
      </c>
      <c r="O33">
        <v>0</v>
      </c>
    </row>
    <row r="34" spans="1:15" x14ac:dyDescent="0.25">
      <c r="A34">
        <f t="shared" si="2"/>
        <v>33200</v>
      </c>
      <c r="B34" s="9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s="9">
        <f t="shared" si="6"/>
        <v>0</v>
      </c>
      <c r="N34">
        <v>0</v>
      </c>
      <c r="O34">
        <v>0</v>
      </c>
    </row>
    <row r="35" spans="1:15" x14ac:dyDescent="0.25">
      <c r="A35">
        <f t="shared" si="2"/>
        <v>34200</v>
      </c>
      <c r="B35" s="9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>
        <f t="shared" si="2"/>
        <v>35200</v>
      </c>
      <c r="B36" s="9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f t="shared" si="2"/>
        <v>36200</v>
      </c>
      <c r="B37" s="9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51</v>
      </c>
      <c r="C38" s="16">
        <v>3200</v>
      </c>
      <c r="D38" s="16"/>
      <c r="E38" s="16">
        <v>3200</v>
      </c>
      <c r="F38" s="16"/>
      <c r="G38" s="16">
        <v>4200</v>
      </c>
      <c r="H38" s="16"/>
      <c r="I38" s="16">
        <v>5200</v>
      </c>
      <c r="J38" s="16"/>
      <c r="K38" s="16">
        <v>0</v>
      </c>
      <c r="L38" s="16"/>
      <c r="M38" s="16">
        <v>0</v>
      </c>
      <c r="N38">
        <v>0</v>
      </c>
      <c r="O38">
        <v>0</v>
      </c>
    </row>
    <row r="39" spans="1:15" x14ac:dyDescent="0.25">
      <c r="A39" t="s">
        <v>50</v>
      </c>
      <c r="C39" s="16">
        <v>11200</v>
      </c>
      <c r="D39" s="16"/>
      <c r="E39" s="16">
        <v>11200</v>
      </c>
      <c r="F39" s="16"/>
      <c r="G39" s="16">
        <v>15200</v>
      </c>
      <c r="H39" s="16"/>
      <c r="I39" s="16">
        <v>16200</v>
      </c>
      <c r="J39" s="16"/>
      <c r="K39" s="16">
        <v>0</v>
      </c>
      <c r="L39" s="16"/>
      <c r="M39" s="16">
        <v>0</v>
      </c>
      <c r="N39">
        <v>0</v>
      </c>
      <c r="O39">
        <v>0</v>
      </c>
    </row>
    <row r="40" spans="1:15" x14ac:dyDescent="0.25">
      <c r="A40" t="s">
        <v>52</v>
      </c>
      <c r="C40" s="16">
        <v>1600</v>
      </c>
      <c r="D40" s="16"/>
      <c r="E40" s="16">
        <v>1600</v>
      </c>
      <c r="F40" s="16"/>
      <c r="G40" s="16">
        <v>2000</v>
      </c>
      <c r="H40" s="16"/>
      <c r="I40" s="16">
        <v>2500</v>
      </c>
      <c r="J40" s="16"/>
      <c r="K40" s="16">
        <v>0</v>
      </c>
      <c r="L40" s="16"/>
      <c r="M40" s="16">
        <v>0</v>
      </c>
      <c r="N40">
        <v>0</v>
      </c>
      <c r="O40">
        <v>0</v>
      </c>
    </row>
    <row r="41" spans="1:15" x14ac:dyDescent="0.25">
      <c r="A41" t="s">
        <v>53</v>
      </c>
      <c r="C41" s="16">
        <v>7100</v>
      </c>
      <c r="D41" s="16"/>
      <c r="E41" s="16">
        <v>7100</v>
      </c>
      <c r="F41" s="16"/>
      <c r="G41" s="16">
        <v>10000</v>
      </c>
      <c r="H41" s="16"/>
      <c r="I41" s="16">
        <v>10300</v>
      </c>
      <c r="J41" s="16"/>
      <c r="K41" s="16">
        <v>0</v>
      </c>
      <c r="L41" s="16"/>
      <c r="M41" s="16">
        <v>0</v>
      </c>
      <c r="N41">
        <v>0</v>
      </c>
      <c r="O41">
        <v>0</v>
      </c>
    </row>
    <row r="42" spans="1:15" x14ac:dyDescent="0.25">
      <c r="A42" s="25" t="s">
        <v>77</v>
      </c>
      <c r="B42" s="26"/>
      <c r="C42" s="16">
        <v>8000</v>
      </c>
      <c r="D42" s="16"/>
      <c r="E42" s="16">
        <v>8000</v>
      </c>
      <c r="F42" s="16"/>
      <c r="G42" s="16">
        <v>9000</v>
      </c>
      <c r="H42" s="16"/>
      <c r="I42" s="16">
        <v>10000</v>
      </c>
      <c r="J42" s="16"/>
      <c r="K42" s="16">
        <v>0</v>
      </c>
      <c r="L42" s="16"/>
      <c r="M42" s="16">
        <v>0</v>
      </c>
      <c r="N42">
        <v>0</v>
      </c>
      <c r="O42">
        <v>0</v>
      </c>
    </row>
    <row r="43" spans="1:15" x14ac:dyDescent="0.25">
      <c r="A43" s="25" t="s">
        <v>58</v>
      </c>
      <c r="B43" s="26"/>
      <c r="C43" s="16">
        <v>3800</v>
      </c>
      <c r="D43" s="16"/>
      <c r="E43" s="16">
        <v>3800</v>
      </c>
      <c r="F43" s="16"/>
      <c r="G43" s="16">
        <v>4800</v>
      </c>
      <c r="H43" s="16"/>
      <c r="I43" s="16">
        <v>5800</v>
      </c>
      <c r="J43" s="16"/>
      <c r="K43" s="16">
        <v>0</v>
      </c>
      <c r="L43" s="16"/>
      <c r="M43" s="16">
        <v>0</v>
      </c>
      <c r="N43">
        <v>0</v>
      </c>
      <c r="O43">
        <v>0</v>
      </c>
    </row>
    <row r="45" spans="1:15" ht="28.5" customHeight="1" x14ac:dyDescent="0.25">
      <c r="A45" s="25" t="s">
        <v>78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x14ac:dyDescent="0.25">
      <c r="A46" s="25" t="s">
        <v>39</v>
      </c>
      <c r="B46" s="24" t="s">
        <v>70</v>
      </c>
      <c r="C46" s="24"/>
      <c r="D46" s="24" t="s">
        <v>71</v>
      </c>
      <c r="E46" s="24"/>
      <c r="F46" s="24" t="s">
        <v>43</v>
      </c>
      <c r="G46" s="24"/>
      <c r="H46" s="24" t="s">
        <v>44</v>
      </c>
      <c r="I46" s="24"/>
      <c r="J46" s="24" t="s">
        <v>45</v>
      </c>
      <c r="K46" s="24"/>
      <c r="L46" s="24" t="s">
        <v>46</v>
      </c>
      <c r="M46" s="24"/>
      <c r="N46" s="24" t="s">
        <v>47</v>
      </c>
      <c r="O46" s="24"/>
    </row>
    <row r="47" spans="1:15" x14ac:dyDescent="0.25">
      <c r="A47" s="25"/>
      <c r="B47" t="s">
        <v>40</v>
      </c>
      <c r="C47" t="s">
        <v>41</v>
      </c>
      <c r="D47" t="s">
        <v>40</v>
      </c>
      <c r="E47" t="s">
        <v>41</v>
      </c>
      <c r="F47" t="s">
        <v>40</v>
      </c>
      <c r="G47" t="s">
        <v>41</v>
      </c>
      <c r="H47" t="s">
        <v>40</v>
      </c>
      <c r="I47" t="s">
        <v>41</v>
      </c>
      <c r="J47" t="s">
        <v>40</v>
      </c>
      <c r="K47" t="s">
        <v>41</v>
      </c>
      <c r="L47" t="s">
        <v>40</v>
      </c>
      <c r="M47" t="s">
        <v>41</v>
      </c>
      <c r="N47" t="s">
        <v>40</v>
      </c>
      <c r="O47" t="s">
        <v>41</v>
      </c>
    </row>
    <row r="48" spans="1:15" x14ac:dyDescent="0.25">
      <c r="A48" s="4">
        <v>3200</v>
      </c>
      <c r="B48">
        <v>300</v>
      </c>
      <c r="C48" s="9">
        <f>PRODUCT(A48,B48,1/(B48+150))</f>
        <v>2133.3333333333335</v>
      </c>
      <c r="D48">
        <v>300</v>
      </c>
      <c r="E48" s="9">
        <f>PRODUCT(A48,D48,1/(D48+150))</f>
        <v>2133.3333333333335</v>
      </c>
      <c r="F48">
        <v>280</v>
      </c>
      <c r="G48" s="9">
        <f>PRODUCT(A48,F48,1/(F48+150))</f>
        <v>2083.7209302325582</v>
      </c>
      <c r="H48">
        <v>260</v>
      </c>
      <c r="I48" s="9">
        <f>PRODUCT(A48,H48,1/(H48+150))</f>
        <v>2029.2682926829268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>
        <f>SUM(A48,1000)</f>
        <v>4200</v>
      </c>
      <c r="B49">
        <f>SUM(B48,30)</f>
        <v>330</v>
      </c>
      <c r="C49" s="9">
        <f t="shared" ref="C49:C56" si="7">PRODUCT(A49,B49,1/(B49+150))</f>
        <v>2887.5</v>
      </c>
      <c r="D49">
        <f>SUM(D48,30)</f>
        <v>330</v>
      </c>
      <c r="E49" s="9">
        <f t="shared" ref="E49:E56" si="8">PRODUCT(A49,D49,1/(D49+150))</f>
        <v>2887.5</v>
      </c>
      <c r="F49">
        <v>290</v>
      </c>
      <c r="G49" s="9">
        <f>PRODUCT(A49,F49,1/(F49+150))</f>
        <v>2768.181818181818</v>
      </c>
      <c r="H49">
        <v>270</v>
      </c>
      <c r="I49" s="9">
        <f>PRODUCT(A49,H49,1/(H49+150))</f>
        <v>2700.0000000000005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>
        <f t="shared" ref="A50:A81" si="9">SUM(A49,1000)</f>
        <v>5200</v>
      </c>
      <c r="B50">
        <f>SUM(B49,20)</f>
        <v>350</v>
      </c>
      <c r="C50" s="9">
        <f t="shared" si="7"/>
        <v>3640</v>
      </c>
      <c r="D50">
        <f>SUM(D49,20)</f>
        <v>350</v>
      </c>
      <c r="E50" s="9">
        <f t="shared" si="8"/>
        <v>3640</v>
      </c>
      <c r="F50">
        <v>300</v>
      </c>
      <c r="G50" s="9">
        <f t="shared" ref="G50:G60" si="10">PRODUCT(A50,F50,1/(F50+150))</f>
        <v>3466.6666666666665</v>
      </c>
      <c r="H50">
        <v>280</v>
      </c>
      <c r="I50" s="9">
        <f>PRODUCT(A50,H50,1/(H50+150))</f>
        <v>3386.046511627907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>
        <f t="shared" si="9"/>
        <v>6200</v>
      </c>
      <c r="B51">
        <f>SUM(B50,21)</f>
        <v>371</v>
      </c>
      <c r="C51" s="9">
        <f t="shared" si="7"/>
        <v>4414.9712092130512</v>
      </c>
      <c r="D51">
        <f>SUM(D50,21)</f>
        <v>371</v>
      </c>
      <c r="E51" s="9">
        <f t="shared" si="8"/>
        <v>4414.9712092130512</v>
      </c>
      <c r="F51">
        <f>SUM(F50,25)</f>
        <v>325</v>
      </c>
      <c r="G51" s="9">
        <f t="shared" si="10"/>
        <v>4242.105263157895</v>
      </c>
      <c r="H51">
        <v>290</v>
      </c>
      <c r="I51" s="9">
        <f t="shared" ref="I51:I61" si="11">PRODUCT(A51,H51,1/(H51+150))</f>
        <v>4086.363636363636</v>
      </c>
      <c r="J51">
        <v>0</v>
      </c>
      <c r="K51" s="9">
        <f>PRODUCT(A51,J51,1/(J51+300))</f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>
        <f t="shared" si="9"/>
        <v>7200</v>
      </c>
      <c r="B52">
        <f>SUM(B51,22)</f>
        <v>393</v>
      </c>
      <c r="C52" s="9">
        <f t="shared" si="7"/>
        <v>5211.0497237569061</v>
      </c>
      <c r="D52">
        <f>SUM(D51,22)</f>
        <v>393</v>
      </c>
      <c r="E52" s="9">
        <f t="shared" si="8"/>
        <v>5211.0497237569061</v>
      </c>
      <c r="F52">
        <f>SUM(F51,20)</f>
        <v>345</v>
      </c>
      <c r="G52" s="9">
        <f t="shared" si="10"/>
        <v>5018.181818181818</v>
      </c>
      <c r="H52">
        <v>300</v>
      </c>
      <c r="I52" s="9">
        <f t="shared" si="11"/>
        <v>4800</v>
      </c>
      <c r="J52">
        <v>0</v>
      </c>
      <c r="K52" s="9">
        <f t="shared" ref="K52:K75" si="12">PRODUCT(A52,J52,1/(J52+300))</f>
        <v>0</v>
      </c>
      <c r="L52">
        <v>0</v>
      </c>
      <c r="M52" s="9">
        <f>PRODUCT(A52,L52,1/(L52+300))</f>
        <v>0</v>
      </c>
      <c r="N52">
        <v>0</v>
      </c>
      <c r="O52">
        <v>0</v>
      </c>
    </row>
    <row r="53" spans="1:15" x14ac:dyDescent="0.25">
      <c r="A53">
        <f t="shared" si="9"/>
        <v>8200</v>
      </c>
      <c r="B53">
        <f>SUM(B52,24)</f>
        <v>417</v>
      </c>
      <c r="C53" s="9">
        <f t="shared" si="7"/>
        <v>6030.6878306878307</v>
      </c>
      <c r="D53">
        <f>SUM(D52,24)</f>
        <v>417</v>
      </c>
      <c r="E53" s="9">
        <f t="shared" si="8"/>
        <v>6030.6878306878307</v>
      </c>
      <c r="F53">
        <f>SUM(F52,21)</f>
        <v>366</v>
      </c>
      <c r="G53" s="9">
        <f t="shared" si="10"/>
        <v>5816.2790697674418</v>
      </c>
      <c r="H53">
        <f>SUM(H52,25)</f>
        <v>325</v>
      </c>
      <c r="I53" s="9">
        <f t="shared" si="11"/>
        <v>5610.5263157894733</v>
      </c>
      <c r="J53">
        <v>0</v>
      </c>
      <c r="K53" s="9">
        <f t="shared" si="12"/>
        <v>0</v>
      </c>
      <c r="L53">
        <v>0</v>
      </c>
      <c r="M53" s="9">
        <f t="shared" ref="M53:M78" si="13">PRODUCT(A53,L53,1/(L53+300))</f>
        <v>0</v>
      </c>
      <c r="N53">
        <v>0</v>
      </c>
      <c r="O53">
        <v>0</v>
      </c>
    </row>
    <row r="54" spans="1:15" x14ac:dyDescent="0.25">
      <c r="A54">
        <f t="shared" si="9"/>
        <v>9200</v>
      </c>
      <c r="B54">
        <f>SUM(B53,25)</f>
        <v>442</v>
      </c>
      <c r="C54" s="9">
        <f t="shared" si="7"/>
        <v>6868.9189189189192</v>
      </c>
      <c r="D54">
        <f>SUM(D53,25)</f>
        <v>442</v>
      </c>
      <c r="E54" s="9">
        <f t="shared" si="8"/>
        <v>6868.9189189189192</v>
      </c>
      <c r="F54">
        <f>SUM(F53,22)</f>
        <v>388</v>
      </c>
      <c r="G54" s="9">
        <f t="shared" si="10"/>
        <v>6634.9442379182155</v>
      </c>
      <c r="H54">
        <f>SUM(H53,20)</f>
        <v>345</v>
      </c>
      <c r="I54" s="9">
        <f t="shared" si="11"/>
        <v>6412.121212121212</v>
      </c>
      <c r="J54">
        <v>0</v>
      </c>
      <c r="K54" s="9">
        <f t="shared" si="12"/>
        <v>0</v>
      </c>
      <c r="L54">
        <v>0</v>
      </c>
      <c r="M54" s="9">
        <f t="shared" si="13"/>
        <v>0</v>
      </c>
      <c r="N54">
        <v>0</v>
      </c>
      <c r="O54">
        <v>0</v>
      </c>
    </row>
    <row r="55" spans="1:15" x14ac:dyDescent="0.25">
      <c r="A55">
        <f t="shared" si="9"/>
        <v>10200</v>
      </c>
      <c r="B55">
        <f>SUM(B54,26)</f>
        <v>468</v>
      </c>
      <c r="C55" s="9">
        <f t="shared" si="7"/>
        <v>7724.2718446601948</v>
      </c>
      <c r="D55">
        <f>SUM(D54,26)</f>
        <v>468</v>
      </c>
      <c r="E55" s="9">
        <f t="shared" si="8"/>
        <v>7724.2718446601948</v>
      </c>
      <c r="F55">
        <f>SUM(F54,24)</f>
        <v>412</v>
      </c>
      <c r="G55" s="9">
        <f t="shared" si="10"/>
        <v>7477.5800711743768</v>
      </c>
      <c r="H55">
        <f>SUM(H54,21)</f>
        <v>366</v>
      </c>
      <c r="I55" s="9">
        <f t="shared" si="11"/>
        <v>7234.8837209302328</v>
      </c>
      <c r="J55">
        <v>0</v>
      </c>
      <c r="K55" s="9">
        <f t="shared" si="12"/>
        <v>0</v>
      </c>
      <c r="L55">
        <v>0</v>
      </c>
      <c r="M55" s="9">
        <f t="shared" si="13"/>
        <v>0</v>
      </c>
      <c r="N55">
        <v>0</v>
      </c>
      <c r="O55">
        <v>0</v>
      </c>
    </row>
    <row r="56" spans="1:15" x14ac:dyDescent="0.25">
      <c r="A56">
        <f t="shared" si="9"/>
        <v>11200</v>
      </c>
      <c r="B56">
        <f>SUM(B55,30)</f>
        <v>498</v>
      </c>
      <c r="C56" s="9">
        <f t="shared" si="7"/>
        <v>8607.4074074074069</v>
      </c>
      <c r="D56">
        <f>SUM(D55,30)</f>
        <v>498</v>
      </c>
      <c r="E56" s="9">
        <f t="shared" si="8"/>
        <v>8607.4074074074069</v>
      </c>
      <c r="F56">
        <f>SUM(F55,25)</f>
        <v>437</v>
      </c>
      <c r="G56" s="9">
        <f t="shared" si="10"/>
        <v>8337.989778534924</v>
      </c>
      <c r="H56">
        <f>SUM(H55,22)</f>
        <v>388</v>
      </c>
      <c r="I56" s="9">
        <f t="shared" si="11"/>
        <v>8077.3234200743491</v>
      </c>
      <c r="J56">
        <v>0</v>
      </c>
      <c r="K56" s="9">
        <f t="shared" si="12"/>
        <v>0</v>
      </c>
      <c r="L56">
        <v>0</v>
      </c>
      <c r="M56" s="9">
        <f t="shared" si="13"/>
        <v>0</v>
      </c>
      <c r="N56">
        <v>0</v>
      </c>
      <c r="O56">
        <v>0</v>
      </c>
    </row>
    <row r="57" spans="1:15" x14ac:dyDescent="0.25">
      <c r="A57">
        <f t="shared" si="9"/>
        <v>12200</v>
      </c>
      <c r="B57" s="9">
        <v>0</v>
      </c>
      <c r="C57">
        <f t="shared" ref="C57:C65" si="14">PRODUCT(A57,B57,1/(B57+300))</f>
        <v>0</v>
      </c>
      <c r="D57" s="9">
        <v>0</v>
      </c>
      <c r="E57" s="9">
        <f t="shared" ref="E57:E58" si="15">PRODUCT(A57,D57,1/(D57+300))</f>
        <v>0</v>
      </c>
      <c r="F57">
        <f>SUM(F56,26)</f>
        <v>463</v>
      </c>
      <c r="G57" s="9">
        <f t="shared" si="10"/>
        <v>9214.6818923327901</v>
      </c>
      <c r="H57">
        <f>SUM(H56,24)</f>
        <v>412</v>
      </c>
      <c r="I57" s="9">
        <f t="shared" si="11"/>
        <v>8943.7722419928814</v>
      </c>
      <c r="J57">
        <v>0</v>
      </c>
      <c r="K57" s="9">
        <f t="shared" si="12"/>
        <v>0</v>
      </c>
      <c r="L57">
        <v>0</v>
      </c>
      <c r="M57" s="9">
        <f t="shared" si="13"/>
        <v>0</v>
      </c>
      <c r="N57">
        <v>0</v>
      </c>
      <c r="O57">
        <v>0</v>
      </c>
    </row>
    <row r="58" spans="1:15" x14ac:dyDescent="0.25">
      <c r="A58">
        <f t="shared" si="9"/>
        <v>13200</v>
      </c>
      <c r="B58" s="9">
        <v>0</v>
      </c>
      <c r="C58">
        <f t="shared" si="14"/>
        <v>0</v>
      </c>
      <c r="D58" s="9">
        <v>0</v>
      </c>
      <c r="E58" s="9">
        <f t="shared" si="15"/>
        <v>0</v>
      </c>
      <c r="F58">
        <f>SUM(F57,29)</f>
        <v>492</v>
      </c>
      <c r="G58" s="9">
        <f t="shared" si="10"/>
        <v>10115.88785046729</v>
      </c>
      <c r="H58">
        <f>SUM(H57,25)</f>
        <v>437</v>
      </c>
      <c r="I58" s="9">
        <f t="shared" si="11"/>
        <v>9826.9165247018736</v>
      </c>
      <c r="J58">
        <v>0</v>
      </c>
      <c r="K58" s="9">
        <f t="shared" si="12"/>
        <v>0</v>
      </c>
      <c r="L58">
        <v>0</v>
      </c>
      <c r="M58" s="9">
        <f t="shared" si="13"/>
        <v>0</v>
      </c>
      <c r="N58">
        <v>0</v>
      </c>
      <c r="O58">
        <v>0</v>
      </c>
    </row>
    <row r="59" spans="1:15" x14ac:dyDescent="0.25">
      <c r="A59">
        <f t="shared" si="9"/>
        <v>14200</v>
      </c>
      <c r="B59" s="9">
        <v>0</v>
      </c>
      <c r="C59" s="9">
        <f t="shared" si="14"/>
        <v>0</v>
      </c>
      <c r="D59" s="9">
        <v>0</v>
      </c>
      <c r="E59" s="9">
        <f>PRODUCT(A59,D59,1/(D59+300))</f>
        <v>0</v>
      </c>
      <c r="F59">
        <v>0</v>
      </c>
      <c r="G59" s="9">
        <f t="shared" si="10"/>
        <v>0</v>
      </c>
      <c r="H59">
        <f>SUM(H58,26)</f>
        <v>463</v>
      </c>
      <c r="I59" s="9">
        <f t="shared" si="11"/>
        <v>10725.285481239805</v>
      </c>
      <c r="J59">
        <v>0</v>
      </c>
      <c r="K59" s="9">
        <f t="shared" si="12"/>
        <v>0</v>
      </c>
      <c r="L59">
        <v>0</v>
      </c>
      <c r="M59" s="9">
        <f t="shared" si="13"/>
        <v>0</v>
      </c>
      <c r="N59">
        <v>0</v>
      </c>
      <c r="O59">
        <v>0</v>
      </c>
    </row>
    <row r="60" spans="1:15" x14ac:dyDescent="0.25">
      <c r="A60">
        <f t="shared" si="9"/>
        <v>15200</v>
      </c>
      <c r="B60" s="9">
        <v>0</v>
      </c>
      <c r="C60" s="9">
        <f t="shared" si="14"/>
        <v>0</v>
      </c>
      <c r="D60" s="9">
        <v>0</v>
      </c>
      <c r="E60" s="9">
        <f t="shared" ref="E60:E64" si="16">PRODUCT(A60,D60,1/(D60+300))</f>
        <v>0</v>
      </c>
      <c r="F60">
        <v>0</v>
      </c>
      <c r="G60" s="9">
        <f t="shared" si="10"/>
        <v>0</v>
      </c>
      <c r="H60">
        <v>0</v>
      </c>
      <c r="I60" s="9">
        <f t="shared" si="11"/>
        <v>0</v>
      </c>
      <c r="J60">
        <v>0</v>
      </c>
      <c r="K60" s="9">
        <f t="shared" si="12"/>
        <v>0</v>
      </c>
      <c r="L60">
        <v>0</v>
      </c>
      <c r="M60" s="9">
        <f t="shared" si="13"/>
        <v>0</v>
      </c>
      <c r="N60">
        <v>0</v>
      </c>
      <c r="O60">
        <v>0</v>
      </c>
    </row>
    <row r="61" spans="1:15" x14ac:dyDescent="0.25">
      <c r="A61">
        <f t="shared" si="9"/>
        <v>16200</v>
      </c>
      <c r="B61" s="9">
        <v>0</v>
      </c>
      <c r="C61" s="9">
        <f t="shared" si="14"/>
        <v>0</v>
      </c>
      <c r="D61" s="9">
        <v>0</v>
      </c>
      <c r="E61" s="9">
        <f t="shared" si="16"/>
        <v>0</v>
      </c>
      <c r="F61">
        <v>0</v>
      </c>
      <c r="G61" s="9">
        <f t="shared" ref="G61:G74" si="17">PRODUCT(A61,F61,1/(F61+300))</f>
        <v>0</v>
      </c>
      <c r="H61">
        <v>0</v>
      </c>
      <c r="I61" s="9">
        <f t="shared" si="11"/>
        <v>0</v>
      </c>
      <c r="J61">
        <v>0</v>
      </c>
      <c r="K61" s="9">
        <f t="shared" si="12"/>
        <v>0</v>
      </c>
      <c r="L61">
        <v>0</v>
      </c>
      <c r="M61" s="9">
        <f t="shared" si="13"/>
        <v>0</v>
      </c>
      <c r="N61">
        <v>0</v>
      </c>
      <c r="O61">
        <v>0</v>
      </c>
    </row>
    <row r="62" spans="1:15" x14ac:dyDescent="0.25">
      <c r="A62">
        <f t="shared" si="9"/>
        <v>17200</v>
      </c>
      <c r="B62" s="9">
        <v>0</v>
      </c>
      <c r="C62" s="9">
        <f t="shared" si="14"/>
        <v>0</v>
      </c>
      <c r="D62" s="9">
        <v>0</v>
      </c>
      <c r="E62" s="9">
        <f t="shared" si="16"/>
        <v>0</v>
      </c>
      <c r="F62">
        <v>0</v>
      </c>
      <c r="G62" s="9">
        <f t="shared" si="17"/>
        <v>0</v>
      </c>
      <c r="H62">
        <v>0</v>
      </c>
      <c r="I62" s="9">
        <f t="shared" ref="I62:I74" si="18">PRODUCT(A62,H62,1/(H62+300))</f>
        <v>0</v>
      </c>
      <c r="J62">
        <v>0</v>
      </c>
      <c r="K62" s="9">
        <f t="shared" si="12"/>
        <v>0</v>
      </c>
      <c r="L62">
        <v>0</v>
      </c>
      <c r="M62" s="9">
        <f t="shared" si="13"/>
        <v>0</v>
      </c>
      <c r="N62">
        <v>0</v>
      </c>
      <c r="O62">
        <v>0</v>
      </c>
    </row>
    <row r="63" spans="1:15" x14ac:dyDescent="0.25">
      <c r="A63">
        <f t="shared" si="9"/>
        <v>18200</v>
      </c>
      <c r="B63" s="9">
        <v>0</v>
      </c>
      <c r="C63" s="9">
        <f t="shared" si="14"/>
        <v>0</v>
      </c>
      <c r="D63" s="9">
        <v>0</v>
      </c>
      <c r="E63" s="9">
        <f t="shared" si="16"/>
        <v>0</v>
      </c>
      <c r="F63">
        <v>0</v>
      </c>
      <c r="G63" s="9">
        <f t="shared" si="17"/>
        <v>0</v>
      </c>
      <c r="H63">
        <v>0</v>
      </c>
      <c r="I63" s="9">
        <f t="shared" si="18"/>
        <v>0</v>
      </c>
      <c r="J63">
        <v>0</v>
      </c>
      <c r="K63" s="9">
        <f t="shared" si="12"/>
        <v>0</v>
      </c>
      <c r="L63">
        <v>0</v>
      </c>
      <c r="M63" s="9">
        <f t="shared" si="13"/>
        <v>0</v>
      </c>
      <c r="N63">
        <v>0</v>
      </c>
      <c r="O63">
        <v>0</v>
      </c>
    </row>
    <row r="64" spans="1:15" x14ac:dyDescent="0.25">
      <c r="A64">
        <f t="shared" si="9"/>
        <v>19200</v>
      </c>
      <c r="B64" s="9">
        <v>0</v>
      </c>
      <c r="C64" s="9">
        <f t="shared" si="14"/>
        <v>0</v>
      </c>
      <c r="D64" s="9">
        <v>0</v>
      </c>
      <c r="E64" s="9">
        <f t="shared" si="16"/>
        <v>0</v>
      </c>
      <c r="F64">
        <v>0</v>
      </c>
      <c r="G64" s="9">
        <f t="shared" si="17"/>
        <v>0</v>
      </c>
      <c r="H64">
        <v>0</v>
      </c>
      <c r="I64" s="9">
        <f t="shared" si="18"/>
        <v>0</v>
      </c>
      <c r="J64">
        <v>0</v>
      </c>
      <c r="K64" s="9">
        <f t="shared" si="12"/>
        <v>0</v>
      </c>
      <c r="L64">
        <v>0</v>
      </c>
      <c r="M64" s="9">
        <f t="shared" si="13"/>
        <v>0</v>
      </c>
      <c r="N64">
        <v>0</v>
      </c>
      <c r="O64">
        <v>0</v>
      </c>
    </row>
    <row r="65" spans="1:15" x14ac:dyDescent="0.25">
      <c r="A65">
        <f t="shared" si="9"/>
        <v>20200</v>
      </c>
      <c r="B65" s="9">
        <v>0</v>
      </c>
      <c r="C65" s="9">
        <f t="shared" si="14"/>
        <v>0</v>
      </c>
      <c r="D65" s="9">
        <v>0</v>
      </c>
      <c r="E65" s="9">
        <f>PRODUCT(A65,D65,1/(D65+300))</f>
        <v>0</v>
      </c>
      <c r="F65">
        <v>0</v>
      </c>
      <c r="G65" s="9">
        <f t="shared" si="17"/>
        <v>0</v>
      </c>
      <c r="H65">
        <v>0</v>
      </c>
      <c r="I65" s="9">
        <f t="shared" si="18"/>
        <v>0</v>
      </c>
      <c r="J65">
        <v>0</v>
      </c>
      <c r="K65" s="9">
        <f t="shared" si="12"/>
        <v>0</v>
      </c>
      <c r="L65">
        <v>0</v>
      </c>
      <c r="M65" s="9">
        <f t="shared" si="13"/>
        <v>0</v>
      </c>
      <c r="N65">
        <v>0</v>
      </c>
      <c r="O65">
        <v>0</v>
      </c>
    </row>
    <row r="66" spans="1:15" x14ac:dyDescent="0.25">
      <c r="A66" s="16">
        <f t="shared" si="9"/>
        <v>21200</v>
      </c>
      <c r="B66" s="9">
        <v>0</v>
      </c>
      <c r="C66">
        <v>0</v>
      </c>
      <c r="D66" s="9">
        <v>0</v>
      </c>
      <c r="E66" s="9">
        <f t="shared" ref="E66:E69" si="19">PRODUCT(A66,D66,1/(D66+300))</f>
        <v>0</v>
      </c>
      <c r="F66">
        <v>0</v>
      </c>
      <c r="G66" s="9">
        <f t="shared" si="17"/>
        <v>0</v>
      </c>
      <c r="H66">
        <v>0</v>
      </c>
      <c r="I66" s="9">
        <f t="shared" si="18"/>
        <v>0</v>
      </c>
      <c r="J66">
        <v>0</v>
      </c>
      <c r="K66" s="9">
        <f t="shared" si="12"/>
        <v>0</v>
      </c>
      <c r="L66">
        <v>0</v>
      </c>
      <c r="M66" s="9">
        <f t="shared" si="13"/>
        <v>0</v>
      </c>
      <c r="N66">
        <v>0</v>
      </c>
      <c r="O66">
        <v>0</v>
      </c>
    </row>
    <row r="67" spans="1:15" x14ac:dyDescent="0.25">
      <c r="A67">
        <f t="shared" si="9"/>
        <v>22200</v>
      </c>
      <c r="B67" s="9">
        <v>0</v>
      </c>
      <c r="C67">
        <v>0</v>
      </c>
      <c r="D67" s="9">
        <v>0</v>
      </c>
      <c r="E67" s="9">
        <f t="shared" si="19"/>
        <v>0</v>
      </c>
      <c r="F67">
        <v>0</v>
      </c>
      <c r="G67" s="9">
        <f t="shared" si="17"/>
        <v>0</v>
      </c>
      <c r="H67">
        <v>0</v>
      </c>
      <c r="I67" s="9">
        <f t="shared" si="18"/>
        <v>0</v>
      </c>
      <c r="J67">
        <v>0</v>
      </c>
      <c r="K67" s="9">
        <f t="shared" si="12"/>
        <v>0</v>
      </c>
      <c r="L67">
        <v>0</v>
      </c>
      <c r="M67" s="9">
        <f t="shared" si="13"/>
        <v>0</v>
      </c>
      <c r="N67">
        <v>0</v>
      </c>
      <c r="O67">
        <v>0</v>
      </c>
    </row>
    <row r="68" spans="1:15" x14ac:dyDescent="0.25">
      <c r="A68">
        <f t="shared" si="9"/>
        <v>23200</v>
      </c>
      <c r="B68" s="9">
        <v>0</v>
      </c>
      <c r="C68">
        <v>0</v>
      </c>
      <c r="D68" s="9">
        <v>0</v>
      </c>
      <c r="E68" s="9">
        <f t="shared" si="19"/>
        <v>0</v>
      </c>
      <c r="F68">
        <v>0</v>
      </c>
      <c r="G68" s="9">
        <f t="shared" si="17"/>
        <v>0</v>
      </c>
      <c r="H68">
        <v>0</v>
      </c>
      <c r="I68" s="9">
        <f t="shared" si="18"/>
        <v>0</v>
      </c>
      <c r="J68">
        <v>0</v>
      </c>
      <c r="K68" s="9">
        <f t="shared" si="12"/>
        <v>0</v>
      </c>
      <c r="L68">
        <v>0</v>
      </c>
      <c r="M68" s="9">
        <f t="shared" si="13"/>
        <v>0</v>
      </c>
      <c r="N68">
        <v>0</v>
      </c>
      <c r="O68">
        <v>0</v>
      </c>
    </row>
    <row r="69" spans="1:15" x14ac:dyDescent="0.25">
      <c r="A69" s="19">
        <f t="shared" si="9"/>
        <v>24200</v>
      </c>
      <c r="B69" s="9">
        <v>0</v>
      </c>
      <c r="C69">
        <v>0</v>
      </c>
      <c r="D69" s="9">
        <v>0</v>
      </c>
      <c r="E69" s="9">
        <f t="shared" si="19"/>
        <v>0</v>
      </c>
      <c r="F69">
        <v>0</v>
      </c>
      <c r="G69" s="9">
        <f t="shared" si="17"/>
        <v>0</v>
      </c>
      <c r="H69">
        <v>0</v>
      </c>
      <c r="I69" s="9">
        <f t="shared" si="18"/>
        <v>0</v>
      </c>
      <c r="J69">
        <v>0</v>
      </c>
      <c r="K69" s="9">
        <f t="shared" si="12"/>
        <v>0</v>
      </c>
      <c r="L69">
        <v>0</v>
      </c>
      <c r="M69" s="9">
        <f t="shared" si="13"/>
        <v>0</v>
      </c>
      <c r="N69">
        <v>0</v>
      </c>
      <c r="O69">
        <v>0</v>
      </c>
    </row>
    <row r="70" spans="1:15" x14ac:dyDescent="0.25">
      <c r="A70">
        <f t="shared" si="9"/>
        <v>25200</v>
      </c>
      <c r="B70" s="9">
        <v>0</v>
      </c>
      <c r="C70">
        <v>0</v>
      </c>
      <c r="D70">
        <v>0</v>
      </c>
      <c r="E70">
        <v>0</v>
      </c>
      <c r="F70">
        <v>0</v>
      </c>
      <c r="G70" s="9">
        <f t="shared" si="17"/>
        <v>0</v>
      </c>
      <c r="H70">
        <v>0</v>
      </c>
      <c r="I70" s="9">
        <f t="shared" si="18"/>
        <v>0</v>
      </c>
      <c r="J70">
        <v>0</v>
      </c>
      <c r="K70" s="9">
        <f t="shared" si="12"/>
        <v>0</v>
      </c>
      <c r="L70">
        <v>0</v>
      </c>
      <c r="M70" s="9">
        <f t="shared" si="13"/>
        <v>0</v>
      </c>
      <c r="N70">
        <v>0</v>
      </c>
      <c r="O70">
        <v>0</v>
      </c>
    </row>
    <row r="71" spans="1:15" x14ac:dyDescent="0.25">
      <c r="A71">
        <f t="shared" si="9"/>
        <v>26200</v>
      </c>
      <c r="B71" s="9">
        <v>0</v>
      </c>
      <c r="C71">
        <v>0</v>
      </c>
      <c r="D71">
        <v>0</v>
      </c>
      <c r="E71">
        <v>0</v>
      </c>
      <c r="F71">
        <v>0</v>
      </c>
      <c r="G71" s="9">
        <f t="shared" si="17"/>
        <v>0</v>
      </c>
      <c r="H71">
        <v>0</v>
      </c>
      <c r="I71" s="9">
        <f t="shared" si="18"/>
        <v>0</v>
      </c>
      <c r="J71">
        <v>0</v>
      </c>
      <c r="K71" s="9">
        <f t="shared" si="12"/>
        <v>0</v>
      </c>
      <c r="L71">
        <v>0</v>
      </c>
      <c r="M71" s="9">
        <f t="shared" si="13"/>
        <v>0</v>
      </c>
      <c r="N71">
        <v>0</v>
      </c>
      <c r="O71">
        <v>0</v>
      </c>
    </row>
    <row r="72" spans="1:15" x14ac:dyDescent="0.25">
      <c r="A72">
        <f t="shared" si="9"/>
        <v>27200</v>
      </c>
      <c r="B72" s="9">
        <v>0</v>
      </c>
      <c r="C72">
        <v>0</v>
      </c>
      <c r="D72">
        <v>0</v>
      </c>
      <c r="E72">
        <v>0</v>
      </c>
      <c r="F72">
        <v>0</v>
      </c>
      <c r="G72" s="9">
        <f t="shared" si="17"/>
        <v>0</v>
      </c>
      <c r="H72">
        <v>0</v>
      </c>
      <c r="I72" s="9">
        <f t="shared" si="18"/>
        <v>0</v>
      </c>
      <c r="J72">
        <v>0</v>
      </c>
      <c r="K72" s="9">
        <f t="shared" si="12"/>
        <v>0</v>
      </c>
      <c r="L72">
        <v>0</v>
      </c>
      <c r="M72" s="9">
        <f t="shared" si="13"/>
        <v>0</v>
      </c>
      <c r="N72">
        <v>0</v>
      </c>
      <c r="O72">
        <v>0</v>
      </c>
    </row>
    <row r="73" spans="1:15" x14ac:dyDescent="0.25">
      <c r="A73">
        <f t="shared" si="9"/>
        <v>28200</v>
      </c>
      <c r="B73" s="9">
        <v>0</v>
      </c>
      <c r="C73">
        <v>0</v>
      </c>
      <c r="D73">
        <v>0</v>
      </c>
      <c r="E73">
        <v>0</v>
      </c>
      <c r="F73">
        <v>0</v>
      </c>
      <c r="G73" s="9">
        <f t="shared" si="17"/>
        <v>0</v>
      </c>
      <c r="H73">
        <v>0</v>
      </c>
      <c r="I73" s="9">
        <f t="shared" si="18"/>
        <v>0</v>
      </c>
      <c r="J73">
        <v>0</v>
      </c>
      <c r="K73" s="9">
        <f t="shared" si="12"/>
        <v>0</v>
      </c>
      <c r="L73">
        <v>0</v>
      </c>
      <c r="M73" s="9">
        <f t="shared" si="13"/>
        <v>0</v>
      </c>
      <c r="N73">
        <v>0</v>
      </c>
      <c r="O73">
        <v>0</v>
      </c>
    </row>
    <row r="74" spans="1:15" x14ac:dyDescent="0.25">
      <c r="A74" s="19">
        <f>SUM(A73,1000)</f>
        <v>29200</v>
      </c>
      <c r="B74" s="9">
        <v>0</v>
      </c>
      <c r="C74">
        <v>0</v>
      </c>
      <c r="D74">
        <v>0</v>
      </c>
      <c r="E74">
        <v>0</v>
      </c>
      <c r="F74">
        <v>0</v>
      </c>
      <c r="G74" s="9">
        <f t="shared" si="17"/>
        <v>0</v>
      </c>
      <c r="H74">
        <v>0</v>
      </c>
      <c r="I74" s="9">
        <f t="shared" si="18"/>
        <v>0</v>
      </c>
      <c r="J74">
        <v>0</v>
      </c>
      <c r="K74" s="9">
        <f t="shared" si="12"/>
        <v>0</v>
      </c>
      <c r="L74">
        <v>0</v>
      </c>
      <c r="M74" s="9">
        <f t="shared" si="13"/>
        <v>0</v>
      </c>
      <c r="N74">
        <v>0</v>
      </c>
      <c r="O74">
        <v>0</v>
      </c>
    </row>
    <row r="75" spans="1:15" x14ac:dyDescent="0.25">
      <c r="A75">
        <f t="shared" si="9"/>
        <v>30200</v>
      </c>
      <c r="B75" s="9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9">
        <f t="shared" si="12"/>
        <v>0</v>
      </c>
      <c r="L75">
        <v>0</v>
      </c>
      <c r="M75" s="9">
        <f t="shared" si="13"/>
        <v>0</v>
      </c>
      <c r="N75">
        <v>0</v>
      </c>
      <c r="O75">
        <v>0</v>
      </c>
    </row>
    <row r="76" spans="1:15" x14ac:dyDescent="0.25">
      <c r="A76">
        <f t="shared" si="9"/>
        <v>31200</v>
      </c>
      <c r="B76" s="9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s="9">
        <f t="shared" si="13"/>
        <v>0</v>
      </c>
      <c r="N76">
        <v>0</v>
      </c>
      <c r="O76">
        <v>0</v>
      </c>
    </row>
    <row r="77" spans="1:15" x14ac:dyDescent="0.25">
      <c r="A77">
        <f t="shared" si="9"/>
        <v>32200</v>
      </c>
      <c r="B77" s="9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s="9">
        <f t="shared" si="13"/>
        <v>0</v>
      </c>
      <c r="N77">
        <v>0</v>
      </c>
      <c r="O77">
        <v>0</v>
      </c>
    </row>
    <row r="78" spans="1:15" x14ac:dyDescent="0.25">
      <c r="A78">
        <f t="shared" si="9"/>
        <v>33200</v>
      </c>
      <c r="B78" s="9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9">
        <f t="shared" si="13"/>
        <v>0</v>
      </c>
      <c r="N78">
        <v>0</v>
      </c>
      <c r="O78">
        <v>0</v>
      </c>
    </row>
    <row r="79" spans="1:15" x14ac:dyDescent="0.25">
      <c r="A79">
        <f t="shared" si="9"/>
        <v>34200</v>
      </c>
      <c r="B79" s="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>
        <f t="shared" si="9"/>
        <v>35200</v>
      </c>
      <c r="B80" s="9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>
        <f t="shared" si="9"/>
        <v>36200</v>
      </c>
      <c r="B81" s="9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51</v>
      </c>
      <c r="C82" s="16">
        <v>3200</v>
      </c>
      <c r="D82" s="16"/>
      <c r="E82" s="16">
        <v>3200</v>
      </c>
      <c r="F82" s="16"/>
      <c r="G82" s="16">
        <v>3200</v>
      </c>
      <c r="H82" s="16"/>
      <c r="I82" s="16">
        <v>3200</v>
      </c>
      <c r="J82" s="16"/>
      <c r="K82" s="16">
        <v>0</v>
      </c>
      <c r="L82" s="16"/>
      <c r="M82" s="16">
        <v>0</v>
      </c>
      <c r="N82">
        <v>0</v>
      </c>
      <c r="O82">
        <v>0</v>
      </c>
    </row>
    <row r="83" spans="1:15" x14ac:dyDescent="0.25">
      <c r="A83" t="s">
        <v>50</v>
      </c>
      <c r="C83" s="16">
        <v>11200</v>
      </c>
      <c r="D83" s="16"/>
      <c r="E83" s="16">
        <v>11200</v>
      </c>
      <c r="F83" s="16"/>
      <c r="G83" s="16">
        <v>13200</v>
      </c>
      <c r="H83" s="16"/>
      <c r="I83" s="16">
        <v>14200</v>
      </c>
      <c r="J83" s="16"/>
      <c r="K83" s="16">
        <v>0</v>
      </c>
      <c r="L83" s="16"/>
      <c r="M83" s="16">
        <v>0</v>
      </c>
      <c r="N83">
        <v>0</v>
      </c>
      <c r="O83">
        <v>0</v>
      </c>
    </row>
    <row r="84" spans="1:15" x14ac:dyDescent="0.25">
      <c r="A84" t="s">
        <v>52</v>
      </c>
      <c r="C84" s="16">
        <v>2100</v>
      </c>
      <c r="D84" s="16"/>
      <c r="E84" s="16">
        <v>2100</v>
      </c>
      <c r="F84" s="16"/>
      <c r="G84" s="16">
        <v>2000</v>
      </c>
      <c r="H84" s="16"/>
      <c r="I84" s="16">
        <v>2000</v>
      </c>
      <c r="J84" s="16"/>
      <c r="K84" s="16">
        <v>0</v>
      </c>
      <c r="L84" s="16"/>
      <c r="M84" s="16">
        <v>0</v>
      </c>
      <c r="N84">
        <v>0</v>
      </c>
      <c r="O84">
        <v>0</v>
      </c>
    </row>
    <row r="85" spans="1:15" x14ac:dyDescent="0.25">
      <c r="A85" t="s">
        <v>53</v>
      </c>
      <c r="C85" s="16">
        <v>8700</v>
      </c>
      <c r="D85" s="16"/>
      <c r="E85" s="16">
        <v>8700</v>
      </c>
      <c r="F85" s="16"/>
      <c r="G85" s="16">
        <v>10200</v>
      </c>
      <c r="H85" s="16"/>
      <c r="I85" s="16">
        <v>10800</v>
      </c>
      <c r="J85" s="16"/>
      <c r="K85" s="16">
        <v>0</v>
      </c>
      <c r="L85" s="16"/>
      <c r="M85" s="16">
        <v>0</v>
      </c>
      <c r="N85">
        <v>0</v>
      </c>
      <c r="O85">
        <v>0</v>
      </c>
    </row>
    <row r="86" spans="1:15" x14ac:dyDescent="0.25">
      <c r="A86" s="25" t="s">
        <v>77</v>
      </c>
      <c r="B86" s="26"/>
      <c r="C86" s="16">
        <v>5600</v>
      </c>
      <c r="D86" s="16"/>
      <c r="E86" s="16">
        <v>5600</v>
      </c>
      <c r="F86" s="16"/>
      <c r="G86" s="16">
        <v>5600</v>
      </c>
      <c r="H86" s="16"/>
      <c r="I86" s="16">
        <v>5600</v>
      </c>
      <c r="J86" s="16"/>
      <c r="K86" s="16">
        <v>0</v>
      </c>
      <c r="L86" s="16"/>
      <c r="M86" s="16">
        <v>0</v>
      </c>
      <c r="N86">
        <v>0</v>
      </c>
      <c r="O86">
        <v>0</v>
      </c>
    </row>
    <row r="87" spans="1:15" x14ac:dyDescent="0.25">
      <c r="A87" s="25" t="s">
        <v>58</v>
      </c>
      <c r="B87" s="26"/>
      <c r="C87" s="16">
        <v>3500</v>
      </c>
      <c r="D87" s="16"/>
      <c r="E87" s="16">
        <v>3500</v>
      </c>
      <c r="F87" s="16"/>
      <c r="G87" s="16">
        <v>3500</v>
      </c>
      <c r="H87" s="16"/>
      <c r="I87" s="16">
        <v>3500</v>
      </c>
      <c r="J87" s="16"/>
      <c r="K87" s="16">
        <v>0</v>
      </c>
      <c r="L87" s="16"/>
      <c r="M87" s="16">
        <v>0</v>
      </c>
      <c r="N87">
        <v>0</v>
      </c>
      <c r="O87">
        <v>0</v>
      </c>
    </row>
    <row r="89" spans="1:15" ht="28.5" customHeight="1" x14ac:dyDescent="0.25">
      <c r="A89" s="25" t="s">
        <v>79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1:15" x14ac:dyDescent="0.25">
      <c r="A90" s="25" t="s">
        <v>39</v>
      </c>
      <c r="B90" s="24" t="s">
        <v>70</v>
      </c>
      <c r="C90" s="24"/>
      <c r="D90" s="24" t="s">
        <v>71</v>
      </c>
      <c r="E90" s="24"/>
      <c r="F90" s="24" t="s">
        <v>43</v>
      </c>
      <c r="G90" s="24"/>
      <c r="H90" s="24" t="s">
        <v>44</v>
      </c>
      <c r="I90" s="24"/>
      <c r="J90" s="24" t="s">
        <v>45</v>
      </c>
      <c r="K90" s="24"/>
      <c r="L90" s="24" t="s">
        <v>46</v>
      </c>
      <c r="M90" s="24"/>
      <c r="N90" s="24" t="s">
        <v>47</v>
      </c>
      <c r="O90" s="24"/>
    </row>
    <row r="91" spans="1:15" x14ac:dyDescent="0.25">
      <c r="A91" s="25"/>
      <c r="B91" t="s">
        <v>40</v>
      </c>
      <c r="C91" t="s">
        <v>41</v>
      </c>
      <c r="D91" t="s">
        <v>40</v>
      </c>
      <c r="E91" t="s">
        <v>41</v>
      </c>
      <c r="F91" t="s">
        <v>40</v>
      </c>
      <c r="G91" t="s">
        <v>41</v>
      </c>
      <c r="H91" t="s">
        <v>40</v>
      </c>
      <c r="I91" t="s">
        <v>41</v>
      </c>
      <c r="J91" t="s">
        <v>40</v>
      </c>
      <c r="K91" t="s">
        <v>41</v>
      </c>
      <c r="L91" t="s">
        <v>40</v>
      </c>
      <c r="M91" t="s">
        <v>41</v>
      </c>
      <c r="N91" t="s">
        <v>40</v>
      </c>
      <c r="O91" t="s">
        <v>41</v>
      </c>
    </row>
    <row r="92" spans="1:15" x14ac:dyDescent="0.25">
      <c r="A92" s="4">
        <v>3200</v>
      </c>
      <c r="B92">
        <v>0</v>
      </c>
      <c r="C92">
        <f>PRODUCT(A92,B92,1/(B92+420))</f>
        <v>0</v>
      </c>
      <c r="D92">
        <v>0</v>
      </c>
      <c r="E92">
        <f>PRODUCT(A92,D92,1/(D92+420))</f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>
        <f>SUM(A92,1000)</f>
        <v>4200</v>
      </c>
      <c r="B93">
        <v>330</v>
      </c>
      <c r="C93">
        <f t="shared" ref="C93:C100" si="20">PRODUCT(A93,B93,1/(B93+420))</f>
        <v>1848</v>
      </c>
      <c r="D93">
        <v>330</v>
      </c>
      <c r="E93">
        <f t="shared" ref="E93:E100" si="21">PRODUCT(A93,D93,1/(D93+420))</f>
        <v>1848</v>
      </c>
      <c r="F93">
        <v>290</v>
      </c>
      <c r="G93" s="9">
        <f>PRODUCT(A93,F93,1/(F93+420))</f>
        <v>1715.4929577464791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>
        <f t="shared" ref="A94:A125" si="22">SUM(A93,1000)</f>
        <v>5200</v>
      </c>
      <c r="B94">
        <f>SUM(B93,20)</f>
        <v>350</v>
      </c>
      <c r="C94" s="9">
        <f t="shared" si="20"/>
        <v>2363.6363636363635</v>
      </c>
      <c r="D94">
        <f>SUM(D93,20)</f>
        <v>350</v>
      </c>
      <c r="E94" s="9">
        <f t="shared" si="21"/>
        <v>2363.6363636363635</v>
      </c>
      <c r="F94">
        <v>300</v>
      </c>
      <c r="G94" s="9">
        <f t="shared" ref="G94:G104" si="23">PRODUCT(A94,F94,1/(F94+420))</f>
        <v>2166.666666666667</v>
      </c>
      <c r="H94">
        <v>280</v>
      </c>
      <c r="I94" s="9">
        <f>PRODUCT(A94,H94,1/(H94+420))</f>
        <v>2080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>
        <f t="shared" si="22"/>
        <v>6200</v>
      </c>
      <c r="B95">
        <f>SUM(B94,21)</f>
        <v>371</v>
      </c>
      <c r="C95" s="9">
        <f t="shared" si="20"/>
        <v>2907.964601769912</v>
      </c>
      <c r="D95">
        <f>SUM(D94,21)</f>
        <v>371</v>
      </c>
      <c r="E95" s="9">
        <f t="shared" si="21"/>
        <v>2907.964601769912</v>
      </c>
      <c r="F95">
        <f>SUM(F94,25)</f>
        <v>325</v>
      </c>
      <c r="G95" s="9">
        <f t="shared" si="23"/>
        <v>2704.6979865771809</v>
      </c>
      <c r="H95">
        <v>290</v>
      </c>
      <c r="I95" s="9">
        <f t="shared" ref="I95:I105" si="24">PRODUCT(A95,H95,1/(H95+420))</f>
        <v>2532.3943661971834</v>
      </c>
      <c r="J95">
        <v>0</v>
      </c>
      <c r="K95" s="9">
        <f>PRODUCT(A95,J95,1/(J95+300))</f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>
        <f t="shared" si="22"/>
        <v>7200</v>
      </c>
      <c r="B96">
        <f>SUM(B95,22)</f>
        <v>393</v>
      </c>
      <c r="C96" s="9">
        <f t="shared" si="20"/>
        <v>3480.4428044280444</v>
      </c>
      <c r="D96">
        <f>SUM(D95,22)</f>
        <v>393</v>
      </c>
      <c r="E96" s="9">
        <f t="shared" si="21"/>
        <v>3480.4428044280444</v>
      </c>
      <c r="F96">
        <f>SUM(F95,20)</f>
        <v>345</v>
      </c>
      <c r="G96" s="9">
        <f t="shared" si="23"/>
        <v>3247.0588235294117</v>
      </c>
      <c r="H96">
        <v>300</v>
      </c>
      <c r="I96" s="9">
        <f t="shared" si="24"/>
        <v>3000</v>
      </c>
      <c r="J96">
        <v>0</v>
      </c>
      <c r="K96" s="9">
        <f t="shared" ref="K96:K119" si="25">PRODUCT(A96,J96,1/(J96+300))</f>
        <v>0</v>
      </c>
      <c r="L96">
        <v>0</v>
      </c>
      <c r="M96" s="9">
        <f>PRODUCT(A96,L96,1/(L96+300))</f>
        <v>0</v>
      </c>
      <c r="N96">
        <v>0</v>
      </c>
      <c r="O96">
        <v>0</v>
      </c>
    </row>
    <row r="97" spans="1:15" x14ac:dyDescent="0.25">
      <c r="A97">
        <f t="shared" si="22"/>
        <v>8200</v>
      </c>
      <c r="B97">
        <f>SUM(B96,24)</f>
        <v>417</v>
      </c>
      <c r="C97" s="9">
        <f t="shared" si="20"/>
        <v>4085.3046594982075</v>
      </c>
      <c r="D97">
        <f>SUM(D96,24)</f>
        <v>417</v>
      </c>
      <c r="E97" s="9">
        <f t="shared" si="21"/>
        <v>4085.3046594982075</v>
      </c>
      <c r="F97">
        <f>SUM(F96,21)</f>
        <v>366</v>
      </c>
      <c r="G97" s="9">
        <f t="shared" si="23"/>
        <v>3818.320610687023</v>
      </c>
      <c r="H97">
        <f>SUM(H96,25)</f>
        <v>325</v>
      </c>
      <c r="I97" s="9">
        <f t="shared" si="24"/>
        <v>3577.1812080536911</v>
      </c>
      <c r="J97">
        <v>0</v>
      </c>
      <c r="K97" s="9">
        <f t="shared" si="25"/>
        <v>0</v>
      </c>
      <c r="L97">
        <v>0</v>
      </c>
      <c r="M97" s="9">
        <f t="shared" ref="M97:M122" si="26">PRODUCT(A97,L97,1/(L97+300))</f>
        <v>0</v>
      </c>
      <c r="N97">
        <v>0</v>
      </c>
      <c r="O97">
        <v>0</v>
      </c>
    </row>
    <row r="98" spans="1:15" x14ac:dyDescent="0.25">
      <c r="A98">
        <f t="shared" si="22"/>
        <v>9200</v>
      </c>
      <c r="B98">
        <f>SUM(B97,25)</f>
        <v>442</v>
      </c>
      <c r="C98" s="9">
        <f t="shared" si="20"/>
        <v>4717.4013921113683</v>
      </c>
      <c r="D98">
        <f>SUM(D97,25)</f>
        <v>442</v>
      </c>
      <c r="E98" s="9">
        <f t="shared" si="21"/>
        <v>4717.4013921113683</v>
      </c>
      <c r="F98">
        <f>SUM(F97,22)</f>
        <v>388</v>
      </c>
      <c r="G98" s="9">
        <f t="shared" si="23"/>
        <v>4417.8217821782182</v>
      </c>
      <c r="H98">
        <f>SUM(H97,20)</f>
        <v>345</v>
      </c>
      <c r="I98" s="9">
        <f t="shared" si="24"/>
        <v>4149.0196078431372</v>
      </c>
      <c r="J98">
        <v>0</v>
      </c>
      <c r="K98" s="9">
        <f t="shared" si="25"/>
        <v>0</v>
      </c>
      <c r="L98">
        <v>0</v>
      </c>
      <c r="M98" s="9">
        <f t="shared" si="26"/>
        <v>0</v>
      </c>
      <c r="N98">
        <v>0</v>
      </c>
      <c r="O98">
        <v>0</v>
      </c>
    </row>
    <row r="99" spans="1:15" x14ac:dyDescent="0.25">
      <c r="A99">
        <f t="shared" si="22"/>
        <v>10200</v>
      </c>
      <c r="B99">
        <f>SUM(B98,26)</f>
        <v>468</v>
      </c>
      <c r="C99" s="9">
        <f t="shared" si="20"/>
        <v>5375.6756756756758</v>
      </c>
      <c r="D99">
        <f>SUM(D98,26)</f>
        <v>468</v>
      </c>
      <c r="E99" s="9">
        <f t="shared" si="21"/>
        <v>5375.6756756756758</v>
      </c>
      <c r="F99">
        <f>SUM(F98,24)</f>
        <v>412</v>
      </c>
      <c r="G99" s="9">
        <f t="shared" si="23"/>
        <v>5050.961538461539</v>
      </c>
      <c r="H99">
        <f>SUM(H98,21)</f>
        <v>366</v>
      </c>
      <c r="I99" s="9">
        <f t="shared" si="24"/>
        <v>4749.6183206106871</v>
      </c>
      <c r="J99">
        <v>0</v>
      </c>
      <c r="K99" s="9">
        <f t="shared" si="25"/>
        <v>0</v>
      </c>
      <c r="L99">
        <v>0</v>
      </c>
      <c r="M99" s="9">
        <f t="shared" si="26"/>
        <v>0</v>
      </c>
      <c r="N99">
        <v>0</v>
      </c>
      <c r="O99">
        <v>0</v>
      </c>
    </row>
    <row r="100" spans="1:15" x14ac:dyDescent="0.25">
      <c r="A100">
        <f t="shared" si="22"/>
        <v>11200</v>
      </c>
      <c r="B100">
        <f>SUM(B99,30)</f>
        <v>498</v>
      </c>
      <c r="C100" s="9">
        <f t="shared" si="20"/>
        <v>6075.8169934640528</v>
      </c>
      <c r="D100">
        <f>SUM(D99,30)</f>
        <v>498</v>
      </c>
      <c r="E100" s="9">
        <f t="shared" si="21"/>
        <v>6075.8169934640528</v>
      </c>
      <c r="F100">
        <f>SUM(F99,25)</f>
        <v>437</v>
      </c>
      <c r="G100" s="9">
        <f t="shared" si="23"/>
        <v>5711.085180863477</v>
      </c>
      <c r="H100">
        <f>SUM(H99,22)</f>
        <v>388</v>
      </c>
      <c r="I100" s="9">
        <f t="shared" si="24"/>
        <v>5378.2178217821784</v>
      </c>
      <c r="J100">
        <v>0</v>
      </c>
      <c r="K100" s="9">
        <f t="shared" si="25"/>
        <v>0</v>
      </c>
      <c r="L100">
        <v>0</v>
      </c>
      <c r="M100" s="9">
        <f t="shared" si="26"/>
        <v>0</v>
      </c>
      <c r="N100">
        <v>0</v>
      </c>
      <c r="O100">
        <v>0</v>
      </c>
    </row>
    <row r="101" spans="1:15" x14ac:dyDescent="0.25">
      <c r="A101">
        <f t="shared" si="22"/>
        <v>12200</v>
      </c>
      <c r="B101">
        <f>SUM(B100,30)</f>
        <v>528</v>
      </c>
      <c r="C101" s="9">
        <f t="shared" ref="C101:C109" si="27">PRODUCT(A101,B101,1/(B101+300))</f>
        <v>7779.710144927536</v>
      </c>
      <c r="D101">
        <f>SUM(D100,30)</f>
        <v>528</v>
      </c>
      <c r="E101" s="9">
        <f t="shared" ref="E101:E102" si="28">PRODUCT(A101,D101,1/(D101+300))</f>
        <v>7779.710144927536</v>
      </c>
      <c r="F101">
        <f>SUM(F100,26)</f>
        <v>463</v>
      </c>
      <c r="G101" s="9">
        <f t="shared" si="23"/>
        <v>6397.0554926387322</v>
      </c>
      <c r="H101">
        <f>SUM(H100,24)</f>
        <v>412</v>
      </c>
      <c r="I101" s="9">
        <f t="shared" si="24"/>
        <v>6041.3461538461543</v>
      </c>
      <c r="J101">
        <v>0</v>
      </c>
      <c r="K101" s="9">
        <f t="shared" si="25"/>
        <v>0</v>
      </c>
      <c r="L101">
        <v>0</v>
      </c>
      <c r="M101" s="9">
        <f t="shared" si="26"/>
        <v>0</v>
      </c>
      <c r="N101">
        <v>0</v>
      </c>
      <c r="O101">
        <v>0</v>
      </c>
    </row>
    <row r="102" spans="1:15" x14ac:dyDescent="0.25">
      <c r="A102">
        <f t="shared" si="22"/>
        <v>13200</v>
      </c>
      <c r="B102">
        <v>0</v>
      </c>
      <c r="C102">
        <f t="shared" si="27"/>
        <v>0</v>
      </c>
      <c r="D102" s="9">
        <v>0</v>
      </c>
      <c r="E102" s="9">
        <f t="shared" si="28"/>
        <v>0</v>
      </c>
      <c r="F102">
        <f>SUM(F101,29)</f>
        <v>492</v>
      </c>
      <c r="G102" s="9">
        <f t="shared" si="23"/>
        <v>7121.0526315789466</v>
      </c>
      <c r="H102">
        <f>SUM(H101,25)</f>
        <v>437</v>
      </c>
      <c r="I102" s="9">
        <f t="shared" si="24"/>
        <v>6730.9218203033834</v>
      </c>
      <c r="J102">
        <v>0</v>
      </c>
      <c r="K102" s="9">
        <f t="shared" si="25"/>
        <v>0</v>
      </c>
      <c r="L102">
        <v>0</v>
      </c>
      <c r="M102" s="9">
        <f t="shared" si="26"/>
        <v>0</v>
      </c>
      <c r="N102">
        <v>0</v>
      </c>
      <c r="O102">
        <v>0</v>
      </c>
    </row>
    <row r="103" spans="1:15" x14ac:dyDescent="0.25">
      <c r="A103">
        <f t="shared" si="22"/>
        <v>14200</v>
      </c>
      <c r="B103" s="9">
        <v>0</v>
      </c>
      <c r="C103" s="9">
        <f t="shared" si="27"/>
        <v>0</v>
      </c>
      <c r="D103" s="9">
        <v>0</v>
      </c>
      <c r="E103" s="9">
        <f>PRODUCT(A103,D103,1/(D103+300))</f>
        <v>0</v>
      </c>
      <c r="F103">
        <f>SUM(F102,29)</f>
        <v>521</v>
      </c>
      <c r="G103" s="9">
        <f t="shared" si="23"/>
        <v>7862.061636556854</v>
      </c>
      <c r="H103">
        <f>SUM(H102,26)</f>
        <v>463</v>
      </c>
      <c r="I103" s="9">
        <f t="shared" si="24"/>
        <v>7445.7531143827864</v>
      </c>
      <c r="J103">
        <v>0</v>
      </c>
      <c r="K103" s="9">
        <f t="shared" si="25"/>
        <v>0</v>
      </c>
      <c r="L103">
        <v>0</v>
      </c>
      <c r="M103" s="9">
        <f t="shared" si="26"/>
        <v>0</v>
      </c>
      <c r="N103">
        <v>0</v>
      </c>
      <c r="O103">
        <v>0</v>
      </c>
    </row>
    <row r="104" spans="1:15" x14ac:dyDescent="0.25">
      <c r="A104">
        <f t="shared" si="22"/>
        <v>15200</v>
      </c>
      <c r="B104" s="9">
        <v>0</v>
      </c>
      <c r="C104" s="9">
        <f t="shared" si="27"/>
        <v>0</v>
      </c>
      <c r="D104" s="9">
        <v>0</v>
      </c>
      <c r="E104" s="9">
        <f t="shared" ref="E104:E108" si="29">PRODUCT(A104,D104,1/(D104+300))</f>
        <v>0</v>
      </c>
      <c r="F104">
        <f>SUM(F103,26)</f>
        <v>547</v>
      </c>
      <c r="G104" s="9">
        <f t="shared" si="23"/>
        <v>8598.1385729058948</v>
      </c>
      <c r="H104">
        <f>SUM(H103,25)</f>
        <v>488</v>
      </c>
      <c r="I104" s="9">
        <f t="shared" si="24"/>
        <v>8169.1629955947146</v>
      </c>
      <c r="J104">
        <v>0</v>
      </c>
      <c r="K104" s="9">
        <f t="shared" si="25"/>
        <v>0</v>
      </c>
      <c r="L104">
        <v>0</v>
      </c>
      <c r="M104" s="9">
        <f t="shared" si="26"/>
        <v>0</v>
      </c>
      <c r="N104">
        <v>0</v>
      </c>
      <c r="O104">
        <v>0</v>
      </c>
    </row>
    <row r="105" spans="1:15" x14ac:dyDescent="0.25">
      <c r="A105">
        <f t="shared" si="22"/>
        <v>16200</v>
      </c>
      <c r="B105" s="9">
        <v>0</v>
      </c>
      <c r="C105" s="9">
        <f t="shared" si="27"/>
        <v>0</v>
      </c>
      <c r="D105" s="9">
        <v>0</v>
      </c>
      <c r="E105" s="9">
        <f t="shared" si="29"/>
        <v>0</v>
      </c>
      <c r="F105">
        <f>SUM(F104,25)</f>
        <v>572</v>
      </c>
      <c r="G105" s="9">
        <f t="shared" ref="G105:G118" si="30">PRODUCT(A105,F105,1/(F105+300))</f>
        <v>10626.605504587156</v>
      </c>
      <c r="H105">
        <f>SUM(H104,25)</f>
        <v>513</v>
      </c>
      <c r="I105" s="9">
        <f t="shared" si="24"/>
        <v>8907.3954983922831</v>
      </c>
      <c r="J105">
        <v>0</v>
      </c>
      <c r="K105" s="9">
        <f t="shared" si="25"/>
        <v>0</v>
      </c>
      <c r="L105">
        <v>0</v>
      </c>
      <c r="M105" s="9">
        <f t="shared" si="26"/>
        <v>0</v>
      </c>
      <c r="N105">
        <v>0</v>
      </c>
      <c r="O105">
        <v>0</v>
      </c>
    </row>
    <row r="106" spans="1:15" x14ac:dyDescent="0.25">
      <c r="A106">
        <f t="shared" si="22"/>
        <v>17200</v>
      </c>
      <c r="B106" s="9">
        <v>0</v>
      </c>
      <c r="C106" s="9">
        <f t="shared" si="27"/>
        <v>0</v>
      </c>
      <c r="D106" s="9">
        <v>0</v>
      </c>
      <c r="E106" s="9">
        <f t="shared" si="29"/>
        <v>0</v>
      </c>
      <c r="F106">
        <v>0</v>
      </c>
      <c r="G106" s="9">
        <f t="shared" si="30"/>
        <v>0</v>
      </c>
      <c r="H106">
        <f>SUM(H105,25)</f>
        <v>538</v>
      </c>
      <c r="I106" s="9">
        <f t="shared" ref="I106:I118" si="31">PRODUCT(A106,H106,1/(H106+300))</f>
        <v>11042.482100238663</v>
      </c>
      <c r="J106">
        <v>0</v>
      </c>
      <c r="K106" s="9">
        <f t="shared" si="25"/>
        <v>0</v>
      </c>
      <c r="L106">
        <v>0</v>
      </c>
      <c r="M106" s="9">
        <f t="shared" si="26"/>
        <v>0</v>
      </c>
      <c r="N106">
        <v>0</v>
      </c>
      <c r="O106">
        <v>0</v>
      </c>
    </row>
    <row r="107" spans="1:15" x14ac:dyDescent="0.25">
      <c r="A107">
        <f t="shared" si="22"/>
        <v>18200</v>
      </c>
      <c r="B107" s="9">
        <v>0</v>
      </c>
      <c r="C107" s="9">
        <f t="shared" si="27"/>
        <v>0</v>
      </c>
      <c r="D107" s="9">
        <v>0</v>
      </c>
      <c r="E107" s="9">
        <f t="shared" si="29"/>
        <v>0</v>
      </c>
      <c r="F107">
        <v>0</v>
      </c>
      <c r="G107" s="9">
        <f t="shared" si="30"/>
        <v>0</v>
      </c>
      <c r="H107">
        <v>0</v>
      </c>
      <c r="I107" s="9">
        <f t="shared" si="31"/>
        <v>0</v>
      </c>
      <c r="J107">
        <v>0</v>
      </c>
      <c r="K107" s="9">
        <f t="shared" si="25"/>
        <v>0</v>
      </c>
      <c r="L107">
        <v>0</v>
      </c>
      <c r="M107" s="9">
        <f t="shared" si="26"/>
        <v>0</v>
      </c>
      <c r="N107">
        <v>0</v>
      </c>
      <c r="O107">
        <v>0</v>
      </c>
    </row>
    <row r="108" spans="1:15" x14ac:dyDescent="0.25">
      <c r="A108">
        <f t="shared" si="22"/>
        <v>19200</v>
      </c>
      <c r="B108" s="9">
        <v>0</v>
      </c>
      <c r="C108" s="9">
        <f t="shared" si="27"/>
        <v>0</v>
      </c>
      <c r="D108" s="9">
        <v>0</v>
      </c>
      <c r="E108" s="9">
        <f t="shared" si="29"/>
        <v>0</v>
      </c>
      <c r="F108">
        <v>0</v>
      </c>
      <c r="G108" s="9">
        <f t="shared" si="30"/>
        <v>0</v>
      </c>
      <c r="H108">
        <v>0</v>
      </c>
      <c r="I108" s="9">
        <f t="shared" si="31"/>
        <v>0</v>
      </c>
      <c r="J108">
        <v>0</v>
      </c>
      <c r="K108" s="9">
        <f t="shared" si="25"/>
        <v>0</v>
      </c>
      <c r="L108">
        <v>0</v>
      </c>
      <c r="M108" s="9">
        <f t="shared" si="26"/>
        <v>0</v>
      </c>
      <c r="N108">
        <v>0</v>
      </c>
      <c r="O108">
        <v>0</v>
      </c>
    </row>
    <row r="109" spans="1:15" x14ac:dyDescent="0.25">
      <c r="A109">
        <f t="shared" si="22"/>
        <v>20200</v>
      </c>
      <c r="B109" s="9">
        <v>0</v>
      </c>
      <c r="C109" s="9">
        <f t="shared" si="27"/>
        <v>0</v>
      </c>
      <c r="D109" s="9">
        <v>0</v>
      </c>
      <c r="E109" s="9">
        <f>PRODUCT(A109,D109,1/(D109+300))</f>
        <v>0</v>
      </c>
      <c r="F109">
        <v>0</v>
      </c>
      <c r="G109" s="9">
        <f t="shared" si="30"/>
        <v>0</v>
      </c>
      <c r="H109">
        <v>0</v>
      </c>
      <c r="I109" s="9">
        <f t="shared" si="31"/>
        <v>0</v>
      </c>
      <c r="J109">
        <v>0</v>
      </c>
      <c r="K109" s="9">
        <f t="shared" si="25"/>
        <v>0</v>
      </c>
      <c r="L109">
        <v>0</v>
      </c>
      <c r="M109" s="9">
        <f t="shared" si="26"/>
        <v>0</v>
      </c>
      <c r="N109">
        <v>0</v>
      </c>
      <c r="O109">
        <v>0</v>
      </c>
    </row>
    <row r="110" spans="1:15" x14ac:dyDescent="0.25">
      <c r="A110" s="16">
        <f t="shared" si="22"/>
        <v>21200</v>
      </c>
      <c r="B110" s="9">
        <v>0</v>
      </c>
      <c r="C110">
        <v>0</v>
      </c>
      <c r="D110" s="9">
        <v>0</v>
      </c>
      <c r="E110" s="9">
        <f t="shared" ref="E110:E113" si="32">PRODUCT(A110,D110,1/(D110+300))</f>
        <v>0</v>
      </c>
      <c r="F110">
        <v>0</v>
      </c>
      <c r="G110" s="9">
        <f t="shared" si="30"/>
        <v>0</v>
      </c>
      <c r="H110">
        <v>0</v>
      </c>
      <c r="I110" s="9">
        <f t="shared" si="31"/>
        <v>0</v>
      </c>
      <c r="J110">
        <v>0</v>
      </c>
      <c r="K110" s="9">
        <f t="shared" si="25"/>
        <v>0</v>
      </c>
      <c r="L110">
        <v>0</v>
      </c>
      <c r="M110" s="9">
        <f t="shared" si="26"/>
        <v>0</v>
      </c>
      <c r="N110">
        <v>0</v>
      </c>
      <c r="O110">
        <v>0</v>
      </c>
    </row>
    <row r="111" spans="1:15" x14ac:dyDescent="0.25">
      <c r="A111">
        <f t="shared" si="22"/>
        <v>22200</v>
      </c>
      <c r="B111" s="9">
        <v>0</v>
      </c>
      <c r="C111">
        <v>0</v>
      </c>
      <c r="D111" s="9">
        <v>0</v>
      </c>
      <c r="E111" s="9">
        <f t="shared" si="32"/>
        <v>0</v>
      </c>
      <c r="F111">
        <v>0</v>
      </c>
      <c r="G111" s="9">
        <f t="shared" si="30"/>
        <v>0</v>
      </c>
      <c r="H111">
        <v>0</v>
      </c>
      <c r="I111" s="9">
        <f t="shared" si="31"/>
        <v>0</v>
      </c>
      <c r="J111">
        <v>0</v>
      </c>
      <c r="K111" s="9">
        <f t="shared" si="25"/>
        <v>0</v>
      </c>
      <c r="L111">
        <v>0</v>
      </c>
      <c r="M111" s="9">
        <f t="shared" si="26"/>
        <v>0</v>
      </c>
      <c r="N111">
        <v>0</v>
      </c>
      <c r="O111">
        <v>0</v>
      </c>
    </row>
    <row r="112" spans="1:15" x14ac:dyDescent="0.25">
      <c r="A112">
        <f t="shared" si="22"/>
        <v>23200</v>
      </c>
      <c r="B112" s="9">
        <v>0</v>
      </c>
      <c r="C112">
        <v>0</v>
      </c>
      <c r="D112" s="9">
        <v>0</v>
      </c>
      <c r="E112" s="9">
        <f t="shared" si="32"/>
        <v>0</v>
      </c>
      <c r="F112">
        <v>0</v>
      </c>
      <c r="G112" s="9">
        <f t="shared" si="30"/>
        <v>0</v>
      </c>
      <c r="H112">
        <v>0</v>
      </c>
      <c r="I112" s="9">
        <f t="shared" si="31"/>
        <v>0</v>
      </c>
      <c r="J112">
        <v>0</v>
      </c>
      <c r="K112" s="9">
        <f t="shared" si="25"/>
        <v>0</v>
      </c>
      <c r="L112">
        <v>0</v>
      </c>
      <c r="M112" s="9">
        <f t="shared" si="26"/>
        <v>0</v>
      </c>
      <c r="N112">
        <v>0</v>
      </c>
      <c r="O112">
        <v>0</v>
      </c>
    </row>
    <row r="113" spans="1:15" x14ac:dyDescent="0.25">
      <c r="A113" s="19">
        <f t="shared" si="22"/>
        <v>24200</v>
      </c>
      <c r="B113" s="9">
        <v>0</v>
      </c>
      <c r="C113">
        <v>0</v>
      </c>
      <c r="D113" s="9">
        <v>0</v>
      </c>
      <c r="E113" s="9">
        <f t="shared" si="32"/>
        <v>0</v>
      </c>
      <c r="F113">
        <v>0</v>
      </c>
      <c r="G113" s="9">
        <f t="shared" si="30"/>
        <v>0</v>
      </c>
      <c r="H113">
        <v>0</v>
      </c>
      <c r="I113" s="9">
        <f t="shared" si="31"/>
        <v>0</v>
      </c>
      <c r="J113">
        <v>0</v>
      </c>
      <c r="K113" s="9">
        <f t="shared" si="25"/>
        <v>0</v>
      </c>
      <c r="L113">
        <v>0</v>
      </c>
      <c r="M113" s="9">
        <f t="shared" si="26"/>
        <v>0</v>
      </c>
      <c r="N113">
        <v>0</v>
      </c>
      <c r="O113">
        <v>0</v>
      </c>
    </row>
    <row r="114" spans="1:15" x14ac:dyDescent="0.25">
      <c r="A114">
        <f t="shared" si="22"/>
        <v>25200</v>
      </c>
      <c r="B114" s="9">
        <v>0</v>
      </c>
      <c r="C114">
        <v>0</v>
      </c>
      <c r="D114">
        <v>0</v>
      </c>
      <c r="E114">
        <v>0</v>
      </c>
      <c r="F114">
        <v>0</v>
      </c>
      <c r="G114" s="9">
        <f t="shared" si="30"/>
        <v>0</v>
      </c>
      <c r="H114">
        <v>0</v>
      </c>
      <c r="I114" s="9">
        <f t="shared" si="31"/>
        <v>0</v>
      </c>
      <c r="J114">
        <v>0</v>
      </c>
      <c r="K114" s="9">
        <f t="shared" si="25"/>
        <v>0</v>
      </c>
      <c r="L114">
        <v>0</v>
      </c>
      <c r="M114" s="9">
        <f t="shared" si="26"/>
        <v>0</v>
      </c>
      <c r="N114">
        <v>0</v>
      </c>
      <c r="O114">
        <v>0</v>
      </c>
    </row>
    <row r="115" spans="1:15" x14ac:dyDescent="0.25">
      <c r="A115">
        <f t="shared" si="22"/>
        <v>26200</v>
      </c>
      <c r="B115" s="9">
        <v>0</v>
      </c>
      <c r="C115">
        <v>0</v>
      </c>
      <c r="D115">
        <v>0</v>
      </c>
      <c r="E115">
        <v>0</v>
      </c>
      <c r="F115">
        <v>0</v>
      </c>
      <c r="G115" s="9">
        <f t="shared" si="30"/>
        <v>0</v>
      </c>
      <c r="H115">
        <v>0</v>
      </c>
      <c r="I115" s="9">
        <f t="shared" si="31"/>
        <v>0</v>
      </c>
      <c r="J115">
        <v>0</v>
      </c>
      <c r="K115" s="9">
        <f t="shared" si="25"/>
        <v>0</v>
      </c>
      <c r="L115">
        <v>0</v>
      </c>
      <c r="M115" s="9">
        <f t="shared" si="26"/>
        <v>0</v>
      </c>
      <c r="N115">
        <v>0</v>
      </c>
      <c r="O115">
        <v>0</v>
      </c>
    </row>
    <row r="116" spans="1:15" x14ac:dyDescent="0.25">
      <c r="A116">
        <f t="shared" si="22"/>
        <v>27200</v>
      </c>
      <c r="B116" s="9">
        <v>0</v>
      </c>
      <c r="C116">
        <v>0</v>
      </c>
      <c r="D116">
        <v>0</v>
      </c>
      <c r="E116">
        <v>0</v>
      </c>
      <c r="F116">
        <v>0</v>
      </c>
      <c r="G116" s="9">
        <f t="shared" si="30"/>
        <v>0</v>
      </c>
      <c r="H116">
        <v>0</v>
      </c>
      <c r="I116" s="9">
        <f t="shared" si="31"/>
        <v>0</v>
      </c>
      <c r="J116">
        <v>0</v>
      </c>
      <c r="K116" s="9">
        <f t="shared" si="25"/>
        <v>0</v>
      </c>
      <c r="L116">
        <v>0</v>
      </c>
      <c r="M116" s="9">
        <f t="shared" si="26"/>
        <v>0</v>
      </c>
      <c r="N116">
        <v>0</v>
      </c>
      <c r="O116">
        <v>0</v>
      </c>
    </row>
    <row r="117" spans="1:15" x14ac:dyDescent="0.25">
      <c r="A117">
        <f t="shared" si="22"/>
        <v>28200</v>
      </c>
      <c r="B117" s="9">
        <v>0</v>
      </c>
      <c r="C117">
        <v>0</v>
      </c>
      <c r="D117">
        <v>0</v>
      </c>
      <c r="E117">
        <v>0</v>
      </c>
      <c r="F117">
        <v>0</v>
      </c>
      <c r="G117" s="9">
        <f t="shared" si="30"/>
        <v>0</v>
      </c>
      <c r="H117">
        <v>0</v>
      </c>
      <c r="I117" s="9">
        <f t="shared" si="31"/>
        <v>0</v>
      </c>
      <c r="J117">
        <v>0</v>
      </c>
      <c r="K117" s="9">
        <f t="shared" si="25"/>
        <v>0</v>
      </c>
      <c r="L117">
        <v>0</v>
      </c>
      <c r="M117" s="9">
        <f t="shared" si="26"/>
        <v>0</v>
      </c>
      <c r="N117">
        <v>0</v>
      </c>
      <c r="O117">
        <v>0</v>
      </c>
    </row>
    <row r="118" spans="1:15" x14ac:dyDescent="0.25">
      <c r="A118" s="19">
        <f>SUM(A117,1000)</f>
        <v>29200</v>
      </c>
      <c r="B118" s="9">
        <v>0</v>
      </c>
      <c r="C118">
        <v>0</v>
      </c>
      <c r="D118">
        <v>0</v>
      </c>
      <c r="E118">
        <v>0</v>
      </c>
      <c r="F118">
        <v>0</v>
      </c>
      <c r="G118" s="9">
        <f t="shared" si="30"/>
        <v>0</v>
      </c>
      <c r="H118">
        <v>0</v>
      </c>
      <c r="I118" s="9">
        <f t="shared" si="31"/>
        <v>0</v>
      </c>
      <c r="J118">
        <v>0</v>
      </c>
      <c r="K118" s="9">
        <f t="shared" si="25"/>
        <v>0</v>
      </c>
      <c r="L118">
        <v>0</v>
      </c>
      <c r="M118" s="9">
        <f t="shared" si="26"/>
        <v>0</v>
      </c>
      <c r="N118">
        <v>0</v>
      </c>
      <c r="O118">
        <v>0</v>
      </c>
    </row>
    <row r="119" spans="1:15" x14ac:dyDescent="0.25">
      <c r="A119">
        <f t="shared" si="22"/>
        <v>30200</v>
      </c>
      <c r="B119" s="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s="9">
        <f t="shared" si="25"/>
        <v>0</v>
      </c>
      <c r="L119">
        <v>0</v>
      </c>
      <c r="M119" s="9">
        <f t="shared" si="26"/>
        <v>0</v>
      </c>
      <c r="N119">
        <v>0</v>
      </c>
      <c r="O119">
        <v>0</v>
      </c>
    </row>
    <row r="120" spans="1:15" x14ac:dyDescent="0.25">
      <c r="A120">
        <f t="shared" si="22"/>
        <v>31200</v>
      </c>
      <c r="B120" s="9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s="9">
        <f t="shared" si="26"/>
        <v>0</v>
      </c>
      <c r="N120">
        <v>0</v>
      </c>
      <c r="O120">
        <v>0</v>
      </c>
    </row>
    <row r="121" spans="1:15" x14ac:dyDescent="0.25">
      <c r="A121">
        <f t="shared" si="22"/>
        <v>32200</v>
      </c>
      <c r="B121" s="9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s="9">
        <f t="shared" si="26"/>
        <v>0</v>
      </c>
      <c r="N121">
        <v>0</v>
      </c>
      <c r="O121">
        <v>0</v>
      </c>
    </row>
    <row r="122" spans="1:15" x14ac:dyDescent="0.25">
      <c r="A122">
        <f t="shared" si="22"/>
        <v>33200</v>
      </c>
      <c r="B122" s="9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s="9">
        <f t="shared" si="26"/>
        <v>0</v>
      </c>
      <c r="N122">
        <v>0</v>
      </c>
      <c r="O122">
        <v>0</v>
      </c>
    </row>
    <row r="123" spans="1:15" x14ac:dyDescent="0.25">
      <c r="A123">
        <f t="shared" si="22"/>
        <v>34200</v>
      </c>
      <c r="B123" s="9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>
        <f t="shared" si="22"/>
        <v>35200</v>
      </c>
      <c r="B124" s="9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>
        <f t="shared" si="22"/>
        <v>36200</v>
      </c>
      <c r="B125" s="9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t="s">
        <v>51</v>
      </c>
      <c r="C126" s="16">
        <v>4200</v>
      </c>
      <c r="D126" s="16"/>
      <c r="E126" s="16">
        <v>4200</v>
      </c>
      <c r="F126" s="16"/>
      <c r="G126" s="16">
        <v>4200</v>
      </c>
      <c r="H126" s="16"/>
      <c r="I126" s="16">
        <v>5200</v>
      </c>
      <c r="J126" s="16"/>
      <c r="K126" s="16">
        <v>0</v>
      </c>
      <c r="L126" s="16"/>
      <c r="M126" s="16">
        <v>0</v>
      </c>
      <c r="N126">
        <v>0</v>
      </c>
      <c r="O126">
        <v>0</v>
      </c>
    </row>
    <row r="127" spans="1:15" x14ac:dyDescent="0.25">
      <c r="A127" t="s">
        <v>50</v>
      </c>
      <c r="C127" s="16">
        <v>12200</v>
      </c>
      <c r="D127" s="16"/>
      <c r="E127" s="16">
        <v>12200</v>
      </c>
      <c r="F127" s="16"/>
      <c r="G127" s="16">
        <v>16200</v>
      </c>
      <c r="H127" s="16"/>
      <c r="I127" s="16">
        <v>17200</v>
      </c>
      <c r="J127" s="16"/>
      <c r="K127" s="16">
        <v>0</v>
      </c>
      <c r="L127" s="16"/>
      <c r="M127" s="16">
        <v>0</v>
      </c>
      <c r="N127">
        <v>0</v>
      </c>
      <c r="O127">
        <v>0</v>
      </c>
    </row>
    <row r="128" spans="1:15" x14ac:dyDescent="0.25">
      <c r="A128" t="s">
        <v>52</v>
      </c>
      <c r="C128" s="16">
        <v>1800</v>
      </c>
      <c r="D128" s="16"/>
      <c r="E128" s="16">
        <v>1800</v>
      </c>
      <c r="F128" s="16"/>
      <c r="G128" s="16">
        <v>1700</v>
      </c>
      <c r="H128" s="16"/>
      <c r="I128" s="16">
        <v>2000</v>
      </c>
      <c r="J128" s="16"/>
      <c r="K128" s="16">
        <v>0</v>
      </c>
      <c r="L128" s="16"/>
      <c r="M128" s="16">
        <v>0</v>
      </c>
      <c r="N128">
        <v>0</v>
      </c>
      <c r="O128">
        <v>0</v>
      </c>
    </row>
    <row r="129" spans="1:15" x14ac:dyDescent="0.25">
      <c r="A129" t="s">
        <v>53</v>
      </c>
      <c r="C129" s="16">
        <v>7800</v>
      </c>
      <c r="D129" s="16"/>
      <c r="E129" s="16">
        <v>7800</v>
      </c>
      <c r="F129" s="16"/>
      <c r="G129" s="16">
        <v>10700</v>
      </c>
      <c r="H129" s="16"/>
      <c r="I129" s="16">
        <v>11100</v>
      </c>
      <c r="J129" s="16"/>
      <c r="K129" s="16">
        <v>0</v>
      </c>
      <c r="L129" s="16"/>
      <c r="M129" s="16">
        <v>0</v>
      </c>
      <c r="N129">
        <v>0</v>
      </c>
      <c r="O129">
        <v>0</v>
      </c>
    </row>
    <row r="130" spans="1:15" x14ac:dyDescent="0.25">
      <c r="A130" s="25" t="s">
        <v>77</v>
      </c>
      <c r="B130" s="26"/>
      <c r="C130" s="16">
        <v>10920</v>
      </c>
      <c r="D130" s="16"/>
      <c r="E130" s="16">
        <v>10920</v>
      </c>
      <c r="F130" s="16"/>
      <c r="G130" s="16">
        <v>10920</v>
      </c>
      <c r="H130" s="16"/>
      <c r="I130" s="16">
        <v>11920</v>
      </c>
      <c r="J130" s="16"/>
      <c r="K130" s="16">
        <v>0</v>
      </c>
      <c r="L130" s="16"/>
      <c r="M130" s="16">
        <v>0</v>
      </c>
      <c r="N130">
        <v>0</v>
      </c>
      <c r="O130">
        <v>0</v>
      </c>
    </row>
    <row r="131" spans="1:15" x14ac:dyDescent="0.25">
      <c r="A131" s="25" t="s">
        <v>58</v>
      </c>
      <c r="B131" s="26"/>
      <c r="C131" s="16">
        <v>5040</v>
      </c>
      <c r="D131" s="16"/>
      <c r="E131" s="16">
        <v>5040</v>
      </c>
      <c r="F131" s="16"/>
      <c r="G131" s="16">
        <v>5040</v>
      </c>
      <c r="H131" s="16"/>
      <c r="I131" s="16">
        <v>6040</v>
      </c>
      <c r="J131" s="16"/>
      <c r="K131" s="16">
        <v>0</v>
      </c>
      <c r="L131" s="16"/>
      <c r="M131" s="16">
        <v>0</v>
      </c>
      <c r="N131">
        <v>0</v>
      </c>
      <c r="O131">
        <v>0</v>
      </c>
    </row>
  </sheetData>
  <mergeCells count="33">
    <mergeCell ref="L90:M90"/>
    <mergeCell ref="N90:O90"/>
    <mergeCell ref="A130:B130"/>
    <mergeCell ref="A131:B131"/>
    <mergeCell ref="N46:O46"/>
    <mergeCell ref="A86:B86"/>
    <mergeCell ref="A87:B87"/>
    <mergeCell ref="A89:O89"/>
    <mergeCell ref="A90:A91"/>
    <mergeCell ref="B90:C90"/>
    <mergeCell ref="D90:E90"/>
    <mergeCell ref="F90:G90"/>
    <mergeCell ref="H90:I90"/>
    <mergeCell ref="J90:K90"/>
    <mergeCell ref="A42:B42"/>
    <mergeCell ref="A43:B43"/>
    <mergeCell ref="A45:O45"/>
    <mergeCell ref="A46:A47"/>
    <mergeCell ref="B46:C46"/>
    <mergeCell ref="D46:E46"/>
    <mergeCell ref="F46:G46"/>
    <mergeCell ref="H46:I46"/>
    <mergeCell ref="J46:K46"/>
    <mergeCell ref="L46:M46"/>
    <mergeCell ref="A1:O1"/>
    <mergeCell ref="A2:A3"/>
    <mergeCell ref="B2:C2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9"/>
  <sheetViews>
    <sheetView topLeftCell="D70" workbookViewId="0">
      <selection activeCell="K88" sqref="K88"/>
    </sheetView>
  </sheetViews>
  <sheetFormatPr baseColWidth="10" defaultRowHeight="15" x14ac:dyDescent="0.25"/>
  <cols>
    <col min="3" max="3" width="11.5703125" bestFit="1" customWidth="1"/>
  </cols>
  <sheetData>
    <row r="1" spans="1:47" ht="44.25" customHeight="1" x14ac:dyDescent="0.25">
      <c r="A1" s="25" t="s">
        <v>80</v>
      </c>
      <c r="B1" s="25"/>
      <c r="C1" s="25"/>
      <c r="D1" s="25"/>
      <c r="E1" s="25"/>
      <c r="F1" s="25"/>
      <c r="G1" s="25"/>
      <c r="H1" s="23"/>
      <c r="I1" s="25" t="s">
        <v>81</v>
      </c>
      <c r="J1" s="25"/>
      <c r="K1" s="25"/>
      <c r="L1" s="25"/>
      <c r="M1" s="25"/>
      <c r="N1" s="25"/>
      <c r="O1" s="25"/>
      <c r="Q1" s="25" t="s">
        <v>87</v>
      </c>
      <c r="R1" s="25"/>
      <c r="S1" s="25"/>
      <c r="T1" s="25"/>
      <c r="U1" s="25"/>
      <c r="V1" s="25"/>
      <c r="W1" s="25"/>
      <c r="X1" s="23"/>
      <c r="Y1" s="25" t="s">
        <v>88</v>
      </c>
      <c r="Z1" s="25"/>
      <c r="AA1" s="25"/>
      <c r="AB1" s="25"/>
      <c r="AC1" s="25"/>
      <c r="AD1" s="25"/>
      <c r="AE1" s="25"/>
      <c r="AG1" s="25" t="s">
        <v>89</v>
      </c>
      <c r="AH1" s="25"/>
      <c r="AI1" s="25"/>
      <c r="AJ1" s="25"/>
      <c r="AK1" s="25"/>
      <c r="AL1" s="25"/>
      <c r="AM1" s="25"/>
      <c r="AN1" s="23"/>
      <c r="AO1" s="25"/>
      <c r="AP1" s="25"/>
      <c r="AQ1" s="25"/>
      <c r="AR1" s="25"/>
      <c r="AS1" s="25"/>
      <c r="AT1" s="25"/>
      <c r="AU1" s="25"/>
    </row>
    <row r="2" spans="1:47" x14ac:dyDescent="0.25">
      <c r="A2" s="25" t="s">
        <v>39</v>
      </c>
      <c r="B2" s="24" t="s">
        <v>70</v>
      </c>
      <c r="C2" s="24"/>
      <c r="D2" s="24" t="s">
        <v>71</v>
      </c>
      <c r="E2" s="24"/>
      <c r="F2" s="24" t="s">
        <v>43</v>
      </c>
      <c r="G2" s="24"/>
      <c r="H2" s="12"/>
      <c r="I2" s="25" t="s">
        <v>39</v>
      </c>
      <c r="J2" s="24" t="s">
        <v>70</v>
      </c>
      <c r="K2" s="24"/>
      <c r="L2" s="24" t="s">
        <v>71</v>
      </c>
      <c r="M2" s="24"/>
      <c r="N2" s="24" t="s">
        <v>43</v>
      </c>
      <c r="O2" s="24"/>
      <c r="Q2" s="25" t="s">
        <v>39</v>
      </c>
      <c r="R2" s="24" t="s">
        <v>70</v>
      </c>
      <c r="S2" s="24"/>
      <c r="T2" s="24" t="s">
        <v>71</v>
      </c>
      <c r="U2" s="24"/>
      <c r="V2" s="24" t="s">
        <v>43</v>
      </c>
      <c r="W2" s="24"/>
      <c r="X2" s="12"/>
      <c r="Y2" s="25" t="s">
        <v>39</v>
      </c>
      <c r="Z2" s="24" t="s">
        <v>70</v>
      </c>
      <c r="AA2" s="24"/>
      <c r="AB2" s="24" t="s">
        <v>71</v>
      </c>
      <c r="AC2" s="24"/>
      <c r="AD2" s="24" t="s">
        <v>43</v>
      </c>
      <c r="AE2" s="24"/>
      <c r="AG2" s="25" t="s">
        <v>39</v>
      </c>
      <c r="AH2" s="24" t="s">
        <v>70</v>
      </c>
      <c r="AI2" s="24"/>
      <c r="AJ2" s="24" t="s">
        <v>71</v>
      </c>
      <c r="AK2" s="24"/>
      <c r="AL2" s="24" t="s">
        <v>43</v>
      </c>
      <c r="AM2" s="24"/>
      <c r="AN2" s="12"/>
      <c r="AO2" s="25"/>
      <c r="AP2" s="24"/>
      <c r="AQ2" s="24"/>
      <c r="AR2" s="24"/>
      <c r="AS2" s="24"/>
      <c r="AT2" s="24"/>
      <c r="AU2" s="24"/>
    </row>
    <row r="3" spans="1:47" x14ac:dyDescent="0.25">
      <c r="A3" s="25"/>
      <c r="B3" t="s">
        <v>40</v>
      </c>
      <c r="C3" t="s">
        <v>41</v>
      </c>
      <c r="D3" t="s">
        <v>40</v>
      </c>
      <c r="E3" t="s">
        <v>41</v>
      </c>
      <c r="F3" t="s">
        <v>40</v>
      </c>
      <c r="G3" t="s">
        <v>41</v>
      </c>
      <c r="I3" s="25"/>
      <c r="J3" t="s">
        <v>40</v>
      </c>
      <c r="K3" t="s">
        <v>41</v>
      </c>
      <c r="L3" t="s">
        <v>40</v>
      </c>
      <c r="M3" t="s">
        <v>41</v>
      </c>
      <c r="N3" t="s">
        <v>40</v>
      </c>
      <c r="O3" t="s">
        <v>41</v>
      </c>
      <c r="Q3" s="25"/>
      <c r="R3" t="s">
        <v>40</v>
      </c>
      <c r="S3" t="s">
        <v>41</v>
      </c>
      <c r="T3" t="s">
        <v>40</v>
      </c>
      <c r="U3" t="s">
        <v>41</v>
      </c>
      <c r="V3" t="s">
        <v>40</v>
      </c>
      <c r="W3" t="s">
        <v>41</v>
      </c>
      <c r="Y3" s="25"/>
      <c r="Z3" t="s">
        <v>40</v>
      </c>
      <c r="AA3" t="s">
        <v>41</v>
      </c>
      <c r="AB3" t="s">
        <v>40</v>
      </c>
      <c r="AC3" t="s">
        <v>41</v>
      </c>
      <c r="AD3" t="s">
        <v>40</v>
      </c>
      <c r="AE3" t="s">
        <v>41</v>
      </c>
      <c r="AG3" s="25"/>
      <c r="AH3" t="s">
        <v>40</v>
      </c>
      <c r="AI3" t="s">
        <v>41</v>
      </c>
      <c r="AJ3" t="s">
        <v>40</v>
      </c>
      <c r="AK3" t="s">
        <v>41</v>
      </c>
      <c r="AL3" t="s">
        <v>40</v>
      </c>
      <c r="AM3" t="s">
        <v>41</v>
      </c>
      <c r="AO3" s="25"/>
    </row>
    <row r="4" spans="1:47" x14ac:dyDescent="0.25">
      <c r="A4" s="4">
        <v>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>
        <v>50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Q4" s="4">
        <v>50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 s="4">
        <v>50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 s="4">
        <v>50</v>
      </c>
      <c r="AH4">
        <v>180</v>
      </c>
      <c r="AI4" s="9">
        <f t="shared" ref="AI4:AI8" si="0">PRODUCT(AG4,AH4,1/(AH4+300))</f>
        <v>18.75</v>
      </c>
      <c r="AJ4">
        <v>176</v>
      </c>
      <c r="AK4" s="9">
        <f t="shared" ref="AK4:AK8" si="1">PRODUCT(AG4,AJ4,1/(AJ4+300))</f>
        <v>18.487394957983192</v>
      </c>
      <c r="AL4">
        <v>0</v>
      </c>
      <c r="AM4" s="9">
        <f t="shared" ref="AM4:AM9" si="2">PRODUCT(AG4,AL4,1/(AL4+300))</f>
        <v>0</v>
      </c>
      <c r="AO4" s="21"/>
    </row>
    <row r="5" spans="1:47" x14ac:dyDescent="0.25">
      <c r="A5" s="4">
        <v>100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s="4">
        <v>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 s="4">
        <v>100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Y5" s="4">
        <v>100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 s="4">
        <v>100</v>
      </c>
      <c r="AH5">
        <v>190</v>
      </c>
      <c r="AI5" s="9">
        <f t="shared" si="0"/>
        <v>38.775510204081634</v>
      </c>
      <c r="AJ5">
        <f>SUM(AJ4,9)</f>
        <v>185</v>
      </c>
      <c r="AK5" s="9">
        <f t="shared" si="1"/>
        <v>38.144329896907216</v>
      </c>
      <c r="AL5">
        <v>180</v>
      </c>
      <c r="AM5" s="9">
        <f t="shared" si="2"/>
        <v>37.5</v>
      </c>
      <c r="AO5" s="21"/>
    </row>
    <row r="6" spans="1:47" x14ac:dyDescent="0.25">
      <c r="A6" s="4">
        <v>200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s="4">
        <v>200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 s="4">
        <v>200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 s="4">
        <v>200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G6" s="4">
        <v>200</v>
      </c>
      <c r="AH6">
        <v>200</v>
      </c>
      <c r="AI6" s="9">
        <f t="shared" si="0"/>
        <v>80</v>
      </c>
      <c r="AJ6">
        <f t="shared" ref="AJ6:AJ18" si="3">SUM(AJ5,9)</f>
        <v>194</v>
      </c>
      <c r="AK6" s="9">
        <f t="shared" si="1"/>
        <v>78.542510121457497</v>
      </c>
      <c r="AL6">
        <f t="shared" ref="AL6:AL18" si="4">SUM(AL5,8)</f>
        <v>188</v>
      </c>
      <c r="AM6" s="9">
        <f t="shared" si="2"/>
        <v>77.049180327868854</v>
      </c>
      <c r="AO6" s="4"/>
    </row>
    <row r="7" spans="1:47" x14ac:dyDescent="0.25">
      <c r="A7" s="4">
        <v>700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 s="4">
        <v>700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 s="4">
        <v>700</v>
      </c>
      <c r="R7">
        <v>0</v>
      </c>
      <c r="S7" s="9">
        <f>PRODUCT(Q7,R7,1/(R7+300))</f>
        <v>0</v>
      </c>
      <c r="T7">
        <v>0</v>
      </c>
      <c r="U7">
        <v>0</v>
      </c>
      <c r="V7">
        <v>0</v>
      </c>
      <c r="W7">
        <v>0</v>
      </c>
      <c r="Y7" s="4">
        <v>700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G7" s="4">
        <v>700</v>
      </c>
      <c r="AH7">
        <f>SUM(AH6,10)</f>
        <v>210</v>
      </c>
      <c r="AI7" s="9">
        <f t="shared" si="0"/>
        <v>288.23529411764707</v>
      </c>
      <c r="AJ7">
        <f t="shared" si="3"/>
        <v>203</v>
      </c>
      <c r="AK7" s="9">
        <f t="shared" si="1"/>
        <v>282.50497017892638</v>
      </c>
      <c r="AL7">
        <f t="shared" si="4"/>
        <v>196</v>
      </c>
      <c r="AM7" s="9">
        <f t="shared" si="2"/>
        <v>276.61290322580646</v>
      </c>
      <c r="AO7" s="4"/>
    </row>
    <row r="8" spans="1:47" x14ac:dyDescent="0.25">
      <c r="A8" s="4">
        <v>1300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I8" s="4">
        <v>1300</v>
      </c>
      <c r="J8">
        <v>216</v>
      </c>
      <c r="K8" s="9">
        <f t="shared" ref="K8:K23" si="5">PRODUCT(I8,J8,1/(J8+300))</f>
        <v>544.18604651162786</v>
      </c>
      <c r="L8">
        <v>210</v>
      </c>
      <c r="M8" s="9">
        <f>PRODUCT(I8,L8,1/(L8+300))</f>
        <v>535.29411764705878</v>
      </c>
      <c r="N8">
        <v>217</v>
      </c>
      <c r="O8" s="9">
        <f t="shared" ref="O8:O13" si="6">PRODUCT(I8,N8,1/(N8+300))</f>
        <v>545.64796905222443</v>
      </c>
      <c r="Q8" s="4">
        <v>1300</v>
      </c>
      <c r="R8">
        <v>216</v>
      </c>
      <c r="S8" s="9">
        <f>PRODUCT(Q8,R8,1/(R8+300))</f>
        <v>544.18604651162786</v>
      </c>
      <c r="T8">
        <v>216</v>
      </c>
      <c r="U8" s="9">
        <f>PRODUCT(Q8,T8,1/(T8+300))</f>
        <v>544.18604651162786</v>
      </c>
      <c r="V8">
        <v>216</v>
      </c>
      <c r="W8" s="9">
        <f t="shared" ref="W8:W13" si="7">PRODUCT(Q8,V8,1/(V8+300))</f>
        <v>544.18604651162786</v>
      </c>
      <c r="Y8" s="4">
        <v>1300</v>
      </c>
      <c r="Z8">
        <v>216</v>
      </c>
      <c r="AA8" s="9">
        <f t="shared" ref="AA8:AA19" si="8">PRODUCT(Y8,Z8,1/(Z8+300))</f>
        <v>544.18604651162786</v>
      </c>
      <c r="AB8">
        <v>210</v>
      </c>
      <c r="AC8" s="9">
        <f>PRODUCT(Y8,AB8,1/(AB8+300))</f>
        <v>535.29411764705878</v>
      </c>
      <c r="AD8">
        <v>207</v>
      </c>
      <c r="AE8" s="9">
        <f t="shared" ref="AE8:AE13" si="9">PRODUCT(Y8,AD8,1/(AD8+300))</f>
        <v>530.76923076923083</v>
      </c>
      <c r="AG8" s="4">
        <v>1300</v>
      </c>
      <c r="AH8">
        <f t="shared" ref="AH8:AH17" si="10">SUM(AH7,10)</f>
        <v>220</v>
      </c>
      <c r="AI8" s="9">
        <f t="shared" si="0"/>
        <v>550</v>
      </c>
      <c r="AJ8">
        <f t="shared" si="3"/>
        <v>212</v>
      </c>
      <c r="AK8" s="9">
        <f t="shared" si="1"/>
        <v>538.28125</v>
      </c>
      <c r="AL8">
        <f t="shared" si="4"/>
        <v>204</v>
      </c>
      <c r="AM8" s="9">
        <f t="shared" si="2"/>
        <v>526.19047619047615</v>
      </c>
      <c r="AO8" s="4"/>
      <c r="AQ8" s="9"/>
      <c r="AS8" s="9"/>
      <c r="AU8" s="9"/>
    </row>
    <row r="9" spans="1:47" s="5" customFormat="1" x14ac:dyDescent="0.25">
      <c r="A9" s="4">
        <v>1700</v>
      </c>
      <c r="B9" s="5">
        <v>270</v>
      </c>
      <c r="C9" s="9">
        <f t="shared" ref="C9:C23" si="11">PRODUCT(A9,B9,1/(B9+300))</f>
        <v>805.26315789473688</v>
      </c>
      <c r="D9" s="5">
        <v>265</v>
      </c>
      <c r="E9" s="9">
        <f>PRODUCT(A9,D9,1/(D9+300))</f>
        <v>797.3451327433628</v>
      </c>
      <c r="F9" s="5">
        <v>0</v>
      </c>
      <c r="G9" s="9">
        <v>0</v>
      </c>
      <c r="I9" s="4">
        <v>1700</v>
      </c>
      <c r="J9" s="5">
        <v>235</v>
      </c>
      <c r="K9" s="9">
        <f t="shared" si="5"/>
        <v>746.72897196261681</v>
      </c>
      <c r="L9" s="5">
        <v>230</v>
      </c>
      <c r="M9" s="9">
        <f>PRODUCT(I9,L9,1/(L9+300))</f>
        <v>737.7358490566038</v>
      </c>
      <c r="N9" s="5">
        <v>225</v>
      </c>
      <c r="O9" s="9">
        <f t="shared" si="6"/>
        <v>728.57142857142856</v>
      </c>
      <c r="Q9" s="4">
        <v>1700</v>
      </c>
      <c r="R9" s="5">
        <f>SUM(R8,13)</f>
        <v>229</v>
      </c>
      <c r="S9" s="9">
        <f>PRODUCT(Q9,R9,1/(R9+300))</f>
        <v>735.91682419659742</v>
      </c>
      <c r="T9">
        <f>SUM(T8,13)</f>
        <v>229</v>
      </c>
      <c r="U9" s="9">
        <f>PRODUCT(Q9,T9,1/(T9+300))</f>
        <v>735.91682419659742</v>
      </c>
      <c r="V9" s="5">
        <f>SUM(V8,13)</f>
        <v>229</v>
      </c>
      <c r="W9" s="9">
        <f t="shared" si="7"/>
        <v>735.91682419659742</v>
      </c>
      <c r="Y9" s="4">
        <v>1700</v>
      </c>
      <c r="Z9" s="5">
        <f>SUM(Z8,10)</f>
        <v>226</v>
      </c>
      <c r="AA9" s="9">
        <f t="shared" si="8"/>
        <v>730.41825095057038</v>
      </c>
      <c r="AB9" s="5">
        <f>SUM(AB8,11)</f>
        <v>221</v>
      </c>
      <c r="AC9" s="9">
        <f>PRODUCT(Y9,AB9,1/(AB9+300))</f>
        <v>721.11324376199616</v>
      </c>
      <c r="AD9" s="5">
        <f>SUM(AD8,9)</f>
        <v>216</v>
      </c>
      <c r="AE9" s="9">
        <f t="shared" si="9"/>
        <v>711.62790697674416</v>
      </c>
      <c r="AG9" s="4">
        <v>1700</v>
      </c>
      <c r="AH9">
        <f t="shared" si="10"/>
        <v>230</v>
      </c>
      <c r="AI9" s="9">
        <f t="shared" ref="AI9:AI23" si="12">PRODUCT(AG9,AH9,1/(AH9+300))</f>
        <v>737.7358490566038</v>
      </c>
      <c r="AJ9">
        <f t="shared" si="3"/>
        <v>221</v>
      </c>
      <c r="AK9" s="9">
        <f>PRODUCT(AG9,AJ9,1/(AJ9+300))</f>
        <v>721.11324376199616</v>
      </c>
      <c r="AL9">
        <f t="shared" si="4"/>
        <v>212</v>
      </c>
      <c r="AM9" s="9">
        <f t="shared" si="2"/>
        <v>703.90625</v>
      </c>
      <c r="AO9" s="4"/>
      <c r="AQ9" s="9"/>
      <c r="AS9" s="9"/>
      <c r="AU9" s="9"/>
    </row>
    <row r="10" spans="1:47" s="5" customFormat="1" x14ac:dyDescent="0.25">
      <c r="A10" s="4">
        <f>SUM(A9+500)</f>
        <v>2200</v>
      </c>
      <c r="B10" s="5">
        <v>290</v>
      </c>
      <c r="C10" s="9">
        <f t="shared" si="11"/>
        <v>1081.3559322033898</v>
      </c>
      <c r="D10" s="5">
        <v>280</v>
      </c>
      <c r="E10" s="9">
        <f>PRODUCT(A10,D10,1/(D10+300))</f>
        <v>1062.0689655172414</v>
      </c>
      <c r="F10" s="5">
        <v>250</v>
      </c>
      <c r="G10" s="9">
        <f>PRODUCT(A10,F10,1/(F10+300))</f>
        <v>1000</v>
      </c>
      <c r="I10" s="4">
        <f>SUM(I9+500)</f>
        <v>2200</v>
      </c>
      <c r="J10" s="5">
        <f>SUM(J9,19)</f>
        <v>254</v>
      </c>
      <c r="K10" s="9">
        <f t="shared" si="5"/>
        <v>1008.6642599277978</v>
      </c>
      <c r="L10" s="5">
        <f>SUM(L9,22)</f>
        <v>252</v>
      </c>
      <c r="M10" s="9">
        <f>PRODUCT(I10,L10,1/(L10+300))</f>
        <v>1004.3478260869565</v>
      </c>
      <c r="N10" s="5">
        <f>SUM(N9,18)</f>
        <v>243</v>
      </c>
      <c r="O10" s="9">
        <f t="shared" si="6"/>
        <v>984.53038674033155</v>
      </c>
      <c r="Q10" s="4">
        <f>SUM(Q9+500)</f>
        <v>2200</v>
      </c>
      <c r="R10" s="5">
        <f t="shared" ref="R10:R14" si="13">SUM(R9,13)</f>
        <v>242</v>
      </c>
      <c r="S10" s="9">
        <f t="shared" ref="S10:S13" si="14">PRODUCT(Q10,R10,1/(R10+300))</f>
        <v>982.28782287822878</v>
      </c>
      <c r="T10">
        <f t="shared" ref="T10:T14" si="15">SUM(T9,13)</f>
        <v>242</v>
      </c>
      <c r="U10" s="9">
        <f>PRODUCT(Q10,T10,1/(T10+300))</f>
        <v>982.28782287822878</v>
      </c>
      <c r="V10" s="5">
        <f t="shared" ref="V10:V14" si="16">SUM(V9,13)</f>
        <v>242</v>
      </c>
      <c r="W10" s="9">
        <f t="shared" si="7"/>
        <v>982.28782287822878</v>
      </c>
      <c r="Y10" s="4">
        <f>SUM(Y9+500)</f>
        <v>2200</v>
      </c>
      <c r="Z10" s="5">
        <f t="shared" ref="Z10:Z16" si="17">SUM(Z9,10)</f>
        <v>236</v>
      </c>
      <c r="AA10" s="9">
        <f t="shared" si="8"/>
        <v>968.65671641791039</v>
      </c>
      <c r="AB10" s="5">
        <f t="shared" ref="AB10:AB16" si="18">SUM(AB9,11)</f>
        <v>232</v>
      </c>
      <c r="AC10" s="9">
        <f>PRODUCT(Y10,AB10,1/(AB10+300))</f>
        <v>959.3984962406015</v>
      </c>
      <c r="AD10" s="5">
        <f t="shared" ref="AD10:AD16" si="19">SUM(AD9,9)</f>
        <v>225</v>
      </c>
      <c r="AE10" s="9">
        <f t="shared" si="9"/>
        <v>942.85714285714289</v>
      </c>
      <c r="AG10" s="4">
        <f>SUM(AG9+500)</f>
        <v>2200</v>
      </c>
      <c r="AH10">
        <f t="shared" si="10"/>
        <v>240</v>
      </c>
      <c r="AI10" s="9">
        <f t="shared" si="12"/>
        <v>977.77777777777783</v>
      </c>
      <c r="AJ10">
        <f t="shared" si="3"/>
        <v>230</v>
      </c>
      <c r="AK10" s="9">
        <f>PRODUCT(AG10,AJ10,1/(AJ10+300))</f>
        <v>954.71698113207549</v>
      </c>
      <c r="AL10">
        <f t="shared" si="4"/>
        <v>220</v>
      </c>
      <c r="AM10" s="9">
        <f>PRODUCT(AG10,AL10,1/(AL10+300))</f>
        <v>930.76923076923083</v>
      </c>
      <c r="AO10" s="4"/>
      <c r="AQ10" s="9"/>
      <c r="AS10" s="9"/>
      <c r="AU10" s="9"/>
    </row>
    <row r="11" spans="1:47" x14ac:dyDescent="0.25">
      <c r="A11" s="4">
        <f t="shared" ref="A11:A23" si="20">SUM(A10+500)</f>
        <v>2700</v>
      </c>
      <c r="B11">
        <v>310</v>
      </c>
      <c r="C11" s="9">
        <f t="shared" si="11"/>
        <v>1372.1311475409836</v>
      </c>
      <c r="D11">
        <v>300</v>
      </c>
      <c r="E11">
        <f>PRODUCT(A11,D11,1/(D11+300))</f>
        <v>1350</v>
      </c>
      <c r="F11">
        <v>270</v>
      </c>
      <c r="G11" s="9">
        <f>PRODUCT(A11,F11,1/(F11+300))</f>
        <v>1278.9473684210527</v>
      </c>
      <c r="I11" s="4">
        <f t="shared" ref="I11:I23" si="21">SUM(I10+500)</f>
        <v>2700</v>
      </c>
      <c r="J11" s="5">
        <f t="shared" ref="J11:J19" si="22">SUM(J10,19)</f>
        <v>273</v>
      </c>
      <c r="K11" s="9">
        <f t="shared" si="5"/>
        <v>1286.3874345549739</v>
      </c>
      <c r="L11" s="5">
        <f t="shared" ref="L11:L13" si="23">SUM(L10,22)</f>
        <v>274</v>
      </c>
      <c r="M11" s="9">
        <f>PRODUCT(I11,L11,1/(L11+300))</f>
        <v>1288.8501742160279</v>
      </c>
      <c r="N11" s="5">
        <f t="shared" ref="N11:N19" si="24">SUM(N10,18)</f>
        <v>261</v>
      </c>
      <c r="O11" s="9">
        <f t="shared" si="6"/>
        <v>1256.1497326203207</v>
      </c>
      <c r="Q11" s="4">
        <f t="shared" ref="Q11:Q23" si="25">SUM(Q10+500)</f>
        <v>2700</v>
      </c>
      <c r="R11" s="5">
        <f t="shared" si="13"/>
        <v>255</v>
      </c>
      <c r="S11" s="9">
        <f t="shared" si="14"/>
        <v>1240.5405405405406</v>
      </c>
      <c r="T11">
        <f t="shared" si="15"/>
        <v>255</v>
      </c>
      <c r="U11" s="9">
        <f>PRODUCT(Q11,T11,1/(T11+300))</f>
        <v>1240.5405405405406</v>
      </c>
      <c r="V11" s="5">
        <f t="shared" si="16"/>
        <v>255</v>
      </c>
      <c r="W11" s="9">
        <f t="shared" si="7"/>
        <v>1240.5405405405406</v>
      </c>
      <c r="Y11" s="4">
        <f t="shared" ref="Y11:Y23" si="26">SUM(Y10+500)</f>
        <v>2700</v>
      </c>
      <c r="Z11" s="5">
        <f t="shared" si="17"/>
        <v>246</v>
      </c>
      <c r="AA11" s="9">
        <f t="shared" si="8"/>
        <v>1216.4835164835165</v>
      </c>
      <c r="AB11" s="5">
        <f t="shared" si="18"/>
        <v>243</v>
      </c>
      <c r="AC11" s="9">
        <f>PRODUCT(Y11,AB11,1/(AB11+300))</f>
        <v>1208.2872928176796</v>
      </c>
      <c r="AD11" s="5">
        <f t="shared" si="19"/>
        <v>234</v>
      </c>
      <c r="AE11" s="9">
        <f t="shared" si="9"/>
        <v>1183.1460674157304</v>
      </c>
      <c r="AG11" s="4">
        <f t="shared" ref="AG11:AG23" si="27">SUM(AG10+500)</f>
        <v>2700</v>
      </c>
      <c r="AH11">
        <f t="shared" si="10"/>
        <v>250</v>
      </c>
      <c r="AI11" s="9">
        <f t="shared" si="12"/>
        <v>1227.2727272727273</v>
      </c>
      <c r="AJ11">
        <f t="shared" si="3"/>
        <v>239</v>
      </c>
      <c r="AK11" s="9">
        <f>PRODUCT(AG11,AJ11,1/(AJ11+300))</f>
        <v>1197.21706864564</v>
      </c>
      <c r="AL11">
        <f t="shared" si="4"/>
        <v>228</v>
      </c>
      <c r="AM11" s="9">
        <f>PRODUCT(AG11,AL11,1/(AL11+300))</f>
        <v>1165.909090909091</v>
      </c>
      <c r="AO11" s="4"/>
      <c r="AP11" s="5"/>
      <c r="AQ11" s="9"/>
      <c r="AR11" s="5"/>
      <c r="AS11" s="9"/>
      <c r="AT11" s="5"/>
      <c r="AU11" s="9"/>
    </row>
    <row r="12" spans="1:47" x14ac:dyDescent="0.25">
      <c r="A12" s="4">
        <f t="shared" si="20"/>
        <v>3200</v>
      </c>
      <c r="B12">
        <f>SUM(B11,30)</f>
        <v>340</v>
      </c>
      <c r="C12">
        <f t="shared" si="11"/>
        <v>1700</v>
      </c>
      <c r="D12">
        <f>SUM(D11,20)</f>
        <v>320</v>
      </c>
      <c r="E12" s="9">
        <f t="shared" ref="E12:E23" si="28">PRODUCT(A12,D12,1/(D12+300))</f>
        <v>1651.6129032258063</v>
      </c>
      <c r="F12">
        <v>290</v>
      </c>
      <c r="G12" s="9">
        <f>PRODUCT(A12,F12,1/(F12+300))</f>
        <v>1572.8813559322034</v>
      </c>
      <c r="I12" s="4">
        <f t="shared" si="21"/>
        <v>3200</v>
      </c>
      <c r="J12" s="5">
        <f t="shared" si="22"/>
        <v>292</v>
      </c>
      <c r="K12" s="9">
        <f t="shared" si="5"/>
        <v>1578.3783783783786</v>
      </c>
      <c r="L12" s="5">
        <f t="shared" si="23"/>
        <v>296</v>
      </c>
      <c r="M12" s="9">
        <f t="shared" ref="M12:M16" si="29">PRODUCT(I12,L12,1/(L12+300))</f>
        <v>1589.2617449664428</v>
      </c>
      <c r="N12" s="5">
        <f t="shared" si="24"/>
        <v>279</v>
      </c>
      <c r="O12" s="9">
        <f t="shared" si="6"/>
        <v>1541.9689119170985</v>
      </c>
      <c r="Q12" s="4">
        <f t="shared" si="25"/>
        <v>3200</v>
      </c>
      <c r="R12" s="5">
        <f t="shared" si="13"/>
        <v>268</v>
      </c>
      <c r="S12" s="9">
        <f t="shared" si="14"/>
        <v>1509.8591549295775</v>
      </c>
      <c r="T12">
        <f t="shared" si="15"/>
        <v>268</v>
      </c>
      <c r="U12" s="9">
        <f t="shared" ref="U12:U16" si="30">PRODUCT(Q12,T12,1/(T12+300))</f>
        <v>1509.8591549295775</v>
      </c>
      <c r="V12" s="5">
        <f t="shared" si="16"/>
        <v>268</v>
      </c>
      <c r="W12" s="9">
        <f t="shared" si="7"/>
        <v>1509.8591549295775</v>
      </c>
      <c r="Y12" s="4">
        <f t="shared" si="26"/>
        <v>3200</v>
      </c>
      <c r="Z12" s="5">
        <f t="shared" si="17"/>
        <v>256</v>
      </c>
      <c r="AA12" s="9">
        <f t="shared" si="8"/>
        <v>1473.3812949640289</v>
      </c>
      <c r="AB12" s="5">
        <f t="shared" si="18"/>
        <v>254</v>
      </c>
      <c r="AC12" s="9">
        <f t="shared" ref="AC12:AC16" si="31">PRODUCT(Y12,AB12,1/(AB12+300))</f>
        <v>1467.1480144404334</v>
      </c>
      <c r="AD12" s="5">
        <f t="shared" si="19"/>
        <v>243</v>
      </c>
      <c r="AE12" s="9">
        <f t="shared" si="9"/>
        <v>1432.0441988950276</v>
      </c>
      <c r="AG12" s="4">
        <f t="shared" si="27"/>
        <v>3200</v>
      </c>
      <c r="AH12">
        <f t="shared" si="10"/>
        <v>260</v>
      </c>
      <c r="AI12" s="9">
        <f t="shared" si="12"/>
        <v>1485.7142857142858</v>
      </c>
      <c r="AJ12">
        <f t="shared" si="3"/>
        <v>248</v>
      </c>
      <c r="AK12" s="9">
        <f t="shared" ref="AK12:AK16" si="32">PRODUCT(AG12,AJ12,1/(AJ12+300))</f>
        <v>1448.1751824817518</v>
      </c>
      <c r="AL12">
        <f t="shared" si="4"/>
        <v>236</v>
      </c>
      <c r="AM12" s="9">
        <f>PRODUCT(AG12,AL12,1/(AL12+300))</f>
        <v>1408.955223880597</v>
      </c>
      <c r="AO12" s="4"/>
      <c r="AP12" s="5"/>
      <c r="AQ12" s="9"/>
      <c r="AR12" s="5"/>
      <c r="AS12" s="9"/>
      <c r="AT12" s="5"/>
      <c r="AU12" s="9"/>
    </row>
    <row r="13" spans="1:47" x14ac:dyDescent="0.25">
      <c r="A13" s="4">
        <f t="shared" si="20"/>
        <v>3700</v>
      </c>
      <c r="B13">
        <f>SUM(B12,20)</f>
        <v>360</v>
      </c>
      <c r="C13" s="9">
        <f t="shared" si="11"/>
        <v>2018.1818181818182</v>
      </c>
      <c r="D13">
        <f t="shared" ref="D13:D21" si="33">SUM(D12,20)</f>
        <v>340</v>
      </c>
      <c r="E13" s="9">
        <f t="shared" si="28"/>
        <v>1965.625</v>
      </c>
      <c r="F13">
        <f>SUM(F12,20)</f>
        <v>310</v>
      </c>
      <c r="G13" s="9">
        <f>PRODUCT(A13,F13,1/(F13+300))</f>
        <v>1880.327868852459</v>
      </c>
      <c r="I13" s="4">
        <f t="shared" si="21"/>
        <v>3700</v>
      </c>
      <c r="J13" s="5">
        <f t="shared" si="22"/>
        <v>311</v>
      </c>
      <c r="K13" s="9">
        <f t="shared" si="5"/>
        <v>1883.3060556464814</v>
      </c>
      <c r="L13" s="5">
        <f t="shared" si="23"/>
        <v>318</v>
      </c>
      <c r="M13" s="9">
        <f t="shared" si="29"/>
        <v>1903.8834951456311</v>
      </c>
      <c r="N13" s="5">
        <f t="shared" si="24"/>
        <v>297</v>
      </c>
      <c r="O13" s="9">
        <f t="shared" si="6"/>
        <v>1840.7035175879398</v>
      </c>
      <c r="Q13" s="4">
        <f t="shared" si="25"/>
        <v>3700</v>
      </c>
      <c r="R13" s="5">
        <f t="shared" si="13"/>
        <v>281</v>
      </c>
      <c r="S13" s="9">
        <f t="shared" si="14"/>
        <v>1789.5008605851981</v>
      </c>
      <c r="T13">
        <f t="shared" si="15"/>
        <v>281</v>
      </c>
      <c r="U13" s="9">
        <f t="shared" si="30"/>
        <v>1789.5008605851981</v>
      </c>
      <c r="V13" s="5">
        <f t="shared" si="16"/>
        <v>281</v>
      </c>
      <c r="W13" s="9">
        <f t="shared" si="7"/>
        <v>1789.5008605851981</v>
      </c>
      <c r="Y13" s="4">
        <f t="shared" si="26"/>
        <v>3700</v>
      </c>
      <c r="Z13" s="5">
        <f t="shared" si="17"/>
        <v>266</v>
      </c>
      <c r="AA13" s="9">
        <f t="shared" si="8"/>
        <v>1738.86925795053</v>
      </c>
      <c r="AB13" s="5">
        <f t="shared" si="18"/>
        <v>265</v>
      </c>
      <c r="AC13" s="9">
        <f t="shared" si="31"/>
        <v>1735.3982300884954</v>
      </c>
      <c r="AD13" s="5">
        <f t="shared" si="19"/>
        <v>252</v>
      </c>
      <c r="AE13" s="9">
        <f t="shared" si="9"/>
        <v>1689.1304347826087</v>
      </c>
      <c r="AG13" s="4">
        <f t="shared" si="27"/>
        <v>3700</v>
      </c>
      <c r="AH13">
        <f t="shared" si="10"/>
        <v>270</v>
      </c>
      <c r="AI13" s="9">
        <f t="shared" si="12"/>
        <v>1752.6315789473686</v>
      </c>
      <c r="AJ13">
        <f t="shared" si="3"/>
        <v>257</v>
      </c>
      <c r="AK13" s="9">
        <f t="shared" si="32"/>
        <v>1707.1813285457811</v>
      </c>
      <c r="AL13">
        <f t="shared" si="4"/>
        <v>244</v>
      </c>
      <c r="AM13" s="9">
        <f>PRODUCT(AG13,AL13,1/(AL13+300))</f>
        <v>1659.5588235294117</v>
      </c>
      <c r="AO13" s="4"/>
      <c r="AP13" s="5"/>
      <c r="AQ13" s="9"/>
      <c r="AR13" s="5"/>
      <c r="AS13" s="9"/>
      <c r="AT13" s="5"/>
      <c r="AU13" s="9"/>
    </row>
    <row r="14" spans="1:47" x14ac:dyDescent="0.25">
      <c r="A14" s="4">
        <f t="shared" si="20"/>
        <v>4200</v>
      </c>
      <c r="B14">
        <f>SUM(B13,21)</f>
        <v>381</v>
      </c>
      <c r="C14" s="9">
        <f t="shared" si="11"/>
        <v>2349.7797356828191</v>
      </c>
      <c r="D14">
        <f t="shared" si="33"/>
        <v>360</v>
      </c>
      <c r="E14" s="9">
        <f t="shared" si="28"/>
        <v>2290.909090909091</v>
      </c>
      <c r="F14">
        <f t="shared" ref="F14:F21" si="34">SUM(F13,20)</f>
        <v>330</v>
      </c>
      <c r="G14" s="9">
        <f t="shared" ref="G14:G23" si="35">PRODUCT(A14,F14,1/(F14+300))</f>
        <v>2200</v>
      </c>
      <c r="I14" s="4">
        <f t="shared" si="21"/>
        <v>4200</v>
      </c>
      <c r="J14" s="5">
        <f t="shared" si="22"/>
        <v>330</v>
      </c>
      <c r="K14" s="9">
        <f t="shared" si="5"/>
        <v>2200</v>
      </c>
      <c r="L14" s="5">
        <f>SUM(L13,20)</f>
        <v>338</v>
      </c>
      <c r="M14" s="9">
        <f t="shared" si="29"/>
        <v>2225.0783699059562</v>
      </c>
      <c r="N14" s="5">
        <f t="shared" si="24"/>
        <v>315</v>
      </c>
      <c r="O14" s="9">
        <f t="shared" ref="O14:O23" si="36">PRODUCT(I14,N14,1/(N14+300))</f>
        <v>2151.2195121951218</v>
      </c>
      <c r="Q14" s="4">
        <f t="shared" si="25"/>
        <v>4200</v>
      </c>
      <c r="R14" s="5">
        <f t="shared" si="13"/>
        <v>294</v>
      </c>
      <c r="S14" s="9">
        <f t="shared" ref="S14:S23" si="37">PRODUCT(Q14,R14,1/(R14+300))</f>
        <v>2078.7878787878785</v>
      </c>
      <c r="T14">
        <f t="shared" si="15"/>
        <v>294</v>
      </c>
      <c r="U14" s="9">
        <f t="shared" si="30"/>
        <v>2078.7878787878785</v>
      </c>
      <c r="V14" s="5">
        <f t="shared" si="16"/>
        <v>294</v>
      </c>
      <c r="W14" s="9">
        <f t="shared" ref="W14:W23" si="38">PRODUCT(Q14,V14,1/(V14+300))</f>
        <v>2078.7878787878785</v>
      </c>
      <c r="Y14" s="4">
        <f t="shared" si="26"/>
        <v>4200</v>
      </c>
      <c r="Z14" s="5">
        <f t="shared" si="17"/>
        <v>276</v>
      </c>
      <c r="AA14" s="9">
        <f t="shared" si="8"/>
        <v>2012.5</v>
      </c>
      <c r="AB14" s="5">
        <f t="shared" si="18"/>
        <v>276</v>
      </c>
      <c r="AC14" s="9">
        <f t="shared" si="31"/>
        <v>2012.5</v>
      </c>
      <c r="AD14" s="5">
        <f t="shared" si="19"/>
        <v>261</v>
      </c>
      <c r="AE14" s="9">
        <f t="shared" ref="AE14:AE23" si="39">PRODUCT(Y14,AD14,1/(AD14+300))</f>
        <v>1954.0106951871658</v>
      </c>
      <c r="AG14" s="4">
        <f t="shared" si="27"/>
        <v>4200</v>
      </c>
      <c r="AH14">
        <f t="shared" si="10"/>
        <v>280</v>
      </c>
      <c r="AI14" s="9">
        <f t="shared" si="12"/>
        <v>2027.5862068965516</v>
      </c>
      <c r="AJ14">
        <f t="shared" si="3"/>
        <v>266</v>
      </c>
      <c r="AK14" s="9">
        <f t="shared" si="32"/>
        <v>1973.8515901060071</v>
      </c>
      <c r="AL14">
        <f t="shared" si="4"/>
        <v>252</v>
      </c>
      <c r="AM14" s="9">
        <f t="shared" ref="AM14:AM23" si="40">PRODUCT(AG14,AL14,1/(AL14+300))</f>
        <v>1917.391304347826</v>
      </c>
      <c r="AO14" s="4"/>
      <c r="AP14" s="5"/>
      <c r="AQ14" s="9"/>
      <c r="AR14" s="5"/>
      <c r="AS14" s="9"/>
      <c r="AT14" s="5"/>
      <c r="AU14" s="9"/>
    </row>
    <row r="15" spans="1:47" x14ac:dyDescent="0.25">
      <c r="A15" s="4">
        <f t="shared" si="20"/>
        <v>4700</v>
      </c>
      <c r="B15">
        <f>SUM(B14,22)</f>
        <v>403</v>
      </c>
      <c r="C15" s="9">
        <f t="shared" si="11"/>
        <v>2694.3100995732575</v>
      </c>
      <c r="D15">
        <f t="shared" si="33"/>
        <v>380</v>
      </c>
      <c r="E15" s="9">
        <f t="shared" si="28"/>
        <v>2626.4705882352941</v>
      </c>
      <c r="F15">
        <f t="shared" si="34"/>
        <v>350</v>
      </c>
      <c r="G15" s="9">
        <f t="shared" si="35"/>
        <v>2530.7692307692309</v>
      </c>
      <c r="I15" s="4">
        <f t="shared" si="21"/>
        <v>4700</v>
      </c>
      <c r="J15" s="5">
        <f t="shared" si="22"/>
        <v>349</v>
      </c>
      <c r="K15" s="9">
        <f t="shared" si="5"/>
        <v>2527.4268104776579</v>
      </c>
      <c r="L15" s="5">
        <f t="shared" ref="L15:L19" si="41">SUM(L14,20)</f>
        <v>358</v>
      </c>
      <c r="M15" s="9">
        <f t="shared" si="29"/>
        <v>2557.1428571428573</v>
      </c>
      <c r="N15" s="5">
        <f t="shared" si="24"/>
        <v>333</v>
      </c>
      <c r="O15" s="9">
        <f t="shared" si="36"/>
        <v>2472.5118483412321</v>
      </c>
      <c r="Q15" s="4">
        <f t="shared" si="25"/>
        <v>4700</v>
      </c>
      <c r="R15" s="5">
        <v>0</v>
      </c>
      <c r="S15" s="9">
        <f t="shared" si="37"/>
        <v>0</v>
      </c>
      <c r="T15" s="5">
        <v>0</v>
      </c>
      <c r="U15" s="9">
        <f t="shared" si="30"/>
        <v>0</v>
      </c>
      <c r="V15">
        <v>0</v>
      </c>
      <c r="W15" s="9">
        <f t="shared" si="38"/>
        <v>0</v>
      </c>
      <c r="Y15" s="4">
        <f t="shared" si="26"/>
        <v>4700</v>
      </c>
      <c r="Z15" s="5">
        <f t="shared" si="17"/>
        <v>286</v>
      </c>
      <c r="AA15" s="9">
        <f t="shared" si="8"/>
        <v>2293.8566552901025</v>
      </c>
      <c r="AB15" s="5">
        <f t="shared" si="18"/>
        <v>287</v>
      </c>
      <c r="AC15" s="9">
        <f t="shared" si="31"/>
        <v>2297.9557069846678</v>
      </c>
      <c r="AD15" s="5">
        <f t="shared" si="19"/>
        <v>270</v>
      </c>
      <c r="AE15" s="9">
        <f t="shared" si="39"/>
        <v>2226.3157894736842</v>
      </c>
      <c r="AG15" s="4">
        <f t="shared" si="27"/>
        <v>4700</v>
      </c>
      <c r="AH15">
        <f t="shared" si="10"/>
        <v>290</v>
      </c>
      <c r="AI15" s="9">
        <f t="shared" si="12"/>
        <v>2310.1694915254238</v>
      </c>
      <c r="AJ15">
        <f t="shared" si="3"/>
        <v>275</v>
      </c>
      <c r="AK15" s="9">
        <f t="shared" si="32"/>
        <v>2247.826086956522</v>
      </c>
      <c r="AL15">
        <f t="shared" si="4"/>
        <v>260</v>
      </c>
      <c r="AM15" s="9">
        <f t="shared" si="40"/>
        <v>2182.1428571428569</v>
      </c>
      <c r="AO15" s="4"/>
      <c r="AP15" s="5"/>
      <c r="AQ15" s="9"/>
      <c r="AR15" s="5"/>
      <c r="AS15" s="9"/>
      <c r="AT15" s="5"/>
      <c r="AU15" s="9"/>
    </row>
    <row r="16" spans="1:47" x14ac:dyDescent="0.25">
      <c r="A16" s="4">
        <f t="shared" si="20"/>
        <v>5200</v>
      </c>
      <c r="B16">
        <f>SUM(B15,24)</f>
        <v>427</v>
      </c>
      <c r="C16" s="9">
        <f t="shared" si="11"/>
        <v>3054.1953232462174</v>
      </c>
      <c r="D16">
        <f t="shared" si="33"/>
        <v>400</v>
      </c>
      <c r="E16" s="9">
        <f t="shared" si="28"/>
        <v>2971.4285714285716</v>
      </c>
      <c r="F16">
        <f t="shared" si="34"/>
        <v>370</v>
      </c>
      <c r="G16" s="9">
        <f t="shared" si="35"/>
        <v>2871.6417910447763</v>
      </c>
      <c r="I16" s="4">
        <f t="shared" si="21"/>
        <v>5200</v>
      </c>
      <c r="J16" s="5">
        <f t="shared" si="22"/>
        <v>368</v>
      </c>
      <c r="K16" s="9">
        <f t="shared" si="5"/>
        <v>2864.6706586826349</v>
      </c>
      <c r="L16" s="5">
        <f t="shared" si="41"/>
        <v>378</v>
      </c>
      <c r="M16" s="9">
        <f t="shared" si="29"/>
        <v>2899.1150442477874</v>
      </c>
      <c r="N16" s="5">
        <f t="shared" si="24"/>
        <v>351</v>
      </c>
      <c r="O16" s="9">
        <f t="shared" si="36"/>
        <v>2803.6866359447004</v>
      </c>
      <c r="Q16" s="4">
        <f t="shared" si="25"/>
        <v>5200</v>
      </c>
      <c r="R16" s="5">
        <v>0</v>
      </c>
      <c r="S16" s="9">
        <f t="shared" si="37"/>
        <v>0</v>
      </c>
      <c r="T16" s="5">
        <v>0</v>
      </c>
      <c r="U16" s="9">
        <f t="shared" si="30"/>
        <v>0</v>
      </c>
      <c r="V16">
        <v>0</v>
      </c>
      <c r="W16" s="9">
        <f t="shared" si="38"/>
        <v>0</v>
      </c>
      <c r="Y16" s="4">
        <f t="shared" si="26"/>
        <v>5200</v>
      </c>
      <c r="Z16" s="5">
        <f t="shared" si="17"/>
        <v>296</v>
      </c>
      <c r="AA16" s="9">
        <f t="shared" si="8"/>
        <v>2582.5503355704695</v>
      </c>
      <c r="AB16" s="5">
        <f t="shared" si="18"/>
        <v>298</v>
      </c>
      <c r="AC16" s="9">
        <f t="shared" si="31"/>
        <v>2591.304347826087</v>
      </c>
      <c r="AD16" s="5">
        <f t="shared" si="19"/>
        <v>279</v>
      </c>
      <c r="AE16" s="9">
        <f t="shared" si="39"/>
        <v>2505.6994818652847</v>
      </c>
      <c r="AG16" s="4">
        <f t="shared" si="27"/>
        <v>5200</v>
      </c>
      <c r="AH16">
        <f t="shared" si="10"/>
        <v>300</v>
      </c>
      <c r="AI16" s="9">
        <f t="shared" si="12"/>
        <v>2600</v>
      </c>
      <c r="AJ16">
        <f t="shared" si="3"/>
        <v>284</v>
      </c>
      <c r="AK16" s="9">
        <f t="shared" si="32"/>
        <v>2528.767123287671</v>
      </c>
      <c r="AL16">
        <f t="shared" si="4"/>
        <v>268</v>
      </c>
      <c r="AM16" s="9">
        <f t="shared" si="40"/>
        <v>2453.5211267605632</v>
      </c>
      <c r="AO16" s="4"/>
      <c r="AP16" s="5"/>
      <c r="AQ16" s="9"/>
      <c r="AR16" s="5"/>
      <c r="AS16" s="9"/>
      <c r="AT16" s="5"/>
      <c r="AU16" s="9"/>
    </row>
    <row r="17" spans="1:47" x14ac:dyDescent="0.25">
      <c r="A17" s="4">
        <f t="shared" si="20"/>
        <v>5700</v>
      </c>
      <c r="B17">
        <f>SUM(B16,25)</f>
        <v>452</v>
      </c>
      <c r="C17" s="9">
        <f t="shared" si="11"/>
        <v>3426.0638297872338</v>
      </c>
      <c r="D17">
        <f t="shared" si="33"/>
        <v>420</v>
      </c>
      <c r="E17" s="9">
        <f>PRODUCT(A17,D17,1/(D17+300))</f>
        <v>3325</v>
      </c>
      <c r="F17">
        <f t="shared" si="34"/>
        <v>390</v>
      </c>
      <c r="G17" s="9">
        <f t="shared" si="35"/>
        <v>3221.7391304347825</v>
      </c>
      <c r="I17" s="4">
        <f t="shared" si="21"/>
        <v>5700</v>
      </c>
      <c r="J17" s="5">
        <f t="shared" si="22"/>
        <v>387</v>
      </c>
      <c r="K17" s="9">
        <f t="shared" si="5"/>
        <v>3210.9170305676857</v>
      </c>
      <c r="L17" s="5">
        <f t="shared" si="41"/>
        <v>398</v>
      </c>
      <c r="M17" s="9">
        <f>PRODUCT(I17,L17,1/(L17+300))</f>
        <v>3250.1432664756444</v>
      </c>
      <c r="N17" s="5">
        <f t="shared" si="24"/>
        <v>369</v>
      </c>
      <c r="O17" s="9">
        <f t="shared" si="36"/>
        <v>3143.9461883408071</v>
      </c>
      <c r="Q17" s="4">
        <f t="shared" si="25"/>
        <v>5700</v>
      </c>
      <c r="R17" s="5">
        <v>0</v>
      </c>
      <c r="S17" s="9">
        <f t="shared" si="37"/>
        <v>0</v>
      </c>
      <c r="T17" s="5">
        <v>0</v>
      </c>
      <c r="U17" s="9">
        <f>PRODUCT(Q17,T17,1/(T17+300))</f>
        <v>0</v>
      </c>
      <c r="V17">
        <v>0</v>
      </c>
      <c r="W17" s="9">
        <f t="shared" si="38"/>
        <v>0</v>
      </c>
      <c r="Y17" s="4">
        <f t="shared" si="26"/>
        <v>5700</v>
      </c>
      <c r="Z17" s="5">
        <v>0</v>
      </c>
      <c r="AA17" s="9">
        <f t="shared" si="8"/>
        <v>0</v>
      </c>
      <c r="AB17" s="5">
        <v>0</v>
      </c>
      <c r="AC17" s="9">
        <f>PRODUCT(Y17,AB17,1/(AB17+300))</f>
        <v>0</v>
      </c>
      <c r="AD17" s="5">
        <v>0</v>
      </c>
      <c r="AE17" s="9">
        <f t="shared" si="39"/>
        <v>0</v>
      </c>
      <c r="AG17" s="4">
        <f t="shared" si="27"/>
        <v>5700</v>
      </c>
      <c r="AH17">
        <f t="shared" si="10"/>
        <v>310</v>
      </c>
      <c r="AI17" s="9">
        <f t="shared" si="12"/>
        <v>2896.7213114754099</v>
      </c>
      <c r="AJ17">
        <f t="shared" si="3"/>
        <v>293</v>
      </c>
      <c r="AK17" s="9">
        <f>PRODUCT(AG17,AJ17,1/(AJ17+300))</f>
        <v>2816.3575042158513</v>
      </c>
      <c r="AL17">
        <f t="shared" si="4"/>
        <v>276</v>
      </c>
      <c r="AM17" s="9">
        <f t="shared" si="40"/>
        <v>2731.25</v>
      </c>
      <c r="AO17" s="4"/>
      <c r="AP17" s="5"/>
      <c r="AQ17" s="9"/>
      <c r="AR17" s="5"/>
      <c r="AS17" s="9"/>
      <c r="AT17" s="5"/>
      <c r="AU17" s="9"/>
    </row>
    <row r="18" spans="1:47" x14ac:dyDescent="0.25">
      <c r="A18" s="4">
        <f t="shared" si="20"/>
        <v>6200</v>
      </c>
      <c r="B18">
        <f>SUM(B17,26)</f>
        <v>478</v>
      </c>
      <c r="C18" s="9">
        <f t="shared" si="11"/>
        <v>3809.2544987146525</v>
      </c>
      <c r="D18">
        <f t="shared" si="33"/>
        <v>440</v>
      </c>
      <c r="E18" s="9">
        <f t="shared" si="28"/>
        <v>3686.4864864864867</v>
      </c>
      <c r="F18">
        <f t="shared" si="34"/>
        <v>410</v>
      </c>
      <c r="G18" s="9">
        <f t="shared" si="35"/>
        <v>3580.2816901408451</v>
      </c>
      <c r="I18" s="4">
        <f t="shared" si="21"/>
        <v>6200</v>
      </c>
      <c r="J18" s="5">
        <f t="shared" si="22"/>
        <v>406</v>
      </c>
      <c r="K18" s="9">
        <f t="shared" si="5"/>
        <v>3565.4390934844196</v>
      </c>
      <c r="L18" s="5">
        <f t="shared" si="41"/>
        <v>418</v>
      </c>
      <c r="M18" s="9">
        <f t="shared" ref="M18:M19" si="42">PRODUCT(I18,L18,1/(L18+300))</f>
        <v>3609.4707520891366</v>
      </c>
      <c r="N18" s="5">
        <f t="shared" si="24"/>
        <v>387</v>
      </c>
      <c r="O18" s="9">
        <f t="shared" si="36"/>
        <v>3492.5764192139741</v>
      </c>
      <c r="Q18" s="4">
        <f t="shared" si="25"/>
        <v>6200</v>
      </c>
      <c r="R18" s="5">
        <v>0</v>
      </c>
      <c r="S18" s="9">
        <f t="shared" si="37"/>
        <v>0</v>
      </c>
      <c r="T18" s="5">
        <v>0</v>
      </c>
      <c r="U18" s="9">
        <f t="shared" ref="U18:U21" si="43">PRODUCT(Q18,T18,1/(T18+300))</f>
        <v>0</v>
      </c>
      <c r="V18">
        <v>0</v>
      </c>
      <c r="W18" s="9">
        <f t="shared" si="38"/>
        <v>0</v>
      </c>
      <c r="Y18" s="4">
        <f t="shared" si="26"/>
        <v>6200</v>
      </c>
      <c r="Z18" s="5">
        <v>0</v>
      </c>
      <c r="AA18" s="9">
        <f t="shared" si="8"/>
        <v>0</v>
      </c>
      <c r="AB18" s="5">
        <v>0</v>
      </c>
      <c r="AC18" s="9">
        <f t="shared" ref="AC18:AC19" si="44">PRODUCT(Y18,AB18,1/(AB18+300))</f>
        <v>0</v>
      </c>
      <c r="AD18" s="5">
        <v>0</v>
      </c>
      <c r="AE18" s="9">
        <f t="shared" si="39"/>
        <v>0</v>
      </c>
      <c r="AG18" s="4">
        <f t="shared" si="27"/>
        <v>6200</v>
      </c>
      <c r="AH18">
        <v>0</v>
      </c>
      <c r="AI18" s="9">
        <f t="shared" si="12"/>
        <v>0</v>
      </c>
      <c r="AJ18">
        <f t="shared" si="3"/>
        <v>302</v>
      </c>
      <c r="AK18" s="9">
        <f t="shared" ref="AK18:AK21" si="45">PRODUCT(AG18,AJ18,1/(AJ18+300))</f>
        <v>3110.2990033222591</v>
      </c>
      <c r="AL18">
        <f t="shared" si="4"/>
        <v>284</v>
      </c>
      <c r="AM18" s="9">
        <f t="shared" si="40"/>
        <v>3015.0684931506848</v>
      </c>
      <c r="AO18" s="4"/>
      <c r="AP18" s="5"/>
      <c r="AQ18" s="9"/>
      <c r="AR18" s="5"/>
      <c r="AS18" s="9"/>
      <c r="AT18" s="5"/>
      <c r="AU18" s="9"/>
    </row>
    <row r="19" spans="1:47" x14ac:dyDescent="0.25">
      <c r="A19" s="4">
        <f t="shared" si="20"/>
        <v>6700</v>
      </c>
      <c r="B19">
        <f>SUM(B18,30)</f>
        <v>508</v>
      </c>
      <c r="C19" s="9">
        <f t="shared" si="11"/>
        <v>4212.3762376237628</v>
      </c>
      <c r="D19">
        <f t="shared" si="33"/>
        <v>460</v>
      </c>
      <c r="E19" s="9">
        <f t="shared" si="28"/>
        <v>4055.2631578947367</v>
      </c>
      <c r="F19">
        <f t="shared" si="34"/>
        <v>430</v>
      </c>
      <c r="G19" s="9">
        <f t="shared" si="35"/>
        <v>3946.5753424657532</v>
      </c>
      <c r="I19" s="4">
        <f t="shared" si="21"/>
        <v>6700</v>
      </c>
      <c r="J19" s="5">
        <f t="shared" si="22"/>
        <v>425</v>
      </c>
      <c r="K19" s="9">
        <f t="shared" si="5"/>
        <v>3927.5862068965516</v>
      </c>
      <c r="L19" s="5">
        <f t="shared" si="41"/>
        <v>438</v>
      </c>
      <c r="M19" s="9">
        <f t="shared" si="42"/>
        <v>3976.4227642276423</v>
      </c>
      <c r="N19" s="5">
        <f t="shared" si="24"/>
        <v>405</v>
      </c>
      <c r="O19" s="9">
        <f t="shared" si="36"/>
        <v>3848.9361702127662</v>
      </c>
      <c r="Q19" s="4">
        <f t="shared" si="25"/>
        <v>6700</v>
      </c>
      <c r="R19" s="5">
        <v>0</v>
      </c>
      <c r="S19" s="9">
        <f t="shared" si="37"/>
        <v>0</v>
      </c>
      <c r="T19" s="5">
        <v>0</v>
      </c>
      <c r="U19" s="9">
        <f t="shared" si="43"/>
        <v>0</v>
      </c>
      <c r="V19">
        <v>0</v>
      </c>
      <c r="W19" s="9">
        <f t="shared" si="38"/>
        <v>0</v>
      </c>
      <c r="Y19" s="4">
        <f t="shared" si="26"/>
        <v>6700</v>
      </c>
      <c r="Z19" s="5">
        <v>0</v>
      </c>
      <c r="AA19" s="9">
        <f t="shared" si="8"/>
        <v>0</v>
      </c>
      <c r="AB19" s="5">
        <v>0</v>
      </c>
      <c r="AC19" s="9">
        <f t="shared" si="44"/>
        <v>0</v>
      </c>
      <c r="AD19" s="5">
        <v>0</v>
      </c>
      <c r="AE19" s="9">
        <f t="shared" si="39"/>
        <v>0</v>
      </c>
      <c r="AG19" s="4">
        <f t="shared" si="27"/>
        <v>6700</v>
      </c>
      <c r="AH19">
        <v>0</v>
      </c>
      <c r="AI19" s="9">
        <f t="shared" si="12"/>
        <v>0</v>
      </c>
      <c r="AJ19">
        <v>0</v>
      </c>
      <c r="AK19" s="9">
        <f t="shared" si="45"/>
        <v>0</v>
      </c>
      <c r="AL19">
        <v>0</v>
      </c>
      <c r="AM19" s="9">
        <f t="shared" si="40"/>
        <v>0</v>
      </c>
      <c r="AO19" s="4"/>
      <c r="AP19" s="5"/>
      <c r="AQ19" s="9"/>
      <c r="AR19" s="5"/>
      <c r="AS19" s="9"/>
      <c r="AT19" s="5"/>
      <c r="AU19" s="9"/>
    </row>
    <row r="20" spans="1:47" x14ac:dyDescent="0.25">
      <c r="A20" s="4">
        <f t="shared" si="20"/>
        <v>7200</v>
      </c>
      <c r="B20">
        <f>SUM(B19,30)</f>
        <v>538</v>
      </c>
      <c r="C20" s="9">
        <f t="shared" si="11"/>
        <v>4622.4343675417667</v>
      </c>
      <c r="D20">
        <f t="shared" si="33"/>
        <v>480</v>
      </c>
      <c r="E20" s="9">
        <f t="shared" si="28"/>
        <v>4430.7692307692305</v>
      </c>
      <c r="F20">
        <f t="shared" si="34"/>
        <v>450</v>
      </c>
      <c r="G20" s="9">
        <f t="shared" si="35"/>
        <v>4320</v>
      </c>
      <c r="I20" s="4">
        <f t="shared" si="21"/>
        <v>7200</v>
      </c>
      <c r="J20" s="5">
        <v>0</v>
      </c>
      <c r="K20" s="9">
        <v>0</v>
      </c>
      <c r="L20" s="5">
        <v>0</v>
      </c>
      <c r="M20" s="9">
        <v>0</v>
      </c>
      <c r="N20" s="5">
        <v>0</v>
      </c>
      <c r="O20" s="9">
        <f t="shared" si="36"/>
        <v>0</v>
      </c>
      <c r="Q20" s="4">
        <f t="shared" si="25"/>
        <v>7200</v>
      </c>
      <c r="R20" s="5">
        <v>0</v>
      </c>
      <c r="S20" s="9">
        <f t="shared" si="37"/>
        <v>0</v>
      </c>
      <c r="T20" s="5">
        <v>0</v>
      </c>
      <c r="U20" s="9">
        <f t="shared" si="43"/>
        <v>0</v>
      </c>
      <c r="V20">
        <v>0</v>
      </c>
      <c r="W20" s="9">
        <f t="shared" si="38"/>
        <v>0</v>
      </c>
      <c r="Y20" s="4">
        <f t="shared" si="26"/>
        <v>7200</v>
      </c>
      <c r="Z20" s="5">
        <v>0</v>
      </c>
      <c r="AA20" s="9">
        <v>0</v>
      </c>
      <c r="AB20" s="5">
        <v>0</v>
      </c>
      <c r="AC20" s="9">
        <v>0</v>
      </c>
      <c r="AD20" s="5">
        <v>0</v>
      </c>
      <c r="AE20" s="9">
        <f t="shared" si="39"/>
        <v>0</v>
      </c>
      <c r="AG20" s="4">
        <f t="shared" si="27"/>
        <v>7200</v>
      </c>
      <c r="AH20">
        <v>0</v>
      </c>
      <c r="AI20" s="9">
        <f t="shared" si="12"/>
        <v>0</v>
      </c>
      <c r="AJ20">
        <v>0</v>
      </c>
      <c r="AK20" s="9">
        <f t="shared" si="45"/>
        <v>0</v>
      </c>
      <c r="AL20">
        <v>0</v>
      </c>
      <c r="AM20" s="9">
        <f t="shared" si="40"/>
        <v>0</v>
      </c>
      <c r="AO20" s="4"/>
      <c r="AP20" s="5"/>
      <c r="AQ20" s="9"/>
      <c r="AR20" s="5"/>
      <c r="AS20" s="9"/>
      <c r="AT20" s="5"/>
      <c r="AU20" s="9"/>
    </row>
    <row r="21" spans="1:47" x14ac:dyDescent="0.25">
      <c r="A21" s="4">
        <f t="shared" si="20"/>
        <v>7700</v>
      </c>
      <c r="B21">
        <f>SUM(B20,25)</f>
        <v>563</v>
      </c>
      <c r="C21" s="9">
        <f t="shared" si="11"/>
        <v>5023.2908458864422</v>
      </c>
      <c r="D21">
        <f t="shared" si="33"/>
        <v>500</v>
      </c>
      <c r="E21" s="9">
        <f t="shared" si="28"/>
        <v>4812.5</v>
      </c>
      <c r="F21">
        <f t="shared" si="34"/>
        <v>470</v>
      </c>
      <c r="G21" s="9">
        <f t="shared" si="35"/>
        <v>4700</v>
      </c>
      <c r="I21" s="4">
        <f t="shared" si="21"/>
        <v>7700</v>
      </c>
      <c r="J21" s="5">
        <v>0</v>
      </c>
      <c r="K21" s="9">
        <v>0</v>
      </c>
      <c r="L21" s="5">
        <v>0</v>
      </c>
      <c r="M21" s="9">
        <v>0</v>
      </c>
      <c r="N21" s="5">
        <v>0</v>
      </c>
      <c r="O21" s="9">
        <f t="shared" si="36"/>
        <v>0</v>
      </c>
      <c r="Q21" s="4">
        <f t="shared" si="25"/>
        <v>7700</v>
      </c>
      <c r="R21">
        <v>0</v>
      </c>
      <c r="S21" s="9">
        <f t="shared" si="37"/>
        <v>0</v>
      </c>
      <c r="T21">
        <v>0</v>
      </c>
      <c r="U21" s="9">
        <f t="shared" si="43"/>
        <v>0</v>
      </c>
      <c r="V21">
        <v>0</v>
      </c>
      <c r="W21" s="9">
        <f t="shared" si="38"/>
        <v>0</v>
      </c>
      <c r="Y21" s="4">
        <f t="shared" si="26"/>
        <v>7700</v>
      </c>
      <c r="Z21" s="5">
        <v>0</v>
      </c>
      <c r="AA21" s="9">
        <v>0</v>
      </c>
      <c r="AB21" s="5">
        <v>0</v>
      </c>
      <c r="AC21" s="9">
        <v>0</v>
      </c>
      <c r="AD21" s="5">
        <v>0</v>
      </c>
      <c r="AE21" s="9">
        <f t="shared" si="39"/>
        <v>0</v>
      </c>
      <c r="AG21" s="4">
        <f t="shared" si="27"/>
        <v>7700</v>
      </c>
      <c r="AH21">
        <v>0</v>
      </c>
      <c r="AI21" s="9">
        <f t="shared" si="12"/>
        <v>0</v>
      </c>
      <c r="AJ21">
        <v>0</v>
      </c>
      <c r="AK21" s="9">
        <f t="shared" si="45"/>
        <v>0</v>
      </c>
      <c r="AL21">
        <v>0</v>
      </c>
      <c r="AM21" s="9">
        <f t="shared" si="40"/>
        <v>0</v>
      </c>
      <c r="AO21" s="4"/>
      <c r="AP21" s="5"/>
      <c r="AQ21" s="9"/>
      <c r="AR21" s="5"/>
      <c r="AS21" s="9"/>
      <c r="AT21" s="5"/>
      <c r="AU21" s="9"/>
    </row>
    <row r="22" spans="1:47" x14ac:dyDescent="0.25">
      <c r="A22" s="4">
        <f t="shared" si="20"/>
        <v>8200</v>
      </c>
      <c r="B22" s="9">
        <v>0</v>
      </c>
      <c r="C22" s="9">
        <f t="shared" si="11"/>
        <v>0</v>
      </c>
      <c r="D22" s="9">
        <v>0</v>
      </c>
      <c r="E22" s="9">
        <f>PRODUCT(A22,D22,1/(D22+300))</f>
        <v>0</v>
      </c>
      <c r="F22">
        <f>SUM(F21,20)</f>
        <v>490</v>
      </c>
      <c r="G22" s="9">
        <f t="shared" si="35"/>
        <v>5086.0759493670885</v>
      </c>
      <c r="I22" s="4">
        <f t="shared" si="21"/>
        <v>8200</v>
      </c>
      <c r="J22" s="9">
        <v>0</v>
      </c>
      <c r="K22" s="9">
        <f t="shared" si="5"/>
        <v>0</v>
      </c>
      <c r="L22" s="9">
        <v>0</v>
      </c>
      <c r="M22" s="9">
        <f>PRODUCT(I22,L22,1/(L22+300))</f>
        <v>0</v>
      </c>
      <c r="N22" s="5">
        <v>0</v>
      </c>
      <c r="O22" s="9">
        <f t="shared" si="36"/>
        <v>0</v>
      </c>
      <c r="Q22" s="4">
        <f t="shared" si="25"/>
        <v>8200</v>
      </c>
      <c r="R22" s="9">
        <v>0</v>
      </c>
      <c r="S22" s="9">
        <f t="shared" si="37"/>
        <v>0</v>
      </c>
      <c r="T22" s="9">
        <v>0</v>
      </c>
      <c r="U22" s="9">
        <f>PRODUCT(Q22,T22,1/(T22+300))</f>
        <v>0</v>
      </c>
      <c r="V22">
        <v>0</v>
      </c>
      <c r="W22" s="9">
        <f t="shared" si="38"/>
        <v>0</v>
      </c>
      <c r="Y22" s="4">
        <f t="shared" si="26"/>
        <v>8200</v>
      </c>
      <c r="Z22" s="9">
        <v>0</v>
      </c>
      <c r="AA22" s="9">
        <f t="shared" ref="AA22:AA23" si="46">PRODUCT(Y22,Z22,1/(Z22+300))</f>
        <v>0</v>
      </c>
      <c r="AB22" s="9">
        <v>0</v>
      </c>
      <c r="AC22" s="9">
        <f>PRODUCT(Y22,AB22,1/(AB22+300))</f>
        <v>0</v>
      </c>
      <c r="AD22" s="5">
        <v>0</v>
      </c>
      <c r="AE22" s="9">
        <f t="shared" si="39"/>
        <v>0</v>
      </c>
      <c r="AG22" s="4">
        <f t="shared" si="27"/>
        <v>8200</v>
      </c>
      <c r="AH22" s="9">
        <v>0</v>
      </c>
      <c r="AI22" s="9">
        <f t="shared" si="12"/>
        <v>0</v>
      </c>
      <c r="AJ22" s="9">
        <v>0</v>
      </c>
      <c r="AK22" s="9">
        <f>PRODUCT(AG22,AJ22,1/(AJ22+300))</f>
        <v>0</v>
      </c>
      <c r="AL22">
        <v>0</v>
      </c>
      <c r="AM22" s="9">
        <f t="shared" si="40"/>
        <v>0</v>
      </c>
      <c r="AO22" s="4"/>
      <c r="AP22" s="9"/>
      <c r="AQ22" s="9"/>
      <c r="AR22" s="9"/>
      <c r="AS22" s="9"/>
      <c r="AT22" s="5"/>
      <c r="AU22" s="9"/>
    </row>
    <row r="23" spans="1:47" x14ac:dyDescent="0.25">
      <c r="A23" s="4">
        <f t="shared" si="20"/>
        <v>8700</v>
      </c>
      <c r="B23" s="9">
        <v>0</v>
      </c>
      <c r="C23" s="9">
        <f t="shared" si="11"/>
        <v>0</v>
      </c>
      <c r="D23" s="9">
        <v>0</v>
      </c>
      <c r="E23" s="9">
        <f t="shared" si="28"/>
        <v>0</v>
      </c>
      <c r="F23">
        <v>0</v>
      </c>
      <c r="G23" s="9">
        <f t="shared" si="35"/>
        <v>0</v>
      </c>
      <c r="I23" s="4">
        <f t="shared" si="21"/>
        <v>8700</v>
      </c>
      <c r="J23" s="9">
        <v>0</v>
      </c>
      <c r="K23" s="9">
        <f t="shared" si="5"/>
        <v>0</v>
      </c>
      <c r="L23" s="9">
        <v>0</v>
      </c>
      <c r="M23" s="9">
        <f t="shared" ref="M23" si="47">PRODUCT(I23,L23,1/(L23+300))</f>
        <v>0</v>
      </c>
      <c r="N23">
        <v>0</v>
      </c>
      <c r="O23" s="9">
        <f t="shared" si="36"/>
        <v>0</v>
      </c>
      <c r="Q23" s="4">
        <f t="shared" si="25"/>
        <v>8700</v>
      </c>
      <c r="R23" s="9">
        <v>0</v>
      </c>
      <c r="S23" s="9">
        <f t="shared" si="37"/>
        <v>0</v>
      </c>
      <c r="T23" s="9">
        <v>0</v>
      </c>
      <c r="U23" s="9">
        <f t="shared" ref="U23" si="48">PRODUCT(Q23,T23,1/(T23+300))</f>
        <v>0</v>
      </c>
      <c r="V23">
        <v>0</v>
      </c>
      <c r="W23" s="9">
        <f t="shared" si="38"/>
        <v>0</v>
      </c>
      <c r="Y23" s="4">
        <f t="shared" si="26"/>
        <v>8700</v>
      </c>
      <c r="Z23" s="9">
        <v>0</v>
      </c>
      <c r="AA23" s="9">
        <f t="shared" si="46"/>
        <v>0</v>
      </c>
      <c r="AB23" s="9">
        <v>0</v>
      </c>
      <c r="AC23" s="9">
        <f t="shared" ref="AC23" si="49">PRODUCT(Y23,AB23,1/(AB23+300))</f>
        <v>0</v>
      </c>
      <c r="AD23">
        <v>0</v>
      </c>
      <c r="AE23" s="9">
        <f t="shared" si="39"/>
        <v>0</v>
      </c>
      <c r="AG23" s="4">
        <f t="shared" si="27"/>
        <v>8700</v>
      </c>
      <c r="AH23" s="9">
        <v>0</v>
      </c>
      <c r="AI23" s="9">
        <f t="shared" si="12"/>
        <v>0</v>
      </c>
      <c r="AJ23" s="9">
        <v>0</v>
      </c>
      <c r="AK23" s="9">
        <f t="shared" ref="AK23" si="50">PRODUCT(AG23,AJ23,1/(AJ23+300))</f>
        <v>0</v>
      </c>
      <c r="AL23">
        <v>0</v>
      </c>
      <c r="AM23" s="9">
        <f t="shared" si="40"/>
        <v>0</v>
      </c>
      <c r="AO23" s="4"/>
      <c r="AP23" s="9"/>
      <c r="AQ23" s="9"/>
      <c r="AR23" s="9"/>
      <c r="AS23" s="9"/>
      <c r="AU23" s="9"/>
    </row>
    <row r="24" spans="1:47" x14ac:dyDescent="0.25">
      <c r="A24" t="s">
        <v>51</v>
      </c>
      <c r="C24" s="16">
        <v>1700</v>
      </c>
      <c r="D24" s="16"/>
      <c r="E24" s="16">
        <v>1700</v>
      </c>
      <c r="F24" s="16"/>
      <c r="G24" s="16">
        <v>2200</v>
      </c>
      <c r="I24" t="s">
        <v>51</v>
      </c>
      <c r="K24" s="16">
        <v>1200</v>
      </c>
      <c r="L24" s="16"/>
      <c r="M24" s="16">
        <v>1200</v>
      </c>
      <c r="N24" s="16"/>
      <c r="O24" s="16">
        <v>1200</v>
      </c>
      <c r="Q24" t="s">
        <v>51</v>
      </c>
      <c r="S24" s="16">
        <v>1300</v>
      </c>
      <c r="T24" s="16"/>
      <c r="U24" s="16">
        <v>1300</v>
      </c>
      <c r="V24" s="16"/>
      <c r="W24" s="16">
        <v>1300</v>
      </c>
      <c r="Y24" t="s">
        <v>51</v>
      </c>
      <c r="AA24" s="16">
        <v>1300</v>
      </c>
      <c r="AB24" s="16"/>
      <c r="AC24" s="16">
        <v>1300</v>
      </c>
      <c r="AD24" s="16"/>
      <c r="AE24" s="16">
        <v>1300</v>
      </c>
      <c r="AG24" t="s">
        <v>51</v>
      </c>
      <c r="AI24" s="16">
        <v>50</v>
      </c>
      <c r="AJ24" s="16"/>
      <c r="AK24" s="16">
        <v>50</v>
      </c>
      <c r="AL24" s="16"/>
      <c r="AM24" s="16">
        <v>100</v>
      </c>
      <c r="AQ24" s="16"/>
      <c r="AR24" s="16"/>
      <c r="AS24" s="16"/>
      <c r="AT24" s="16"/>
      <c r="AU24" s="16"/>
    </row>
    <row r="25" spans="1:47" x14ac:dyDescent="0.25">
      <c r="A25" t="s">
        <v>50</v>
      </c>
      <c r="C25" s="16">
        <v>7700</v>
      </c>
      <c r="D25" s="16"/>
      <c r="E25" s="16">
        <v>7700</v>
      </c>
      <c r="F25" s="16"/>
      <c r="G25" s="16">
        <v>8200</v>
      </c>
      <c r="I25" t="s">
        <v>50</v>
      </c>
      <c r="K25" s="16">
        <v>6700</v>
      </c>
      <c r="L25" s="16"/>
      <c r="M25" s="16">
        <v>6700</v>
      </c>
      <c r="N25" s="16"/>
      <c r="O25" s="16">
        <v>6700</v>
      </c>
      <c r="Q25" t="s">
        <v>50</v>
      </c>
      <c r="S25" s="16">
        <v>4200</v>
      </c>
      <c r="T25" s="16"/>
      <c r="U25" s="16">
        <v>4200</v>
      </c>
      <c r="V25" s="16"/>
      <c r="W25" s="16">
        <v>4200</v>
      </c>
      <c r="Y25" t="s">
        <v>50</v>
      </c>
      <c r="AA25" s="16">
        <v>5200</v>
      </c>
      <c r="AB25" s="16"/>
      <c r="AC25" s="16">
        <v>5200</v>
      </c>
      <c r="AD25" s="16"/>
      <c r="AE25" s="16">
        <v>5200</v>
      </c>
      <c r="AG25" t="s">
        <v>50</v>
      </c>
      <c r="AI25" s="16">
        <v>5700</v>
      </c>
      <c r="AJ25" s="16"/>
      <c r="AK25" s="16">
        <v>6200</v>
      </c>
      <c r="AL25" s="16"/>
      <c r="AM25" s="16">
        <v>6200</v>
      </c>
      <c r="AQ25" s="16"/>
      <c r="AR25" s="16"/>
      <c r="AS25" s="16"/>
      <c r="AT25" s="16"/>
      <c r="AU25" s="16"/>
    </row>
    <row r="26" spans="1:47" x14ac:dyDescent="0.25">
      <c r="A26" t="s">
        <v>52</v>
      </c>
      <c r="C26" s="16">
        <v>800</v>
      </c>
      <c r="D26" s="16"/>
      <c r="E26" s="16">
        <v>800</v>
      </c>
      <c r="F26" s="16"/>
      <c r="G26" s="16">
        <v>800</v>
      </c>
      <c r="I26" t="s">
        <v>52</v>
      </c>
      <c r="K26" s="16">
        <v>500</v>
      </c>
      <c r="L26" s="16"/>
      <c r="M26" s="16">
        <v>500</v>
      </c>
      <c r="N26" s="16"/>
      <c r="O26" s="16">
        <v>500</v>
      </c>
      <c r="Q26" t="s">
        <v>52</v>
      </c>
      <c r="S26" s="16">
        <v>500</v>
      </c>
      <c r="T26" s="16"/>
      <c r="U26" s="16">
        <v>500</v>
      </c>
      <c r="V26" s="16"/>
      <c r="W26" s="16">
        <v>500</v>
      </c>
      <c r="Y26" t="s">
        <v>52</v>
      </c>
      <c r="AA26" s="16">
        <v>500</v>
      </c>
      <c r="AB26" s="16"/>
      <c r="AC26" s="16">
        <v>500</v>
      </c>
      <c r="AD26" s="16"/>
      <c r="AE26" s="16">
        <v>500</v>
      </c>
      <c r="AG26" t="s">
        <v>52</v>
      </c>
      <c r="AI26" s="16">
        <v>10</v>
      </c>
      <c r="AJ26" s="16"/>
      <c r="AK26" s="16">
        <v>18</v>
      </c>
      <c r="AL26" s="16"/>
      <c r="AM26" s="16">
        <v>38</v>
      </c>
      <c r="AQ26" s="16"/>
      <c r="AR26" s="16"/>
      <c r="AS26" s="16"/>
      <c r="AT26" s="16"/>
      <c r="AU26" s="16"/>
    </row>
    <row r="27" spans="1:47" x14ac:dyDescent="0.25">
      <c r="A27" t="s">
        <v>53</v>
      </c>
      <c r="C27" s="16">
        <v>5040</v>
      </c>
      <c r="D27" s="16"/>
      <c r="E27" s="16">
        <v>5000</v>
      </c>
      <c r="F27" s="16"/>
      <c r="G27" s="16">
        <v>5000</v>
      </c>
      <c r="I27" t="s">
        <v>53</v>
      </c>
      <c r="K27" s="16">
        <v>4000</v>
      </c>
      <c r="L27" s="16"/>
      <c r="M27" s="16">
        <v>4000</v>
      </c>
      <c r="N27" s="16"/>
      <c r="O27" s="16">
        <v>4000</v>
      </c>
      <c r="Q27" t="s">
        <v>53</v>
      </c>
      <c r="S27" s="16">
        <v>2100</v>
      </c>
      <c r="T27" s="16"/>
      <c r="U27" s="16">
        <v>2100</v>
      </c>
      <c r="V27" s="16"/>
      <c r="W27" s="16">
        <v>2100</v>
      </c>
      <c r="Y27" t="s">
        <v>53</v>
      </c>
      <c r="AA27" s="16">
        <v>2600</v>
      </c>
      <c r="AB27" s="16"/>
      <c r="AC27" s="16">
        <v>2600</v>
      </c>
      <c r="AD27" s="16"/>
      <c r="AE27" s="16">
        <v>2510</v>
      </c>
      <c r="AG27" t="s">
        <v>53</v>
      </c>
      <c r="AI27" s="16">
        <v>3000</v>
      </c>
      <c r="AJ27" s="16"/>
      <c r="AK27" s="16">
        <v>3120</v>
      </c>
      <c r="AL27" s="16"/>
      <c r="AM27" s="16">
        <v>3020</v>
      </c>
      <c r="AQ27" s="16"/>
      <c r="AR27" s="16"/>
      <c r="AS27" s="16"/>
      <c r="AT27" s="16"/>
      <c r="AU27" s="16"/>
    </row>
    <row r="28" spans="1:47" ht="30" customHeight="1" x14ac:dyDescent="0.25">
      <c r="A28" s="25" t="s">
        <v>82</v>
      </c>
      <c r="B28" s="26"/>
      <c r="C28" s="16">
        <v>3200</v>
      </c>
      <c r="D28" s="16"/>
      <c r="E28" s="16">
        <v>3200</v>
      </c>
      <c r="F28" s="16"/>
      <c r="G28" s="16">
        <v>3700</v>
      </c>
      <c r="I28" s="25" t="s">
        <v>82</v>
      </c>
      <c r="J28" s="26"/>
      <c r="K28" s="16">
        <v>2700</v>
      </c>
      <c r="L28" s="16"/>
      <c r="M28" s="16">
        <v>2700</v>
      </c>
      <c r="N28" s="16"/>
      <c r="O28" s="16">
        <v>2700</v>
      </c>
      <c r="Q28" s="25" t="s">
        <v>82</v>
      </c>
      <c r="R28" s="26"/>
      <c r="S28" s="16">
        <v>2800</v>
      </c>
      <c r="T28" s="16"/>
      <c r="U28" s="16">
        <v>2800</v>
      </c>
      <c r="V28" s="16"/>
      <c r="W28" s="16">
        <v>2800</v>
      </c>
      <c r="Y28" s="25" t="s">
        <v>82</v>
      </c>
      <c r="Z28" s="26"/>
      <c r="AA28" s="16">
        <v>2800</v>
      </c>
      <c r="AB28" s="16"/>
      <c r="AC28" s="16">
        <v>2800</v>
      </c>
      <c r="AD28" s="16"/>
      <c r="AE28" s="16">
        <v>2800</v>
      </c>
      <c r="AG28" s="25" t="s">
        <v>82</v>
      </c>
      <c r="AH28" s="26"/>
      <c r="AI28" s="16">
        <v>1550</v>
      </c>
      <c r="AJ28" s="16"/>
      <c r="AK28" s="16">
        <v>1550</v>
      </c>
      <c r="AL28" s="16"/>
      <c r="AM28" s="16">
        <v>1600</v>
      </c>
      <c r="AO28" s="25"/>
      <c r="AP28" s="26"/>
      <c r="AQ28" s="16"/>
      <c r="AR28" s="16"/>
      <c r="AS28" s="16"/>
      <c r="AT28" s="16"/>
      <c r="AU28" s="16"/>
    </row>
    <row r="29" spans="1:47" ht="30" customHeight="1" x14ac:dyDescent="0.25">
      <c r="A29" s="25" t="s">
        <v>58</v>
      </c>
      <c r="B29" s="26"/>
      <c r="C29" s="16">
        <v>2300</v>
      </c>
      <c r="D29" s="16"/>
      <c r="E29" s="16">
        <v>2300</v>
      </c>
      <c r="F29" s="16"/>
      <c r="G29" s="16">
        <v>2800</v>
      </c>
      <c r="I29" s="25" t="s">
        <v>58</v>
      </c>
      <c r="J29" s="26"/>
      <c r="K29" s="16">
        <v>1800</v>
      </c>
      <c r="L29" s="16"/>
      <c r="M29" s="16">
        <v>1800</v>
      </c>
      <c r="N29" s="16"/>
      <c r="O29" s="16">
        <v>1800</v>
      </c>
      <c r="Q29" s="25" t="s">
        <v>58</v>
      </c>
      <c r="R29" s="26"/>
      <c r="S29" s="16">
        <v>1900</v>
      </c>
      <c r="T29" s="16"/>
      <c r="U29" s="16">
        <v>1900</v>
      </c>
      <c r="V29" s="16"/>
      <c r="W29" s="16">
        <v>1900</v>
      </c>
      <c r="Y29" s="25" t="s">
        <v>58</v>
      </c>
      <c r="Z29" s="26"/>
      <c r="AA29" s="16">
        <v>1900</v>
      </c>
      <c r="AB29" s="16"/>
      <c r="AC29" s="16">
        <v>1900</v>
      </c>
      <c r="AD29" s="16"/>
      <c r="AE29" s="16">
        <v>1900</v>
      </c>
      <c r="AG29" s="25" t="s">
        <v>58</v>
      </c>
      <c r="AH29" s="26"/>
      <c r="AI29" s="16">
        <v>650</v>
      </c>
      <c r="AJ29" s="16"/>
      <c r="AK29" s="16">
        <v>650</v>
      </c>
      <c r="AL29" s="16"/>
      <c r="AM29" s="16">
        <v>700</v>
      </c>
      <c r="AO29" s="25"/>
      <c r="AP29" s="26"/>
      <c r="AQ29" s="16"/>
      <c r="AR29" s="16"/>
      <c r="AS29" s="16"/>
      <c r="AT29" s="16"/>
      <c r="AU29" s="16"/>
    </row>
    <row r="31" spans="1:47" ht="44.25" customHeight="1" x14ac:dyDescent="0.25">
      <c r="A31" s="25" t="s">
        <v>83</v>
      </c>
      <c r="B31" s="25"/>
      <c r="C31" s="25"/>
      <c r="D31" s="25"/>
      <c r="E31" s="25"/>
      <c r="F31" s="25"/>
      <c r="G31" s="25"/>
      <c r="H31" s="23"/>
      <c r="I31" s="25" t="s">
        <v>84</v>
      </c>
      <c r="J31" s="25"/>
      <c r="K31" s="25"/>
      <c r="L31" s="25"/>
      <c r="M31" s="25"/>
      <c r="N31" s="25"/>
      <c r="O31" s="25"/>
      <c r="Q31" s="25" t="s">
        <v>90</v>
      </c>
      <c r="R31" s="25"/>
      <c r="S31" s="25"/>
      <c r="T31" s="25"/>
      <c r="U31" s="25"/>
      <c r="V31" s="25"/>
      <c r="W31" s="25"/>
      <c r="X31" s="23"/>
      <c r="Y31" s="25" t="s">
        <v>91</v>
      </c>
      <c r="Z31" s="25"/>
      <c r="AA31" s="25"/>
      <c r="AB31" s="25"/>
      <c r="AC31" s="25"/>
      <c r="AD31" s="25"/>
      <c r="AE31" s="25"/>
      <c r="AG31" s="25" t="s">
        <v>92</v>
      </c>
      <c r="AH31" s="25"/>
      <c r="AI31" s="25"/>
      <c r="AJ31" s="25"/>
      <c r="AK31" s="25"/>
      <c r="AL31" s="25"/>
      <c r="AM31" s="25"/>
    </row>
    <row r="32" spans="1:47" x14ac:dyDescent="0.25">
      <c r="A32" s="25" t="s">
        <v>39</v>
      </c>
      <c r="B32" s="24" t="s">
        <v>70</v>
      </c>
      <c r="C32" s="24"/>
      <c r="D32" s="24" t="s">
        <v>71</v>
      </c>
      <c r="E32" s="24"/>
      <c r="F32" s="24" t="s">
        <v>43</v>
      </c>
      <c r="G32" s="24"/>
      <c r="H32" s="12"/>
      <c r="I32" s="25" t="s">
        <v>39</v>
      </c>
      <c r="J32" s="24" t="s">
        <v>70</v>
      </c>
      <c r="K32" s="24"/>
      <c r="L32" s="24" t="s">
        <v>71</v>
      </c>
      <c r="M32" s="24"/>
      <c r="N32" s="24" t="s">
        <v>43</v>
      </c>
      <c r="O32" s="24"/>
      <c r="Q32" s="25" t="s">
        <v>39</v>
      </c>
      <c r="R32" s="24" t="s">
        <v>70</v>
      </c>
      <c r="S32" s="24"/>
      <c r="T32" s="24" t="s">
        <v>71</v>
      </c>
      <c r="U32" s="24"/>
      <c r="V32" s="24" t="s">
        <v>43</v>
      </c>
      <c r="W32" s="24"/>
      <c r="X32" s="12"/>
      <c r="Y32" s="25" t="s">
        <v>39</v>
      </c>
      <c r="Z32" s="24" t="s">
        <v>70</v>
      </c>
      <c r="AA32" s="24"/>
      <c r="AB32" s="24" t="s">
        <v>71</v>
      </c>
      <c r="AC32" s="24"/>
      <c r="AD32" s="24" t="s">
        <v>43</v>
      </c>
      <c r="AE32" s="24"/>
      <c r="AG32" s="25" t="s">
        <v>39</v>
      </c>
      <c r="AH32" s="24" t="s">
        <v>70</v>
      </c>
      <c r="AI32" s="24"/>
      <c r="AJ32" s="24" t="s">
        <v>71</v>
      </c>
      <c r="AK32" s="24"/>
      <c r="AL32" s="24" t="s">
        <v>43</v>
      </c>
      <c r="AM32" s="24"/>
    </row>
    <row r="33" spans="1:39" x14ac:dyDescent="0.25">
      <c r="A33" s="25"/>
      <c r="B33" t="s">
        <v>40</v>
      </c>
      <c r="C33" t="s">
        <v>41</v>
      </c>
      <c r="D33" t="s">
        <v>40</v>
      </c>
      <c r="E33" t="s">
        <v>41</v>
      </c>
      <c r="F33" t="s">
        <v>40</v>
      </c>
      <c r="G33" t="s">
        <v>41</v>
      </c>
      <c r="I33" s="25"/>
      <c r="J33" t="s">
        <v>40</v>
      </c>
      <c r="K33" t="s">
        <v>41</v>
      </c>
      <c r="L33" t="s">
        <v>40</v>
      </c>
      <c r="M33" t="s">
        <v>41</v>
      </c>
      <c r="N33" t="s">
        <v>40</v>
      </c>
      <c r="O33" t="s">
        <v>41</v>
      </c>
      <c r="Q33" s="25"/>
      <c r="R33" t="s">
        <v>40</v>
      </c>
      <c r="S33" t="s">
        <v>41</v>
      </c>
      <c r="T33" t="s">
        <v>40</v>
      </c>
      <c r="U33" t="s">
        <v>41</v>
      </c>
      <c r="V33" t="s">
        <v>40</v>
      </c>
      <c r="W33" t="s">
        <v>41</v>
      </c>
      <c r="Y33" s="25"/>
      <c r="Z33" t="s">
        <v>40</v>
      </c>
      <c r="AA33" t="s">
        <v>41</v>
      </c>
      <c r="AB33" t="s">
        <v>40</v>
      </c>
      <c r="AC33" t="s">
        <v>41</v>
      </c>
      <c r="AD33" t="s">
        <v>40</v>
      </c>
      <c r="AE33" t="s">
        <v>41</v>
      </c>
      <c r="AG33" s="25"/>
      <c r="AH33" t="s">
        <v>40</v>
      </c>
      <c r="AI33" t="s">
        <v>41</v>
      </c>
      <c r="AJ33" t="s">
        <v>40</v>
      </c>
      <c r="AK33" t="s">
        <v>41</v>
      </c>
      <c r="AL33" t="s">
        <v>40</v>
      </c>
      <c r="AM33" t="s">
        <v>41</v>
      </c>
    </row>
    <row r="34" spans="1:39" x14ac:dyDescent="0.25">
      <c r="A34" s="4">
        <v>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I34" s="4">
        <v>50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 s="4">
        <v>50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Y34" s="4">
        <v>50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G34" s="4">
        <v>50</v>
      </c>
      <c r="AH34">
        <v>180</v>
      </c>
      <c r="AI34" s="9">
        <f>PRODUCT(AG34,AH34,1/(AH34+150))</f>
        <v>27.272727272727273</v>
      </c>
      <c r="AJ34">
        <v>176</v>
      </c>
      <c r="AK34" s="9">
        <f>PRODUCT(AG34,AJ34,1/(AJ34+150))</f>
        <v>26.993865030674847</v>
      </c>
      <c r="AL34">
        <v>0</v>
      </c>
      <c r="AM34" s="9">
        <f t="shared" ref="AM34" si="51">PRODUCT(AG34,AL34,1/(AL34+300))</f>
        <v>0</v>
      </c>
    </row>
    <row r="35" spans="1:39" x14ac:dyDescent="0.25">
      <c r="A35" s="4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I35" s="4">
        <v>100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 s="4">
        <v>100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Y35" s="4">
        <v>100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G35" s="4">
        <v>100</v>
      </c>
      <c r="AH35">
        <v>190</v>
      </c>
      <c r="AI35" s="9">
        <f t="shared" ref="AI35:AI47" si="52">PRODUCT(AG35,AH35,1/(AH35+150))</f>
        <v>55.882352941176471</v>
      </c>
      <c r="AJ35">
        <f>SUM(AJ34,9)</f>
        <v>185</v>
      </c>
      <c r="AK35" s="9">
        <f t="shared" ref="AK35:AK48" si="53">PRODUCT(AG35,AJ35,1/(AJ35+150))</f>
        <v>55.223880597014926</v>
      </c>
      <c r="AL35">
        <v>180</v>
      </c>
      <c r="AM35" s="9">
        <f>PRODUCT(AG35,AL35,1/(AL35+150))</f>
        <v>54.545454545454547</v>
      </c>
    </row>
    <row r="36" spans="1:39" x14ac:dyDescent="0.25">
      <c r="A36" s="4">
        <v>200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I36" s="4">
        <v>200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 s="4">
        <v>200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Y36" s="4">
        <v>200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G36" s="4">
        <v>200</v>
      </c>
      <c r="AH36">
        <v>200</v>
      </c>
      <c r="AI36" s="9">
        <f t="shared" si="52"/>
        <v>114.28571428571429</v>
      </c>
      <c r="AJ36">
        <f t="shared" ref="AJ36:AJ45" si="54">SUM(AJ35,9)</f>
        <v>194</v>
      </c>
      <c r="AK36" s="9">
        <f t="shared" si="53"/>
        <v>112.79069767441861</v>
      </c>
      <c r="AL36">
        <f t="shared" ref="AL36:AL45" si="55">SUM(AL35,8)</f>
        <v>188</v>
      </c>
      <c r="AM36" s="9">
        <f t="shared" ref="AM36:AM48" si="56">PRODUCT(AG36,AL36,1/(AL36+150))</f>
        <v>111.24260355029585</v>
      </c>
    </row>
    <row r="37" spans="1:39" x14ac:dyDescent="0.25">
      <c r="A37" s="4">
        <v>700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I37" s="4">
        <v>700</v>
      </c>
      <c r="J37">
        <v>0</v>
      </c>
      <c r="K37" s="9">
        <f>PRODUCT(I37,J37,1/(J37+150))</f>
        <v>0</v>
      </c>
      <c r="L37">
        <v>0</v>
      </c>
      <c r="M37">
        <v>0</v>
      </c>
      <c r="N37">
        <v>0</v>
      </c>
      <c r="O37">
        <v>0</v>
      </c>
      <c r="Q37" s="4">
        <v>700</v>
      </c>
      <c r="R37">
        <v>0</v>
      </c>
      <c r="S37" s="9">
        <f>PRODUCT(Q37,R37,1/(R37+300))</f>
        <v>0</v>
      </c>
      <c r="T37">
        <v>0</v>
      </c>
      <c r="U37">
        <v>0</v>
      </c>
      <c r="V37">
        <v>0</v>
      </c>
      <c r="W37">
        <v>0</v>
      </c>
      <c r="Y37" s="4">
        <v>700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G37" s="4">
        <v>700</v>
      </c>
      <c r="AH37">
        <f>SUM(AH36,10)</f>
        <v>210</v>
      </c>
      <c r="AI37" s="9">
        <f t="shared" si="52"/>
        <v>408.33333333333337</v>
      </c>
      <c r="AJ37">
        <f t="shared" si="54"/>
        <v>203</v>
      </c>
      <c r="AK37" s="9">
        <f t="shared" si="53"/>
        <v>402.54957507082156</v>
      </c>
      <c r="AL37">
        <f t="shared" si="55"/>
        <v>196</v>
      </c>
      <c r="AM37" s="9">
        <f t="shared" si="56"/>
        <v>396.53179190751445</v>
      </c>
    </row>
    <row r="38" spans="1:39" x14ac:dyDescent="0.25">
      <c r="A38" s="4">
        <v>1300</v>
      </c>
      <c r="B38">
        <v>260</v>
      </c>
      <c r="C38" s="9">
        <f>PRODUCT(A38,B38,1/(B38+150))</f>
        <v>824.39024390243901</v>
      </c>
      <c r="D38">
        <v>255</v>
      </c>
      <c r="E38" s="9">
        <f>PRODUCT(A38,D38,1/(D38+150))</f>
        <v>818.51851851851848</v>
      </c>
      <c r="F38">
        <v>0</v>
      </c>
      <c r="G38" s="9">
        <f>PRODUCT(A38,F38,1/(F38+150))</f>
        <v>0</v>
      </c>
      <c r="I38" s="4">
        <v>1300</v>
      </c>
      <c r="J38">
        <v>216</v>
      </c>
      <c r="K38" s="9">
        <f>PRODUCT(I38,J38,1/(J38+150))</f>
        <v>767.21311475409834</v>
      </c>
      <c r="L38">
        <v>210</v>
      </c>
      <c r="M38" s="9">
        <f>PRODUCT(I38,L38,1/(L38+150))</f>
        <v>758.33333333333337</v>
      </c>
      <c r="N38">
        <v>217</v>
      </c>
      <c r="O38" s="9">
        <f>PRODUCT(I38,N38,1/(N38+150))</f>
        <v>768.66485013623981</v>
      </c>
      <c r="Q38" s="4">
        <v>1300</v>
      </c>
      <c r="R38">
        <v>216</v>
      </c>
      <c r="S38" s="9">
        <f>PRODUCT(Q38,R38,1/(R38+150))</f>
        <v>767.21311475409834</v>
      </c>
      <c r="T38">
        <v>216</v>
      </c>
      <c r="U38" s="9">
        <f>PRODUCT(Q38,T38,1/(T38+150))</f>
        <v>767.21311475409834</v>
      </c>
      <c r="V38">
        <v>216</v>
      </c>
      <c r="W38" s="9">
        <f>PRODUCT(Q38,V38,1/(V38+150))</f>
        <v>767.21311475409834</v>
      </c>
      <c r="Y38" s="4">
        <v>1300</v>
      </c>
      <c r="Z38">
        <v>216</v>
      </c>
      <c r="AA38" s="9">
        <f>PRODUCT(Y38,Z38,1/(Z38+150))</f>
        <v>767.21311475409834</v>
      </c>
      <c r="AB38">
        <v>210</v>
      </c>
      <c r="AC38" s="9">
        <f>PRODUCT(Y38,AB38,1/(AB38+150))</f>
        <v>758.33333333333337</v>
      </c>
      <c r="AD38">
        <v>207</v>
      </c>
      <c r="AE38" s="9">
        <f>PRODUCT(Y38,AD38,1/(AD38+150))</f>
        <v>753.78151260504205</v>
      </c>
      <c r="AG38" s="4">
        <v>1300</v>
      </c>
      <c r="AH38">
        <f t="shared" ref="AH38:AH45" si="57">SUM(AH37,10)</f>
        <v>220</v>
      </c>
      <c r="AI38" s="9">
        <f t="shared" si="52"/>
        <v>772.97297297297303</v>
      </c>
      <c r="AJ38">
        <f t="shared" si="54"/>
        <v>212</v>
      </c>
      <c r="AK38" s="9">
        <f t="shared" si="53"/>
        <v>761.32596685082865</v>
      </c>
      <c r="AL38">
        <f t="shared" si="55"/>
        <v>204</v>
      </c>
      <c r="AM38" s="9">
        <f t="shared" si="56"/>
        <v>749.15254237288138</v>
      </c>
    </row>
    <row r="39" spans="1:39" s="5" customFormat="1" x14ac:dyDescent="0.25">
      <c r="A39" s="4">
        <v>1700</v>
      </c>
      <c r="B39" s="5">
        <v>270</v>
      </c>
      <c r="C39" s="9">
        <f>PRODUCT(A39,B39,1/(B39+150))</f>
        <v>1092.8571428571429</v>
      </c>
      <c r="D39" s="5">
        <v>265</v>
      </c>
      <c r="E39" s="9">
        <f>PRODUCT(A39,D39,1/(D39+150))</f>
        <v>1085.5421686746988</v>
      </c>
      <c r="F39" s="5">
        <v>235</v>
      </c>
      <c r="G39" s="9">
        <f>PRODUCT(A39,F39,1/(F39+150))</f>
        <v>1037.6623376623377</v>
      </c>
      <c r="I39" s="4">
        <v>1700</v>
      </c>
      <c r="J39" s="5">
        <v>235</v>
      </c>
      <c r="K39" s="9">
        <f t="shared" ref="K39:K49" si="58">PRODUCT(I39,J39,1/(J39+150))</f>
        <v>1037.6623376623377</v>
      </c>
      <c r="L39" s="5">
        <v>230</v>
      </c>
      <c r="M39" s="9">
        <f t="shared" ref="M39:M49" si="59">PRODUCT(I39,L39,1/(L39+150))</f>
        <v>1028.9473684210527</v>
      </c>
      <c r="N39" s="5">
        <v>225</v>
      </c>
      <c r="O39" s="9">
        <f t="shared" ref="O39:O49" si="60">PRODUCT(I39,N39,1/(N39+150))</f>
        <v>1020</v>
      </c>
      <c r="Q39" s="4">
        <v>1700</v>
      </c>
      <c r="R39" s="5">
        <f>SUM(R38,13)</f>
        <v>229</v>
      </c>
      <c r="S39" s="9">
        <f t="shared" ref="S39:S44" si="61">PRODUCT(Q39,R39,1/(R39+150))</f>
        <v>1027.1767810026386</v>
      </c>
      <c r="T39">
        <f>SUM(T38,13)</f>
        <v>229</v>
      </c>
      <c r="U39" s="9">
        <f t="shared" ref="U39:U44" si="62">PRODUCT(Q39,T39,1/(T39+150))</f>
        <v>1027.1767810026386</v>
      </c>
      <c r="V39" s="5">
        <f>SUM(V38,13)</f>
        <v>229</v>
      </c>
      <c r="W39" s="9">
        <f t="shared" ref="W39:W44" si="63">PRODUCT(Q39,V39,1/(V39+150))</f>
        <v>1027.1767810026386</v>
      </c>
      <c r="Y39" s="4">
        <v>1700</v>
      </c>
      <c r="Z39" s="5">
        <f>SUM(Z38,10)</f>
        <v>226</v>
      </c>
      <c r="AA39" s="9">
        <f t="shared" ref="AA39:AA46" si="64">PRODUCT(Y39,Z39,1/(Z39+150))</f>
        <v>1021.8085106382979</v>
      </c>
      <c r="AB39" s="5">
        <f>SUM(AB38,11)</f>
        <v>221</v>
      </c>
      <c r="AC39" s="9">
        <f t="shared" ref="AC39:AC46" si="65">PRODUCT(Y39,AB39,1/(AB39+150))</f>
        <v>1012.6684636118599</v>
      </c>
      <c r="AD39" s="5">
        <f>SUM(AD38,9)</f>
        <v>216</v>
      </c>
      <c r="AE39" s="9">
        <f t="shared" ref="AE39:AE46" si="66">PRODUCT(Y39,AD39,1/(AD39+150))</f>
        <v>1003.2786885245902</v>
      </c>
      <c r="AG39" s="4">
        <v>1700</v>
      </c>
      <c r="AH39">
        <f t="shared" si="57"/>
        <v>230</v>
      </c>
      <c r="AI39" s="9">
        <f t="shared" si="52"/>
        <v>1028.9473684210527</v>
      </c>
      <c r="AJ39">
        <f t="shared" si="54"/>
        <v>221</v>
      </c>
      <c r="AK39" s="9">
        <f t="shared" si="53"/>
        <v>1012.6684636118599</v>
      </c>
      <c r="AL39">
        <f t="shared" si="55"/>
        <v>212</v>
      </c>
      <c r="AM39" s="9">
        <f t="shared" si="56"/>
        <v>995.58011049723757</v>
      </c>
    </row>
    <row r="40" spans="1:39" s="5" customFormat="1" x14ac:dyDescent="0.25">
      <c r="A40" s="4">
        <f>SUM(A39+500)</f>
        <v>2200</v>
      </c>
      <c r="B40" s="5">
        <v>290</v>
      </c>
      <c r="C40" s="9">
        <f t="shared" ref="C40:C51" si="67">PRODUCT(A40,B40,1/(B40+150))</f>
        <v>1450</v>
      </c>
      <c r="D40" s="5">
        <v>280</v>
      </c>
      <c r="E40" s="9">
        <f t="shared" ref="E40:E51" si="68">PRODUCT(A40,D40,1/(D40+150))</f>
        <v>1432.5581395348836</v>
      </c>
      <c r="F40" s="5">
        <v>250</v>
      </c>
      <c r="G40" s="9">
        <f>PRODUCT(A40,F40,1/(F40+150))</f>
        <v>1375</v>
      </c>
      <c r="I40" s="4">
        <f>SUM(I39+500)</f>
        <v>2200</v>
      </c>
      <c r="J40" s="5">
        <f>SUM(J39,19)</f>
        <v>254</v>
      </c>
      <c r="K40" s="9">
        <f t="shared" si="58"/>
        <v>1383.1683168316831</v>
      </c>
      <c r="L40" s="5">
        <f>SUM(L39,22)</f>
        <v>252</v>
      </c>
      <c r="M40" s="9">
        <f t="shared" si="59"/>
        <v>1379.1044776119402</v>
      </c>
      <c r="N40" s="5">
        <f>SUM(N39,18)</f>
        <v>243</v>
      </c>
      <c r="O40" s="9">
        <f t="shared" si="60"/>
        <v>1360.3053435114505</v>
      </c>
      <c r="Q40" s="4">
        <f>SUM(Q39+500)</f>
        <v>2200</v>
      </c>
      <c r="R40" s="5">
        <f t="shared" ref="R40:R42" si="69">SUM(R39,13)</f>
        <v>242</v>
      </c>
      <c r="S40" s="9">
        <f t="shared" si="61"/>
        <v>1358.1632653061224</v>
      </c>
      <c r="T40">
        <f t="shared" ref="T40:T42" si="70">SUM(T39,13)</f>
        <v>242</v>
      </c>
      <c r="U40" s="9">
        <f t="shared" si="62"/>
        <v>1358.1632653061224</v>
      </c>
      <c r="V40" s="5">
        <f t="shared" ref="V40:V42" si="71">SUM(V39,13)</f>
        <v>242</v>
      </c>
      <c r="W40" s="9">
        <f t="shared" si="63"/>
        <v>1358.1632653061224</v>
      </c>
      <c r="Y40" s="4">
        <f>SUM(Y39+500)</f>
        <v>2200</v>
      </c>
      <c r="Z40" s="5">
        <f t="shared" ref="Z40:Z43" si="72">SUM(Z39,10)</f>
        <v>236</v>
      </c>
      <c r="AA40" s="9">
        <f t="shared" si="64"/>
        <v>1345.0777202072538</v>
      </c>
      <c r="AB40" s="5">
        <f t="shared" ref="AB40:AB43" si="73">SUM(AB39,11)</f>
        <v>232</v>
      </c>
      <c r="AC40" s="9">
        <f t="shared" si="65"/>
        <v>1336.1256544502619</v>
      </c>
      <c r="AD40" s="5">
        <f t="shared" ref="AD40:AD43" si="74">SUM(AD39,9)</f>
        <v>225</v>
      </c>
      <c r="AE40" s="9">
        <f t="shared" si="66"/>
        <v>1320</v>
      </c>
      <c r="AG40" s="4">
        <f>SUM(AG39+500)</f>
        <v>2200</v>
      </c>
      <c r="AH40">
        <f t="shared" si="57"/>
        <v>240</v>
      </c>
      <c r="AI40" s="9">
        <f t="shared" si="52"/>
        <v>1353.8461538461538</v>
      </c>
      <c r="AJ40">
        <f t="shared" si="54"/>
        <v>230</v>
      </c>
      <c r="AK40" s="9">
        <f t="shared" si="53"/>
        <v>1331.578947368421</v>
      </c>
      <c r="AL40">
        <f t="shared" si="55"/>
        <v>220</v>
      </c>
      <c r="AM40" s="9">
        <f t="shared" si="56"/>
        <v>1308.1081081081081</v>
      </c>
    </row>
    <row r="41" spans="1:39" x14ac:dyDescent="0.25">
      <c r="A41" s="4">
        <f t="shared" ref="A41:A53" si="75">SUM(A40+500)</f>
        <v>2700</v>
      </c>
      <c r="B41">
        <v>310</v>
      </c>
      <c r="C41" s="9">
        <f t="shared" si="67"/>
        <v>1819.5652173913043</v>
      </c>
      <c r="D41">
        <v>300</v>
      </c>
      <c r="E41" s="9">
        <f t="shared" si="68"/>
        <v>1800</v>
      </c>
      <c r="F41">
        <v>270</v>
      </c>
      <c r="G41" s="9">
        <f t="shared" ref="G41:G52" si="76">PRODUCT(A41,F41,1/(F41+150))</f>
        <v>1735.7142857142858</v>
      </c>
      <c r="I41" s="4">
        <f t="shared" ref="I41:I53" si="77">SUM(I40+500)</f>
        <v>2700</v>
      </c>
      <c r="J41" s="5">
        <f t="shared" ref="J41:J47" si="78">SUM(J40,19)</f>
        <v>273</v>
      </c>
      <c r="K41" s="9">
        <f t="shared" si="58"/>
        <v>1742.5531914893616</v>
      </c>
      <c r="L41" s="5">
        <f t="shared" ref="L41:L43" si="79">SUM(L40,22)</f>
        <v>274</v>
      </c>
      <c r="M41" s="9">
        <f t="shared" si="59"/>
        <v>1744.8113207547169</v>
      </c>
      <c r="N41" s="5">
        <f t="shared" ref="N41:N47" si="80">SUM(N40,18)</f>
        <v>261</v>
      </c>
      <c r="O41" s="9">
        <f t="shared" si="60"/>
        <v>1714.5985401459855</v>
      </c>
      <c r="Q41" s="4">
        <f t="shared" ref="Q41:Q53" si="81">SUM(Q40+500)</f>
        <v>2700</v>
      </c>
      <c r="R41" s="5">
        <f t="shared" si="69"/>
        <v>255</v>
      </c>
      <c r="S41" s="9">
        <f t="shared" si="61"/>
        <v>1700</v>
      </c>
      <c r="T41">
        <f t="shared" si="70"/>
        <v>255</v>
      </c>
      <c r="U41" s="9">
        <f t="shared" si="62"/>
        <v>1700</v>
      </c>
      <c r="V41" s="5">
        <f t="shared" si="71"/>
        <v>255</v>
      </c>
      <c r="W41" s="9">
        <f t="shared" si="63"/>
        <v>1700</v>
      </c>
      <c r="Y41" s="4">
        <f t="shared" ref="Y41:Y53" si="82">SUM(Y40+500)</f>
        <v>2700</v>
      </c>
      <c r="Z41" s="5">
        <f t="shared" si="72"/>
        <v>246</v>
      </c>
      <c r="AA41" s="9">
        <f t="shared" si="64"/>
        <v>1677.2727272727275</v>
      </c>
      <c r="AB41" s="5">
        <f t="shared" si="73"/>
        <v>243</v>
      </c>
      <c r="AC41" s="9">
        <f t="shared" si="65"/>
        <v>1669.465648854962</v>
      </c>
      <c r="AD41" s="5">
        <f t="shared" si="74"/>
        <v>234</v>
      </c>
      <c r="AE41" s="9">
        <f t="shared" si="66"/>
        <v>1645.3125</v>
      </c>
      <c r="AG41" s="4">
        <f t="shared" ref="AG41:AG53" si="83">SUM(AG40+500)</f>
        <v>2700</v>
      </c>
      <c r="AH41">
        <f t="shared" si="57"/>
        <v>250</v>
      </c>
      <c r="AI41" s="9">
        <f t="shared" si="52"/>
        <v>1687.5</v>
      </c>
      <c r="AJ41">
        <f t="shared" si="54"/>
        <v>239</v>
      </c>
      <c r="AK41" s="9">
        <f t="shared" si="53"/>
        <v>1658.8688946015423</v>
      </c>
      <c r="AL41">
        <f t="shared" si="55"/>
        <v>228</v>
      </c>
      <c r="AM41" s="9">
        <f t="shared" si="56"/>
        <v>1628.5714285714284</v>
      </c>
    </row>
    <row r="42" spans="1:39" x14ac:dyDescent="0.25">
      <c r="A42" s="4">
        <f t="shared" si="75"/>
        <v>3200</v>
      </c>
      <c r="B42">
        <f>SUM(B41,30)</f>
        <v>340</v>
      </c>
      <c r="C42" s="9">
        <f t="shared" si="67"/>
        <v>2220.4081632653065</v>
      </c>
      <c r="D42">
        <f>SUM(D41,20)</f>
        <v>320</v>
      </c>
      <c r="E42" s="9">
        <f t="shared" si="68"/>
        <v>2178.7234042553191</v>
      </c>
      <c r="F42">
        <v>290</v>
      </c>
      <c r="G42" s="9">
        <f t="shared" si="76"/>
        <v>2109.090909090909</v>
      </c>
      <c r="I42" s="4">
        <f t="shared" si="77"/>
        <v>3200</v>
      </c>
      <c r="J42" s="5">
        <f t="shared" si="78"/>
        <v>292</v>
      </c>
      <c r="K42" s="9">
        <f t="shared" si="58"/>
        <v>2114.0271493212672</v>
      </c>
      <c r="L42" s="5">
        <f t="shared" si="79"/>
        <v>296</v>
      </c>
      <c r="M42" s="9">
        <f t="shared" si="59"/>
        <v>2123.7668161434976</v>
      </c>
      <c r="N42" s="5">
        <f t="shared" si="80"/>
        <v>279</v>
      </c>
      <c r="O42" s="9">
        <f t="shared" si="60"/>
        <v>2081.1188811188813</v>
      </c>
      <c r="Q42" s="4">
        <f t="shared" si="81"/>
        <v>3200</v>
      </c>
      <c r="R42" s="5">
        <f t="shared" si="69"/>
        <v>268</v>
      </c>
      <c r="S42" s="9">
        <f t="shared" si="61"/>
        <v>2051.6746411483255</v>
      </c>
      <c r="T42">
        <f t="shared" si="70"/>
        <v>268</v>
      </c>
      <c r="U42" s="9">
        <f t="shared" si="62"/>
        <v>2051.6746411483255</v>
      </c>
      <c r="V42" s="5">
        <f t="shared" si="71"/>
        <v>268</v>
      </c>
      <c r="W42" s="9">
        <f t="shared" si="63"/>
        <v>2051.6746411483255</v>
      </c>
      <c r="Y42" s="4">
        <f t="shared" si="82"/>
        <v>3200</v>
      </c>
      <c r="Z42" s="5">
        <f t="shared" si="72"/>
        <v>256</v>
      </c>
      <c r="AA42" s="9">
        <f t="shared" si="64"/>
        <v>2017.7339901477833</v>
      </c>
      <c r="AB42" s="5">
        <f t="shared" si="73"/>
        <v>254</v>
      </c>
      <c r="AC42" s="9">
        <f t="shared" si="65"/>
        <v>2011.8811881188119</v>
      </c>
      <c r="AD42" s="5">
        <f t="shared" si="74"/>
        <v>243</v>
      </c>
      <c r="AE42" s="9">
        <f t="shared" si="66"/>
        <v>1978.6259541984734</v>
      </c>
      <c r="AG42" s="4">
        <f t="shared" si="83"/>
        <v>3200</v>
      </c>
      <c r="AH42">
        <f t="shared" si="57"/>
        <v>260</v>
      </c>
      <c r="AI42" s="9">
        <f t="shared" si="52"/>
        <v>2029.2682926829268</v>
      </c>
      <c r="AJ42">
        <f t="shared" si="54"/>
        <v>248</v>
      </c>
      <c r="AK42" s="9">
        <f t="shared" si="53"/>
        <v>1993.9698492462312</v>
      </c>
      <c r="AL42">
        <f t="shared" si="55"/>
        <v>236</v>
      </c>
      <c r="AM42" s="9">
        <f t="shared" si="56"/>
        <v>1956.476683937824</v>
      </c>
    </row>
    <row r="43" spans="1:39" x14ac:dyDescent="0.25">
      <c r="A43" s="4">
        <f t="shared" si="75"/>
        <v>3700</v>
      </c>
      <c r="B43">
        <f>SUM(B42,20)</f>
        <v>360</v>
      </c>
      <c r="C43" s="9">
        <f t="shared" si="67"/>
        <v>2611.7647058823527</v>
      </c>
      <c r="D43">
        <f t="shared" ref="D43:D49" si="84">SUM(D42,20)</f>
        <v>340</v>
      </c>
      <c r="E43" s="9">
        <f t="shared" si="68"/>
        <v>2567.3469387755104</v>
      </c>
      <c r="F43">
        <f>SUM(F42,20)</f>
        <v>310</v>
      </c>
      <c r="G43" s="9">
        <f t="shared" si="76"/>
        <v>2493.4782608695655</v>
      </c>
      <c r="I43" s="4">
        <f t="shared" si="77"/>
        <v>3700</v>
      </c>
      <c r="J43" s="5">
        <f t="shared" si="78"/>
        <v>311</v>
      </c>
      <c r="K43" s="9">
        <f t="shared" si="58"/>
        <v>2496.0954446854666</v>
      </c>
      <c r="L43" s="5">
        <f t="shared" si="79"/>
        <v>318</v>
      </c>
      <c r="M43" s="9">
        <f t="shared" si="59"/>
        <v>2514.1025641025644</v>
      </c>
      <c r="N43" s="5">
        <f t="shared" si="80"/>
        <v>297</v>
      </c>
      <c r="O43" s="9">
        <f t="shared" si="60"/>
        <v>2458.3892617449665</v>
      </c>
      <c r="Q43" s="4">
        <f t="shared" si="81"/>
        <v>3700</v>
      </c>
      <c r="R43" s="5">
        <v>0</v>
      </c>
      <c r="S43" s="9">
        <f t="shared" si="61"/>
        <v>0</v>
      </c>
      <c r="T43">
        <v>0</v>
      </c>
      <c r="U43" s="9">
        <f t="shared" si="62"/>
        <v>0</v>
      </c>
      <c r="V43" s="5">
        <v>0</v>
      </c>
      <c r="W43" s="9">
        <f t="shared" si="63"/>
        <v>0</v>
      </c>
      <c r="Y43" s="4">
        <f t="shared" si="82"/>
        <v>3700</v>
      </c>
      <c r="Z43" s="5">
        <f t="shared" si="72"/>
        <v>266</v>
      </c>
      <c r="AA43" s="9">
        <f t="shared" si="64"/>
        <v>2365.8653846153848</v>
      </c>
      <c r="AB43" s="5">
        <f t="shared" si="73"/>
        <v>265</v>
      </c>
      <c r="AC43" s="9">
        <f t="shared" si="65"/>
        <v>2362.6506024096389</v>
      </c>
      <c r="AD43" s="5">
        <f t="shared" si="74"/>
        <v>252</v>
      </c>
      <c r="AE43" s="9">
        <f t="shared" si="66"/>
        <v>2319.4029850746269</v>
      </c>
      <c r="AG43" s="4">
        <f t="shared" si="83"/>
        <v>3700</v>
      </c>
      <c r="AH43">
        <f t="shared" si="57"/>
        <v>270</v>
      </c>
      <c r="AI43" s="9">
        <f t="shared" si="52"/>
        <v>2378.5714285714289</v>
      </c>
      <c r="AJ43">
        <f t="shared" si="54"/>
        <v>257</v>
      </c>
      <c r="AK43" s="9">
        <f t="shared" si="53"/>
        <v>2336.3636363636365</v>
      </c>
      <c r="AL43">
        <f t="shared" si="55"/>
        <v>244</v>
      </c>
      <c r="AM43" s="9">
        <f t="shared" si="56"/>
        <v>2291.3705583756341</v>
      </c>
    </row>
    <row r="44" spans="1:39" x14ac:dyDescent="0.25">
      <c r="A44" s="4">
        <f t="shared" si="75"/>
        <v>4200</v>
      </c>
      <c r="B44">
        <f>SUM(B43,21)</f>
        <v>381</v>
      </c>
      <c r="C44" s="9">
        <f t="shared" si="67"/>
        <v>3013.5593220338983</v>
      </c>
      <c r="D44">
        <f t="shared" si="84"/>
        <v>360</v>
      </c>
      <c r="E44" s="9">
        <f t="shared" si="68"/>
        <v>2964.705882352941</v>
      </c>
      <c r="F44">
        <f t="shared" ref="F44:F49" si="85">SUM(F43,20)</f>
        <v>330</v>
      </c>
      <c r="G44" s="9">
        <f t="shared" si="76"/>
        <v>2887.5</v>
      </c>
      <c r="I44" s="4">
        <f t="shared" si="77"/>
        <v>4200</v>
      </c>
      <c r="J44" s="5">
        <f t="shared" si="78"/>
        <v>330</v>
      </c>
      <c r="K44" s="9">
        <f t="shared" si="58"/>
        <v>2887.5</v>
      </c>
      <c r="L44" s="5">
        <f>SUM(L43,20)</f>
        <v>338</v>
      </c>
      <c r="M44" s="9">
        <f t="shared" si="59"/>
        <v>2909.0163934426232</v>
      </c>
      <c r="N44" s="5">
        <f t="shared" si="80"/>
        <v>315</v>
      </c>
      <c r="O44" s="9">
        <f t="shared" si="60"/>
        <v>2845.1612903225805</v>
      </c>
      <c r="Q44" s="4">
        <f t="shared" si="81"/>
        <v>4200</v>
      </c>
      <c r="R44" s="5">
        <v>0</v>
      </c>
      <c r="S44" s="9">
        <f t="shared" si="61"/>
        <v>0</v>
      </c>
      <c r="T44">
        <v>0</v>
      </c>
      <c r="U44" s="9">
        <f t="shared" si="62"/>
        <v>0</v>
      </c>
      <c r="V44" s="5">
        <v>0</v>
      </c>
      <c r="W44" s="9">
        <f t="shared" si="63"/>
        <v>0</v>
      </c>
      <c r="Y44" s="4">
        <f t="shared" si="82"/>
        <v>4200</v>
      </c>
      <c r="Z44" s="5">
        <v>0</v>
      </c>
      <c r="AA44" s="9">
        <f t="shared" si="64"/>
        <v>0</v>
      </c>
      <c r="AB44" s="5">
        <v>0</v>
      </c>
      <c r="AC44" s="9">
        <f t="shared" si="65"/>
        <v>0</v>
      </c>
      <c r="AD44" s="5">
        <v>0</v>
      </c>
      <c r="AE44" s="9">
        <f t="shared" si="66"/>
        <v>0</v>
      </c>
      <c r="AG44" s="4">
        <f t="shared" si="83"/>
        <v>4200</v>
      </c>
      <c r="AH44">
        <f t="shared" si="57"/>
        <v>280</v>
      </c>
      <c r="AI44" s="9">
        <f t="shared" si="52"/>
        <v>2734.8837209302324</v>
      </c>
      <c r="AJ44">
        <f t="shared" si="54"/>
        <v>266</v>
      </c>
      <c r="AK44" s="9">
        <f t="shared" si="53"/>
        <v>2685.5769230769233</v>
      </c>
      <c r="AL44">
        <f t="shared" si="55"/>
        <v>252</v>
      </c>
      <c r="AM44" s="9">
        <f t="shared" si="56"/>
        <v>2632.8358208955224</v>
      </c>
    </row>
    <row r="45" spans="1:39" x14ac:dyDescent="0.25">
      <c r="A45" s="4">
        <f t="shared" si="75"/>
        <v>4700</v>
      </c>
      <c r="B45">
        <f>SUM(B44,22)</f>
        <v>403</v>
      </c>
      <c r="C45" s="9">
        <f t="shared" si="67"/>
        <v>3425.1356238698008</v>
      </c>
      <c r="D45">
        <f t="shared" si="84"/>
        <v>380</v>
      </c>
      <c r="E45" s="9">
        <f t="shared" si="68"/>
        <v>3369.8113207547171</v>
      </c>
      <c r="F45">
        <f t="shared" si="85"/>
        <v>350</v>
      </c>
      <c r="G45" s="9">
        <f t="shared" si="76"/>
        <v>3290</v>
      </c>
      <c r="I45" s="4">
        <f t="shared" si="77"/>
        <v>4700</v>
      </c>
      <c r="J45" s="5">
        <f t="shared" si="78"/>
        <v>349</v>
      </c>
      <c r="K45" s="9">
        <f t="shared" si="58"/>
        <v>3287.1743486973946</v>
      </c>
      <c r="L45" s="5">
        <f t="shared" ref="L45:L47" si="86">SUM(L44,20)</f>
        <v>358</v>
      </c>
      <c r="M45" s="9">
        <f t="shared" si="59"/>
        <v>3312.2047244094488</v>
      </c>
      <c r="N45" s="5">
        <f t="shared" si="80"/>
        <v>333</v>
      </c>
      <c r="O45" s="9">
        <f t="shared" si="60"/>
        <v>3240.3726708074537</v>
      </c>
      <c r="Q45" s="4">
        <f t="shared" si="81"/>
        <v>4700</v>
      </c>
      <c r="R45" s="5">
        <v>0</v>
      </c>
      <c r="S45" s="9">
        <f t="shared" ref="S45:S53" si="87">PRODUCT(Q45,R45,1/(R45+300))</f>
        <v>0</v>
      </c>
      <c r="T45" s="5">
        <v>0</v>
      </c>
      <c r="U45" s="9">
        <f t="shared" ref="U45:U46" si="88">PRODUCT(Q45,T45,1/(T45+300))</f>
        <v>0</v>
      </c>
      <c r="V45">
        <v>0</v>
      </c>
      <c r="W45" s="9">
        <f t="shared" ref="W45:W53" si="89">PRODUCT(Q45,V45,1/(V45+300))</f>
        <v>0</v>
      </c>
      <c r="Y45" s="4">
        <f t="shared" si="82"/>
        <v>4700</v>
      </c>
      <c r="Z45" s="5">
        <v>0</v>
      </c>
      <c r="AA45" s="9">
        <f t="shared" si="64"/>
        <v>0</v>
      </c>
      <c r="AB45" s="5">
        <v>0</v>
      </c>
      <c r="AC45" s="9">
        <f t="shared" si="65"/>
        <v>0</v>
      </c>
      <c r="AD45" s="5">
        <v>0</v>
      </c>
      <c r="AE45" s="9">
        <f t="shared" si="66"/>
        <v>0</v>
      </c>
      <c r="AG45" s="4">
        <f t="shared" si="83"/>
        <v>4700</v>
      </c>
      <c r="AH45">
        <f t="shared" si="57"/>
        <v>290</v>
      </c>
      <c r="AI45" s="9">
        <f t="shared" si="52"/>
        <v>3097.7272727272725</v>
      </c>
      <c r="AJ45">
        <f t="shared" si="54"/>
        <v>275</v>
      </c>
      <c r="AK45" s="9">
        <f t="shared" si="53"/>
        <v>3041.1764705882351</v>
      </c>
      <c r="AL45">
        <f t="shared" si="55"/>
        <v>260</v>
      </c>
      <c r="AM45" s="9">
        <f t="shared" si="56"/>
        <v>2980.4878048780488</v>
      </c>
    </row>
    <row r="46" spans="1:39" x14ac:dyDescent="0.25">
      <c r="A46" s="4">
        <f t="shared" si="75"/>
        <v>5200</v>
      </c>
      <c r="B46">
        <f>SUM(B45,24)</f>
        <v>427</v>
      </c>
      <c r="C46" s="9">
        <f t="shared" si="67"/>
        <v>3848.1802426343152</v>
      </c>
      <c r="D46">
        <f t="shared" si="84"/>
        <v>400</v>
      </c>
      <c r="E46" s="9">
        <f t="shared" si="68"/>
        <v>3781.818181818182</v>
      </c>
      <c r="F46">
        <f t="shared" si="85"/>
        <v>370</v>
      </c>
      <c r="G46" s="9">
        <f t="shared" si="76"/>
        <v>3700</v>
      </c>
      <c r="I46" s="4">
        <f t="shared" si="77"/>
        <v>5200</v>
      </c>
      <c r="J46" s="5">
        <f t="shared" si="78"/>
        <v>368</v>
      </c>
      <c r="K46" s="9">
        <f t="shared" si="58"/>
        <v>3694.2084942084944</v>
      </c>
      <c r="L46" s="5">
        <f t="shared" si="86"/>
        <v>378</v>
      </c>
      <c r="M46" s="9">
        <f t="shared" si="59"/>
        <v>3722.727272727273</v>
      </c>
      <c r="N46" s="5">
        <f t="shared" si="80"/>
        <v>351</v>
      </c>
      <c r="O46" s="9">
        <f t="shared" si="60"/>
        <v>3643.1137724550895</v>
      </c>
      <c r="Q46" s="4">
        <f t="shared" si="81"/>
        <v>5200</v>
      </c>
      <c r="R46" s="5">
        <v>0</v>
      </c>
      <c r="S46" s="9">
        <f t="shared" si="87"/>
        <v>0</v>
      </c>
      <c r="T46" s="5">
        <v>0</v>
      </c>
      <c r="U46" s="9">
        <f t="shared" si="88"/>
        <v>0</v>
      </c>
      <c r="V46">
        <v>0</v>
      </c>
      <c r="W46" s="9">
        <f t="shared" si="89"/>
        <v>0</v>
      </c>
      <c r="Y46" s="4">
        <f t="shared" si="82"/>
        <v>5200</v>
      </c>
      <c r="Z46" s="5">
        <v>0</v>
      </c>
      <c r="AA46" s="9">
        <f t="shared" si="64"/>
        <v>0</v>
      </c>
      <c r="AB46" s="5">
        <v>0</v>
      </c>
      <c r="AC46" s="9">
        <f t="shared" si="65"/>
        <v>0</v>
      </c>
      <c r="AD46" s="5">
        <v>0</v>
      </c>
      <c r="AE46" s="9">
        <f t="shared" si="66"/>
        <v>0</v>
      </c>
      <c r="AG46" s="4">
        <f t="shared" si="83"/>
        <v>5200</v>
      </c>
      <c r="AH46">
        <v>0</v>
      </c>
      <c r="AI46" s="9">
        <f t="shared" si="52"/>
        <v>0</v>
      </c>
      <c r="AJ46">
        <v>0</v>
      </c>
      <c r="AK46" s="9">
        <f t="shared" si="53"/>
        <v>0</v>
      </c>
      <c r="AL46">
        <v>0</v>
      </c>
      <c r="AM46" s="9">
        <f t="shared" si="56"/>
        <v>0</v>
      </c>
    </row>
    <row r="47" spans="1:39" x14ac:dyDescent="0.25">
      <c r="A47" s="4">
        <f t="shared" si="75"/>
        <v>5700</v>
      </c>
      <c r="B47">
        <f>SUM(B46,25)</f>
        <v>452</v>
      </c>
      <c r="C47" s="9">
        <f t="shared" si="67"/>
        <v>4279.7342192691031</v>
      </c>
      <c r="D47">
        <f t="shared" si="84"/>
        <v>420</v>
      </c>
      <c r="E47" s="9">
        <f t="shared" si="68"/>
        <v>4200</v>
      </c>
      <c r="F47">
        <f t="shared" si="85"/>
        <v>390</v>
      </c>
      <c r="G47" s="9">
        <f t="shared" si="76"/>
        <v>4116.666666666667</v>
      </c>
      <c r="I47" s="4">
        <f t="shared" si="77"/>
        <v>5700</v>
      </c>
      <c r="J47" s="5">
        <f t="shared" si="78"/>
        <v>387</v>
      </c>
      <c r="K47" s="9">
        <f t="shared" si="58"/>
        <v>4107.8212290502797</v>
      </c>
      <c r="L47" s="5">
        <f t="shared" si="86"/>
        <v>398</v>
      </c>
      <c r="M47" s="9">
        <f t="shared" si="59"/>
        <v>4139.7810218978102</v>
      </c>
      <c r="N47" s="5">
        <f t="shared" si="80"/>
        <v>369</v>
      </c>
      <c r="O47" s="9">
        <f t="shared" si="60"/>
        <v>4052.6011560693642</v>
      </c>
      <c r="Q47" s="4">
        <f t="shared" si="81"/>
        <v>5700</v>
      </c>
      <c r="R47" s="5">
        <v>0</v>
      </c>
      <c r="S47" s="9">
        <f t="shared" si="87"/>
        <v>0</v>
      </c>
      <c r="T47" s="5">
        <v>0</v>
      </c>
      <c r="U47" s="9">
        <f>PRODUCT(Q47,T47,1/(T47+300))</f>
        <v>0</v>
      </c>
      <c r="V47">
        <v>0</v>
      </c>
      <c r="W47" s="9">
        <f t="shared" si="89"/>
        <v>0</v>
      </c>
      <c r="Y47" s="4">
        <f t="shared" si="82"/>
        <v>5700</v>
      </c>
      <c r="Z47" s="5">
        <v>0</v>
      </c>
      <c r="AA47" s="9">
        <f t="shared" ref="AA47:AA49" si="90">PRODUCT(Y47,Z47,1/(Z47+300))</f>
        <v>0</v>
      </c>
      <c r="AB47" s="5">
        <v>0</v>
      </c>
      <c r="AC47" s="9">
        <f>PRODUCT(Y47,AB47,1/(AB47+300))</f>
        <v>0</v>
      </c>
      <c r="AD47" s="5">
        <v>0</v>
      </c>
      <c r="AE47" s="9">
        <f t="shared" ref="AE47:AE53" si="91">PRODUCT(Y47,AD47,1/(AD47+300))</f>
        <v>0</v>
      </c>
      <c r="AG47" s="4">
        <f t="shared" si="83"/>
        <v>5700</v>
      </c>
      <c r="AH47">
        <v>0</v>
      </c>
      <c r="AI47" s="9">
        <f t="shared" si="52"/>
        <v>0</v>
      </c>
      <c r="AJ47">
        <v>0</v>
      </c>
      <c r="AK47" s="9">
        <f t="shared" si="53"/>
        <v>0</v>
      </c>
      <c r="AL47">
        <v>0</v>
      </c>
      <c r="AM47" s="9">
        <f t="shared" si="56"/>
        <v>0</v>
      </c>
    </row>
    <row r="48" spans="1:39" x14ac:dyDescent="0.25">
      <c r="A48" s="4">
        <f t="shared" si="75"/>
        <v>6200</v>
      </c>
      <c r="B48">
        <f>SUM(B47,26)</f>
        <v>478</v>
      </c>
      <c r="C48" s="9">
        <f t="shared" si="67"/>
        <v>4719.1082802547771</v>
      </c>
      <c r="D48">
        <f t="shared" si="84"/>
        <v>440</v>
      </c>
      <c r="E48" s="9">
        <f t="shared" si="68"/>
        <v>4623.7288135593217</v>
      </c>
      <c r="F48">
        <f t="shared" si="85"/>
        <v>410</v>
      </c>
      <c r="G48" s="9">
        <f t="shared" si="76"/>
        <v>4539.2857142857138</v>
      </c>
      <c r="I48" s="4">
        <f t="shared" si="77"/>
        <v>6200</v>
      </c>
      <c r="J48" s="5">
        <v>0</v>
      </c>
      <c r="K48" s="9">
        <f t="shared" si="58"/>
        <v>0</v>
      </c>
      <c r="L48" s="5">
        <v>0</v>
      </c>
      <c r="M48" s="9">
        <f t="shared" si="59"/>
        <v>0</v>
      </c>
      <c r="N48" s="5">
        <v>0</v>
      </c>
      <c r="O48" s="9">
        <f t="shared" si="60"/>
        <v>0</v>
      </c>
      <c r="Q48" s="4">
        <f t="shared" si="81"/>
        <v>6200</v>
      </c>
      <c r="R48" s="5">
        <v>0</v>
      </c>
      <c r="S48" s="9">
        <f t="shared" si="87"/>
        <v>0</v>
      </c>
      <c r="T48" s="5">
        <v>0</v>
      </c>
      <c r="U48" s="9">
        <f t="shared" ref="U48:U51" si="92">PRODUCT(Q48,T48,1/(T48+300))</f>
        <v>0</v>
      </c>
      <c r="V48">
        <v>0</v>
      </c>
      <c r="W48" s="9">
        <f t="shared" si="89"/>
        <v>0</v>
      </c>
      <c r="Y48" s="4">
        <f t="shared" si="82"/>
        <v>6200</v>
      </c>
      <c r="Z48" s="5">
        <v>0</v>
      </c>
      <c r="AA48" s="9">
        <f t="shared" si="90"/>
        <v>0</v>
      </c>
      <c r="AB48" s="5">
        <v>0</v>
      </c>
      <c r="AC48" s="9">
        <f t="shared" ref="AC48:AC49" si="93">PRODUCT(Y48,AB48,1/(AB48+300))</f>
        <v>0</v>
      </c>
      <c r="AD48" s="5">
        <v>0</v>
      </c>
      <c r="AE48" s="9">
        <f t="shared" si="91"/>
        <v>0</v>
      </c>
      <c r="AG48" s="4">
        <f t="shared" si="83"/>
        <v>6200</v>
      </c>
      <c r="AH48">
        <v>0</v>
      </c>
      <c r="AI48" s="9">
        <f t="shared" ref="AI48:AI53" si="94">PRODUCT(AG48,AH48,1/(AH48+300))</f>
        <v>0</v>
      </c>
      <c r="AJ48">
        <v>0</v>
      </c>
      <c r="AK48" s="9">
        <f t="shared" si="53"/>
        <v>0</v>
      </c>
      <c r="AL48">
        <v>0</v>
      </c>
      <c r="AM48" s="9">
        <f t="shared" si="56"/>
        <v>0</v>
      </c>
    </row>
    <row r="49" spans="1:39" x14ac:dyDescent="0.25">
      <c r="A49" s="4">
        <f t="shared" si="75"/>
        <v>6700</v>
      </c>
      <c r="B49">
        <f>SUM(B48,30)</f>
        <v>508</v>
      </c>
      <c r="C49" s="9">
        <f t="shared" si="67"/>
        <v>5172.644376899696</v>
      </c>
      <c r="D49">
        <f t="shared" si="84"/>
        <v>460</v>
      </c>
      <c r="E49" s="9">
        <f t="shared" si="68"/>
        <v>5052.4590163934427</v>
      </c>
      <c r="F49">
        <f t="shared" si="85"/>
        <v>430</v>
      </c>
      <c r="G49" s="9">
        <f t="shared" si="76"/>
        <v>4967.2413793103451</v>
      </c>
      <c r="I49" s="4">
        <f t="shared" si="77"/>
        <v>6700</v>
      </c>
      <c r="J49" s="5">
        <v>0</v>
      </c>
      <c r="K49" s="9">
        <f t="shared" si="58"/>
        <v>0</v>
      </c>
      <c r="L49" s="5">
        <v>0</v>
      </c>
      <c r="M49" s="9">
        <f t="shared" si="59"/>
        <v>0</v>
      </c>
      <c r="N49" s="5">
        <v>0</v>
      </c>
      <c r="O49" s="9">
        <f t="shared" si="60"/>
        <v>0</v>
      </c>
      <c r="Q49" s="4">
        <f t="shared" si="81"/>
        <v>6700</v>
      </c>
      <c r="R49" s="5">
        <v>0</v>
      </c>
      <c r="S49" s="9">
        <f t="shared" si="87"/>
        <v>0</v>
      </c>
      <c r="T49" s="5">
        <v>0</v>
      </c>
      <c r="U49" s="9">
        <f t="shared" si="92"/>
        <v>0</v>
      </c>
      <c r="V49">
        <v>0</v>
      </c>
      <c r="W49" s="9">
        <f t="shared" si="89"/>
        <v>0</v>
      </c>
      <c r="Y49" s="4">
        <f t="shared" si="82"/>
        <v>6700</v>
      </c>
      <c r="Z49" s="5">
        <v>0</v>
      </c>
      <c r="AA49" s="9">
        <f t="shared" si="90"/>
        <v>0</v>
      </c>
      <c r="AB49" s="5">
        <v>0</v>
      </c>
      <c r="AC49" s="9">
        <f t="shared" si="93"/>
        <v>0</v>
      </c>
      <c r="AD49" s="5">
        <v>0</v>
      </c>
      <c r="AE49" s="9">
        <f t="shared" si="91"/>
        <v>0</v>
      </c>
      <c r="AG49" s="4">
        <f t="shared" si="83"/>
        <v>6700</v>
      </c>
      <c r="AH49">
        <v>0</v>
      </c>
      <c r="AI49" s="9">
        <f t="shared" si="94"/>
        <v>0</v>
      </c>
      <c r="AJ49">
        <v>0</v>
      </c>
      <c r="AK49" s="9">
        <f t="shared" ref="AK49:AK51" si="95">PRODUCT(AG49,AJ49,1/(AJ49+300))</f>
        <v>0</v>
      </c>
      <c r="AL49">
        <v>0</v>
      </c>
      <c r="AM49" s="9">
        <f t="shared" ref="AM49:AM53" si="96">PRODUCT(AG49,AL49,1/(AL49+300))</f>
        <v>0</v>
      </c>
    </row>
    <row r="50" spans="1:39" x14ac:dyDescent="0.25">
      <c r="A50" s="4">
        <f t="shared" si="75"/>
        <v>7200</v>
      </c>
      <c r="B50">
        <v>0</v>
      </c>
      <c r="C50" s="9">
        <f t="shared" si="67"/>
        <v>0</v>
      </c>
      <c r="D50">
        <v>0</v>
      </c>
      <c r="E50" s="9">
        <f t="shared" si="68"/>
        <v>0</v>
      </c>
      <c r="F50">
        <v>0</v>
      </c>
      <c r="G50" s="9">
        <f t="shared" si="76"/>
        <v>0</v>
      </c>
      <c r="I50" s="4">
        <f t="shared" si="77"/>
        <v>7200</v>
      </c>
      <c r="J50" s="5">
        <v>0</v>
      </c>
      <c r="K50" s="9">
        <v>0</v>
      </c>
      <c r="L50" s="5">
        <v>0</v>
      </c>
      <c r="M50" s="9">
        <v>0</v>
      </c>
      <c r="N50" s="5">
        <v>0</v>
      </c>
      <c r="O50" s="9">
        <f t="shared" ref="O50:O53" si="97">PRODUCT(I50,N50,1/(N50+300))</f>
        <v>0</v>
      </c>
      <c r="Q50" s="4">
        <f t="shared" si="81"/>
        <v>7200</v>
      </c>
      <c r="R50" s="5">
        <v>0</v>
      </c>
      <c r="S50" s="9">
        <f t="shared" si="87"/>
        <v>0</v>
      </c>
      <c r="T50" s="5">
        <v>0</v>
      </c>
      <c r="U50" s="9">
        <f t="shared" si="92"/>
        <v>0</v>
      </c>
      <c r="V50">
        <v>0</v>
      </c>
      <c r="W50" s="9">
        <f t="shared" si="89"/>
        <v>0</v>
      </c>
      <c r="Y50" s="4">
        <f t="shared" si="82"/>
        <v>7200</v>
      </c>
      <c r="Z50" s="5">
        <v>0</v>
      </c>
      <c r="AA50" s="9">
        <v>0</v>
      </c>
      <c r="AB50" s="5">
        <v>0</v>
      </c>
      <c r="AC50" s="9">
        <v>0</v>
      </c>
      <c r="AD50" s="5">
        <v>0</v>
      </c>
      <c r="AE50" s="9">
        <f t="shared" si="91"/>
        <v>0</v>
      </c>
      <c r="AG50" s="4">
        <f t="shared" si="83"/>
        <v>7200</v>
      </c>
      <c r="AH50">
        <v>0</v>
      </c>
      <c r="AI50" s="9">
        <f t="shared" si="94"/>
        <v>0</v>
      </c>
      <c r="AJ50">
        <v>0</v>
      </c>
      <c r="AK50" s="9">
        <f t="shared" si="95"/>
        <v>0</v>
      </c>
      <c r="AL50">
        <v>0</v>
      </c>
      <c r="AM50" s="9">
        <f t="shared" si="96"/>
        <v>0</v>
      </c>
    </row>
    <row r="51" spans="1:39" x14ac:dyDescent="0.25">
      <c r="A51" s="4">
        <f t="shared" si="75"/>
        <v>7700</v>
      </c>
      <c r="B51">
        <v>0</v>
      </c>
      <c r="C51" s="9">
        <f t="shared" si="67"/>
        <v>0</v>
      </c>
      <c r="D51">
        <v>0</v>
      </c>
      <c r="E51" s="9">
        <f t="shared" si="68"/>
        <v>0</v>
      </c>
      <c r="F51">
        <v>0</v>
      </c>
      <c r="G51" s="9">
        <f t="shared" si="76"/>
        <v>0</v>
      </c>
      <c r="I51" s="4">
        <f t="shared" si="77"/>
        <v>7700</v>
      </c>
      <c r="J51" s="5">
        <v>0</v>
      </c>
      <c r="K51" s="9">
        <v>0</v>
      </c>
      <c r="L51" s="5">
        <v>0</v>
      </c>
      <c r="M51" s="9">
        <v>0</v>
      </c>
      <c r="N51" s="5">
        <v>0</v>
      </c>
      <c r="O51" s="9">
        <f t="shared" si="97"/>
        <v>0</v>
      </c>
      <c r="Q51" s="4">
        <f t="shared" si="81"/>
        <v>7700</v>
      </c>
      <c r="R51">
        <v>0</v>
      </c>
      <c r="S51" s="9">
        <f t="shared" si="87"/>
        <v>0</v>
      </c>
      <c r="T51">
        <v>0</v>
      </c>
      <c r="U51" s="9">
        <f t="shared" si="92"/>
        <v>0</v>
      </c>
      <c r="V51">
        <v>0</v>
      </c>
      <c r="W51" s="9">
        <f t="shared" si="89"/>
        <v>0</v>
      </c>
      <c r="Y51" s="4">
        <f t="shared" si="82"/>
        <v>7700</v>
      </c>
      <c r="Z51" s="5">
        <v>0</v>
      </c>
      <c r="AA51" s="9">
        <v>0</v>
      </c>
      <c r="AB51" s="5">
        <v>0</v>
      </c>
      <c r="AC51" s="9">
        <v>0</v>
      </c>
      <c r="AD51" s="5">
        <v>0</v>
      </c>
      <c r="AE51" s="9">
        <f t="shared" si="91"/>
        <v>0</v>
      </c>
      <c r="AG51" s="4">
        <f t="shared" si="83"/>
        <v>7700</v>
      </c>
      <c r="AH51">
        <v>0</v>
      </c>
      <c r="AI51" s="9">
        <f t="shared" si="94"/>
        <v>0</v>
      </c>
      <c r="AJ51">
        <v>0</v>
      </c>
      <c r="AK51" s="9">
        <f t="shared" si="95"/>
        <v>0</v>
      </c>
      <c r="AL51">
        <v>0</v>
      </c>
      <c r="AM51" s="9">
        <f t="shared" si="96"/>
        <v>0</v>
      </c>
    </row>
    <row r="52" spans="1:39" x14ac:dyDescent="0.25">
      <c r="A52" s="4">
        <f t="shared" si="75"/>
        <v>8200</v>
      </c>
      <c r="B52" s="9">
        <v>0</v>
      </c>
      <c r="C52" s="9">
        <f t="shared" ref="C52:C53" si="98">PRODUCT(A52,B52,1/(B52+300))</f>
        <v>0</v>
      </c>
      <c r="D52" s="9">
        <v>0</v>
      </c>
      <c r="E52" s="9">
        <f>PRODUCT(A52,D52,1/(D52+300))</f>
        <v>0</v>
      </c>
      <c r="F52">
        <v>0</v>
      </c>
      <c r="G52" s="9">
        <f t="shared" si="76"/>
        <v>0</v>
      </c>
      <c r="I52" s="4">
        <f t="shared" si="77"/>
        <v>8200</v>
      </c>
      <c r="J52" s="9">
        <v>0</v>
      </c>
      <c r="K52" s="9">
        <f t="shared" ref="K52:K53" si="99">PRODUCT(I52,J52,1/(J52+300))</f>
        <v>0</v>
      </c>
      <c r="L52" s="9">
        <v>0</v>
      </c>
      <c r="M52" s="9">
        <f>PRODUCT(I52,L52,1/(L52+300))</f>
        <v>0</v>
      </c>
      <c r="N52" s="5">
        <v>0</v>
      </c>
      <c r="O52" s="9">
        <f t="shared" si="97"/>
        <v>0</v>
      </c>
      <c r="Q52" s="4">
        <f t="shared" si="81"/>
        <v>8200</v>
      </c>
      <c r="R52" s="9">
        <v>0</v>
      </c>
      <c r="S52" s="9">
        <f t="shared" si="87"/>
        <v>0</v>
      </c>
      <c r="T52" s="9">
        <v>0</v>
      </c>
      <c r="U52" s="9">
        <f>PRODUCT(Q52,T52,1/(T52+300))</f>
        <v>0</v>
      </c>
      <c r="V52">
        <v>0</v>
      </c>
      <c r="W52" s="9">
        <f t="shared" si="89"/>
        <v>0</v>
      </c>
      <c r="Y52" s="4">
        <f t="shared" si="82"/>
        <v>8200</v>
      </c>
      <c r="Z52" s="9">
        <v>0</v>
      </c>
      <c r="AA52" s="9">
        <f t="shared" ref="AA52:AA53" si="100">PRODUCT(Y52,Z52,1/(Z52+300))</f>
        <v>0</v>
      </c>
      <c r="AB52" s="9">
        <v>0</v>
      </c>
      <c r="AC52" s="9">
        <f>PRODUCT(Y52,AB52,1/(AB52+300))</f>
        <v>0</v>
      </c>
      <c r="AD52" s="5">
        <v>0</v>
      </c>
      <c r="AE52" s="9">
        <f t="shared" si="91"/>
        <v>0</v>
      </c>
      <c r="AG52" s="4">
        <f t="shared" si="83"/>
        <v>8200</v>
      </c>
      <c r="AH52" s="9">
        <v>0</v>
      </c>
      <c r="AI52" s="9">
        <f t="shared" si="94"/>
        <v>0</v>
      </c>
      <c r="AJ52" s="9">
        <v>0</v>
      </c>
      <c r="AK52" s="9">
        <f>PRODUCT(AG52,AJ52,1/(AJ52+300))</f>
        <v>0</v>
      </c>
      <c r="AL52">
        <v>0</v>
      </c>
      <c r="AM52" s="9">
        <f t="shared" si="96"/>
        <v>0</v>
      </c>
    </row>
    <row r="53" spans="1:39" x14ac:dyDescent="0.25">
      <c r="A53" s="4">
        <f t="shared" si="75"/>
        <v>8700</v>
      </c>
      <c r="B53" s="9">
        <v>0</v>
      </c>
      <c r="C53" s="9">
        <f t="shared" si="98"/>
        <v>0</v>
      </c>
      <c r="D53" s="9">
        <v>0</v>
      </c>
      <c r="E53" s="9">
        <f t="shared" ref="E53" si="101">PRODUCT(A53,D53,1/(D53+300))</f>
        <v>0</v>
      </c>
      <c r="F53">
        <v>0</v>
      </c>
      <c r="G53" s="9">
        <f t="shared" ref="G53" si="102">PRODUCT(A53,F53,1/(F53+300))</f>
        <v>0</v>
      </c>
      <c r="I53" s="4">
        <f t="shared" si="77"/>
        <v>8700</v>
      </c>
      <c r="J53" s="9">
        <v>0</v>
      </c>
      <c r="K53" s="9">
        <f t="shared" si="99"/>
        <v>0</v>
      </c>
      <c r="L53" s="9">
        <v>0</v>
      </c>
      <c r="M53" s="9">
        <f t="shared" ref="M53" si="103">PRODUCT(I53,L53,1/(L53+300))</f>
        <v>0</v>
      </c>
      <c r="N53">
        <v>0</v>
      </c>
      <c r="O53" s="9">
        <f t="shared" si="97"/>
        <v>0</v>
      </c>
      <c r="Q53" s="4">
        <f t="shared" si="81"/>
        <v>8700</v>
      </c>
      <c r="R53" s="9">
        <v>0</v>
      </c>
      <c r="S53" s="9">
        <f t="shared" si="87"/>
        <v>0</v>
      </c>
      <c r="T53" s="9">
        <v>0</v>
      </c>
      <c r="U53" s="9">
        <f t="shared" ref="U53" si="104">PRODUCT(Q53,T53,1/(T53+300))</f>
        <v>0</v>
      </c>
      <c r="V53">
        <v>0</v>
      </c>
      <c r="W53" s="9">
        <f t="shared" si="89"/>
        <v>0</v>
      </c>
      <c r="Y53" s="4">
        <f t="shared" si="82"/>
        <v>8700</v>
      </c>
      <c r="Z53" s="9">
        <v>0</v>
      </c>
      <c r="AA53" s="9">
        <f t="shared" si="100"/>
        <v>0</v>
      </c>
      <c r="AB53" s="9">
        <v>0</v>
      </c>
      <c r="AC53" s="9">
        <f t="shared" ref="AC53" si="105">PRODUCT(Y53,AB53,1/(AB53+300))</f>
        <v>0</v>
      </c>
      <c r="AD53">
        <v>0</v>
      </c>
      <c r="AE53" s="9">
        <f t="shared" si="91"/>
        <v>0</v>
      </c>
      <c r="AG53" s="4">
        <f t="shared" si="83"/>
        <v>8700</v>
      </c>
      <c r="AH53" s="9">
        <v>0</v>
      </c>
      <c r="AI53" s="9">
        <f t="shared" si="94"/>
        <v>0</v>
      </c>
      <c r="AJ53" s="9">
        <v>0</v>
      </c>
      <c r="AK53" s="9">
        <f t="shared" ref="AK53" si="106">PRODUCT(AG53,AJ53,1/(AJ53+300))</f>
        <v>0</v>
      </c>
      <c r="AL53">
        <v>0</v>
      </c>
      <c r="AM53" s="9">
        <f t="shared" si="96"/>
        <v>0</v>
      </c>
    </row>
    <row r="54" spans="1:39" x14ac:dyDescent="0.25">
      <c r="A54" t="s">
        <v>51</v>
      </c>
      <c r="C54" s="16">
        <v>1300</v>
      </c>
      <c r="D54" s="16"/>
      <c r="E54" s="16">
        <v>1300</v>
      </c>
      <c r="F54" s="16"/>
      <c r="G54" s="16">
        <v>1500</v>
      </c>
      <c r="I54" t="s">
        <v>51</v>
      </c>
      <c r="K54" s="16">
        <v>1000</v>
      </c>
      <c r="L54" s="16"/>
      <c r="M54" s="16">
        <v>1000</v>
      </c>
      <c r="N54" s="16"/>
      <c r="O54" s="16">
        <v>1000</v>
      </c>
      <c r="Q54" t="s">
        <v>51</v>
      </c>
      <c r="S54" s="16">
        <v>1000</v>
      </c>
      <c r="T54" s="16"/>
      <c r="U54" s="16">
        <v>1000</v>
      </c>
      <c r="V54" s="16"/>
      <c r="W54" s="16">
        <v>1000</v>
      </c>
      <c r="Y54" t="s">
        <v>51</v>
      </c>
      <c r="AA54" s="16">
        <v>1000</v>
      </c>
      <c r="AB54" s="16"/>
      <c r="AC54" s="16">
        <v>1000</v>
      </c>
      <c r="AD54" s="16"/>
      <c r="AE54" s="16">
        <v>1000</v>
      </c>
      <c r="AG54" t="s">
        <v>51</v>
      </c>
      <c r="AI54" s="16">
        <v>50</v>
      </c>
      <c r="AJ54" s="16"/>
      <c r="AK54" s="16">
        <v>50</v>
      </c>
      <c r="AL54" s="16"/>
      <c r="AM54" s="16">
        <v>100</v>
      </c>
    </row>
    <row r="55" spans="1:39" x14ac:dyDescent="0.25">
      <c r="A55" t="s">
        <v>50</v>
      </c>
      <c r="C55" s="16">
        <v>6700</v>
      </c>
      <c r="D55" s="16"/>
      <c r="E55" s="16">
        <v>6700</v>
      </c>
      <c r="F55" s="16"/>
      <c r="G55" s="16">
        <v>6700</v>
      </c>
      <c r="I55" t="s">
        <v>50</v>
      </c>
      <c r="K55" s="16">
        <v>5700</v>
      </c>
      <c r="L55" s="16"/>
      <c r="M55" s="16">
        <v>5700</v>
      </c>
      <c r="N55" s="16"/>
      <c r="O55" s="16">
        <v>5700</v>
      </c>
      <c r="Q55" t="s">
        <v>50</v>
      </c>
      <c r="S55" s="16">
        <v>3200</v>
      </c>
      <c r="T55" s="16"/>
      <c r="U55" s="16">
        <v>3200</v>
      </c>
      <c r="V55" s="16"/>
      <c r="W55" s="16">
        <v>3200</v>
      </c>
      <c r="Y55" t="s">
        <v>50</v>
      </c>
      <c r="AA55" s="16">
        <v>3800</v>
      </c>
      <c r="AB55" s="16"/>
      <c r="AC55" s="16">
        <v>3800</v>
      </c>
      <c r="AD55" s="16"/>
      <c r="AE55" s="16">
        <v>3800</v>
      </c>
      <c r="AG55" t="s">
        <v>50</v>
      </c>
      <c r="AI55" s="16">
        <v>4700</v>
      </c>
      <c r="AJ55" s="16"/>
      <c r="AK55" s="16">
        <v>4700</v>
      </c>
      <c r="AL55" s="16"/>
      <c r="AM55" s="16">
        <v>4700</v>
      </c>
    </row>
    <row r="56" spans="1:39" x14ac:dyDescent="0.25">
      <c r="A56" t="s">
        <v>52</v>
      </c>
      <c r="C56" s="16">
        <v>800</v>
      </c>
      <c r="D56" s="16"/>
      <c r="E56" s="16">
        <v>800</v>
      </c>
      <c r="F56" s="16"/>
      <c r="G56" s="16">
        <v>800</v>
      </c>
      <c r="I56" t="s">
        <v>52</v>
      </c>
      <c r="K56" s="16">
        <v>500</v>
      </c>
      <c r="L56" s="16"/>
      <c r="M56" s="16">
        <v>500</v>
      </c>
      <c r="N56" s="16"/>
      <c r="O56" s="16">
        <v>500</v>
      </c>
      <c r="Q56" t="s">
        <v>52</v>
      </c>
      <c r="S56" s="16">
        <v>500</v>
      </c>
      <c r="T56" s="16"/>
      <c r="U56" s="16">
        <v>500</v>
      </c>
      <c r="V56" s="16"/>
      <c r="W56" s="16">
        <v>500</v>
      </c>
      <c r="Y56" t="s">
        <v>52</v>
      </c>
      <c r="AA56" s="16">
        <v>500</v>
      </c>
      <c r="AB56" s="16"/>
      <c r="AC56" s="16">
        <v>500</v>
      </c>
      <c r="AD56" s="16"/>
      <c r="AE56" s="16">
        <v>500</v>
      </c>
      <c r="AG56" t="s">
        <v>52</v>
      </c>
      <c r="AI56" s="16">
        <v>10</v>
      </c>
      <c r="AJ56" s="16"/>
      <c r="AK56" s="16">
        <v>20</v>
      </c>
      <c r="AL56" s="16"/>
      <c r="AM56" s="16">
        <v>40</v>
      </c>
    </row>
    <row r="57" spans="1:39" x14ac:dyDescent="0.25">
      <c r="A57" t="s">
        <v>53</v>
      </c>
      <c r="C57" s="16">
        <v>5200</v>
      </c>
      <c r="D57" s="16"/>
      <c r="E57" s="16">
        <v>5070</v>
      </c>
      <c r="F57" s="16"/>
      <c r="G57" s="16">
        <v>5000</v>
      </c>
      <c r="I57" t="s">
        <v>53</v>
      </c>
      <c r="K57" s="16">
        <v>4150</v>
      </c>
      <c r="L57" s="16"/>
      <c r="M57" s="16">
        <v>4150</v>
      </c>
      <c r="N57" s="16"/>
      <c r="O57" s="16">
        <v>4100</v>
      </c>
      <c r="Q57" t="s">
        <v>53</v>
      </c>
      <c r="S57" s="16">
        <v>2060</v>
      </c>
      <c r="T57" s="16"/>
      <c r="U57" s="16">
        <v>2060</v>
      </c>
      <c r="V57" s="16"/>
      <c r="W57" s="16">
        <v>2060</v>
      </c>
      <c r="Y57" t="s">
        <v>53</v>
      </c>
      <c r="AA57" s="16">
        <v>2500</v>
      </c>
      <c r="AB57" s="16"/>
      <c r="AC57" s="16">
        <v>2500</v>
      </c>
      <c r="AD57" s="16"/>
      <c r="AE57" s="16">
        <v>2500</v>
      </c>
      <c r="AG57" t="s">
        <v>53</v>
      </c>
      <c r="AI57" s="16">
        <v>3100</v>
      </c>
      <c r="AJ57" s="16"/>
      <c r="AK57" s="16">
        <v>3100</v>
      </c>
      <c r="AL57" s="16"/>
      <c r="AM57" s="16">
        <v>3000</v>
      </c>
    </row>
    <row r="58" spans="1:39" ht="30" customHeight="1" x14ac:dyDescent="0.25">
      <c r="A58" s="25" t="s">
        <v>82</v>
      </c>
      <c r="B58" s="26"/>
      <c r="C58" s="16">
        <v>3050</v>
      </c>
      <c r="D58" s="16"/>
      <c r="E58" s="16">
        <v>3050</v>
      </c>
      <c r="F58" s="16"/>
      <c r="G58" s="16">
        <v>3250</v>
      </c>
      <c r="I58" s="25" t="s">
        <v>82</v>
      </c>
      <c r="J58" s="26"/>
      <c r="K58" s="16">
        <v>1750</v>
      </c>
      <c r="L58" s="16"/>
      <c r="M58" s="16">
        <v>1750</v>
      </c>
      <c r="N58" s="16"/>
      <c r="O58" s="16">
        <v>1750</v>
      </c>
      <c r="Q58" s="25" t="s">
        <v>82</v>
      </c>
      <c r="R58" s="26"/>
      <c r="S58" s="16">
        <v>1750</v>
      </c>
      <c r="T58" s="16"/>
      <c r="U58" s="16">
        <v>1750</v>
      </c>
      <c r="V58" s="16"/>
      <c r="W58" s="16">
        <v>1750</v>
      </c>
      <c r="Y58" s="25" t="s">
        <v>82</v>
      </c>
      <c r="Z58" s="26"/>
      <c r="AA58" s="16">
        <v>1750</v>
      </c>
      <c r="AB58" s="16"/>
      <c r="AC58" s="16">
        <v>1750</v>
      </c>
      <c r="AD58" s="16"/>
      <c r="AE58" s="16">
        <v>1750</v>
      </c>
      <c r="AG58" s="25" t="s">
        <v>82</v>
      </c>
      <c r="AH58" s="26"/>
      <c r="AI58" s="16">
        <v>800</v>
      </c>
      <c r="AJ58" s="16"/>
      <c r="AK58" s="16">
        <v>800</v>
      </c>
      <c r="AL58" s="16"/>
      <c r="AM58" s="16">
        <v>850</v>
      </c>
    </row>
    <row r="59" spans="1:39" ht="30" customHeight="1" x14ac:dyDescent="0.25">
      <c r="A59" s="25" t="s">
        <v>58</v>
      </c>
      <c r="B59" s="26"/>
      <c r="C59" s="16">
        <v>2300</v>
      </c>
      <c r="D59" s="16"/>
      <c r="E59" s="16">
        <v>2300</v>
      </c>
      <c r="F59" s="16"/>
      <c r="G59" s="16">
        <v>2800</v>
      </c>
      <c r="I59" s="25" t="s">
        <v>58</v>
      </c>
      <c r="J59" s="26"/>
      <c r="K59" s="16">
        <v>1300</v>
      </c>
      <c r="L59" s="16"/>
      <c r="M59" s="16">
        <v>1300</v>
      </c>
      <c r="N59" s="16"/>
      <c r="O59" s="16">
        <v>1300</v>
      </c>
      <c r="Q59" s="25" t="s">
        <v>58</v>
      </c>
      <c r="R59" s="26"/>
      <c r="S59" s="16">
        <v>1300</v>
      </c>
      <c r="T59" s="16"/>
      <c r="U59" s="16">
        <v>1300</v>
      </c>
      <c r="V59" s="16"/>
      <c r="W59" s="16">
        <v>1300</v>
      </c>
      <c r="Y59" s="25" t="s">
        <v>58</v>
      </c>
      <c r="Z59" s="26"/>
      <c r="AA59" s="16">
        <v>1300</v>
      </c>
      <c r="AB59" s="16"/>
      <c r="AC59" s="16">
        <v>1300</v>
      </c>
      <c r="AD59" s="16"/>
      <c r="AE59" s="16">
        <v>1300</v>
      </c>
      <c r="AG59" s="25" t="s">
        <v>58</v>
      </c>
      <c r="AH59" s="26"/>
      <c r="AI59" s="16">
        <v>350</v>
      </c>
      <c r="AJ59" s="16"/>
      <c r="AK59" s="16">
        <v>350</v>
      </c>
      <c r="AL59" s="16"/>
      <c r="AM59" s="16">
        <v>400</v>
      </c>
    </row>
    <row r="61" spans="1:39" ht="44.25" customHeight="1" x14ac:dyDescent="0.25">
      <c r="A61" s="25" t="s">
        <v>85</v>
      </c>
      <c r="B61" s="25"/>
      <c r="C61" s="25"/>
      <c r="D61" s="25"/>
      <c r="E61" s="25"/>
      <c r="F61" s="25"/>
      <c r="G61" s="25"/>
      <c r="H61" s="23"/>
      <c r="I61" s="25" t="s">
        <v>86</v>
      </c>
      <c r="J61" s="25"/>
      <c r="K61" s="25"/>
      <c r="L61" s="25"/>
      <c r="M61" s="25"/>
      <c r="N61" s="25"/>
      <c r="O61" s="25"/>
      <c r="Q61" s="25" t="s">
        <v>93</v>
      </c>
      <c r="R61" s="25"/>
      <c r="S61" s="25"/>
      <c r="T61" s="25"/>
      <c r="U61" s="25"/>
      <c r="V61" s="25"/>
      <c r="W61" s="25"/>
      <c r="X61" s="23"/>
      <c r="Y61" s="25" t="s">
        <v>94</v>
      </c>
      <c r="Z61" s="25"/>
      <c r="AA61" s="25"/>
      <c r="AB61" s="25"/>
      <c r="AC61" s="25"/>
      <c r="AD61" s="25"/>
      <c r="AE61" s="25"/>
      <c r="AG61" s="25" t="s">
        <v>95</v>
      </c>
      <c r="AH61" s="25"/>
      <c r="AI61" s="25"/>
      <c r="AJ61" s="25"/>
      <c r="AK61" s="25"/>
      <c r="AL61" s="25"/>
      <c r="AM61" s="25"/>
    </row>
    <row r="62" spans="1:39" x14ac:dyDescent="0.25">
      <c r="A62" s="25" t="s">
        <v>39</v>
      </c>
      <c r="B62" s="24" t="s">
        <v>70</v>
      </c>
      <c r="C62" s="24"/>
      <c r="D62" s="24" t="s">
        <v>71</v>
      </c>
      <c r="E62" s="24"/>
      <c r="F62" s="24" t="s">
        <v>43</v>
      </c>
      <c r="G62" s="24"/>
      <c r="H62" s="12"/>
      <c r="I62" s="25" t="s">
        <v>39</v>
      </c>
      <c r="J62" s="24" t="s">
        <v>70</v>
      </c>
      <c r="K62" s="24"/>
      <c r="L62" s="24" t="s">
        <v>71</v>
      </c>
      <c r="M62" s="24"/>
      <c r="N62" s="24" t="s">
        <v>43</v>
      </c>
      <c r="O62" s="24"/>
      <c r="Q62" s="25" t="s">
        <v>39</v>
      </c>
      <c r="R62" s="24" t="s">
        <v>70</v>
      </c>
      <c r="S62" s="24"/>
      <c r="T62" s="24" t="s">
        <v>71</v>
      </c>
      <c r="U62" s="24"/>
      <c r="V62" s="24" t="s">
        <v>43</v>
      </c>
      <c r="W62" s="24"/>
      <c r="X62" s="12"/>
      <c r="Y62" s="25" t="s">
        <v>39</v>
      </c>
      <c r="Z62" s="24" t="s">
        <v>70</v>
      </c>
      <c r="AA62" s="24"/>
      <c r="AB62" s="24" t="s">
        <v>71</v>
      </c>
      <c r="AC62" s="24"/>
      <c r="AD62" s="24" t="s">
        <v>43</v>
      </c>
      <c r="AE62" s="24"/>
      <c r="AG62" s="25" t="s">
        <v>39</v>
      </c>
      <c r="AH62" s="24" t="s">
        <v>70</v>
      </c>
      <c r="AI62" s="24"/>
      <c r="AJ62" s="24" t="s">
        <v>71</v>
      </c>
      <c r="AK62" s="24"/>
      <c r="AL62" s="24" t="s">
        <v>43</v>
      </c>
      <c r="AM62" s="24"/>
    </row>
    <row r="63" spans="1:39" x14ac:dyDescent="0.25">
      <c r="A63" s="25"/>
      <c r="B63" t="s">
        <v>40</v>
      </c>
      <c r="C63" t="s">
        <v>41</v>
      </c>
      <c r="D63" t="s">
        <v>40</v>
      </c>
      <c r="E63" t="s">
        <v>41</v>
      </c>
      <c r="F63" t="s">
        <v>40</v>
      </c>
      <c r="G63" t="s">
        <v>41</v>
      </c>
      <c r="I63" s="25"/>
      <c r="J63" t="s">
        <v>40</v>
      </c>
      <c r="K63" t="s">
        <v>41</v>
      </c>
      <c r="L63" t="s">
        <v>40</v>
      </c>
      <c r="M63" t="s">
        <v>41</v>
      </c>
      <c r="N63" t="s">
        <v>40</v>
      </c>
      <c r="O63" t="s">
        <v>41</v>
      </c>
      <c r="Q63" s="25"/>
      <c r="R63" t="s">
        <v>40</v>
      </c>
      <c r="S63" t="s">
        <v>41</v>
      </c>
      <c r="T63" t="s">
        <v>40</v>
      </c>
      <c r="U63" t="s">
        <v>41</v>
      </c>
      <c r="V63" t="s">
        <v>40</v>
      </c>
      <c r="W63" t="s">
        <v>41</v>
      </c>
      <c r="Y63" s="25"/>
      <c r="Z63" t="s">
        <v>40</v>
      </c>
      <c r="AA63" t="s">
        <v>41</v>
      </c>
      <c r="AB63" t="s">
        <v>40</v>
      </c>
      <c r="AC63" t="s">
        <v>41</v>
      </c>
      <c r="AD63" t="s">
        <v>40</v>
      </c>
      <c r="AE63" t="s">
        <v>41</v>
      </c>
      <c r="AG63" s="25"/>
      <c r="AH63" t="s">
        <v>40</v>
      </c>
      <c r="AI63" t="s">
        <v>41</v>
      </c>
      <c r="AJ63" t="s">
        <v>40</v>
      </c>
      <c r="AK63" t="s">
        <v>41</v>
      </c>
      <c r="AL63" t="s">
        <v>40</v>
      </c>
      <c r="AM63" t="s">
        <v>41</v>
      </c>
    </row>
    <row r="64" spans="1:39" x14ac:dyDescent="0.25">
      <c r="A64" s="4">
        <v>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I64" s="4">
        <v>50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 s="4">
        <v>50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Y64" s="4">
        <v>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G64" s="4">
        <v>50</v>
      </c>
      <c r="AH64">
        <v>180</v>
      </c>
      <c r="AI64" s="9">
        <f>PRODUCT(AG64,AH64,1/(AH64+420))</f>
        <v>15.000000000000002</v>
      </c>
      <c r="AJ64">
        <v>176</v>
      </c>
      <c r="AK64" s="9">
        <f>PRODUCT(AG64,AJ64,1/(AJ64+420))</f>
        <v>14.765100671140939</v>
      </c>
      <c r="AL64">
        <v>0</v>
      </c>
      <c r="AM64" s="9">
        <f t="shared" ref="AM64" si="107">PRODUCT(AG64,AL64,1/(AL64+300))</f>
        <v>0</v>
      </c>
    </row>
    <row r="65" spans="1:39" x14ac:dyDescent="0.25">
      <c r="A65" s="4">
        <v>100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I65" s="4">
        <v>100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 s="4">
        <v>100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Y65" s="4">
        <v>100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G65" s="4">
        <v>100</v>
      </c>
      <c r="AH65">
        <v>190</v>
      </c>
      <c r="AI65" s="9">
        <f t="shared" ref="AI65:AI75" si="108">PRODUCT(AG65,AH65,1/(AH65+420))</f>
        <v>31.147540983606557</v>
      </c>
      <c r="AJ65">
        <f>SUM(AJ64,9)</f>
        <v>185</v>
      </c>
      <c r="AK65" s="9">
        <f t="shared" ref="AK65:AK79" si="109">PRODUCT(AG65,AJ65,1/(AJ65+420))</f>
        <v>30.578512396694215</v>
      </c>
      <c r="AL65">
        <v>0</v>
      </c>
      <c r="AM65" s="9">
        <f>PRODUCT(AG65,AL65,1/(AL65+420))</f>
        <v>0</v>
      </c>
    </row>
    <row r="66" spans="1:39" x14ac:dyDescent="0.25">
      <c r="A66" s="4">
        <v>200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I66" s="4">
        <v>200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 s="4">
        <v>200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Y66" s="4">
        <v>200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G66" s="4">
        <v>200</v>
      </c>
      <c r="AH66">
        <v>200</v>
      </c>
      <c r="AI66" s="9">
        <f t="shared" si="108"/>
        <v>64.516129032258064</v>
      </c>
      <c r="AJ66">
        <f t="shared" ref="AJ66:AJ79" si="110">SUM(AJ65,9)</f>
        <v>194</v>
      </c>
      <c r="AK66" s="9">
        <f t="shared" si="109"/>
        <v>63.192182410423456</v>
      </c>
      <c r="AL66">
        <v>188</v>
      </c>
      <c r="AM66" s="9">
        <f t="shared" ref="AM66:AM80" si="111">PRODUCT(AG66,AL66,1/(AL66+420))</f>
        <v>61.84210526315789</v>
      </c>
    </row>
    <row r="67" spans="1:39" x14ac:dyDescent="0.25">
      <c r="A67" s="4">
        <v>700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I67" s="4">
        <v>700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 s="4">
        <v>700</v>
      </c>
      <c r="R67">
        <v>0</v>
      </c>
      <c r="S67" s="9">
        <f>PRODUCT(Q67,R67,1/(R67+300))</f>
        <v>0</v>
      </c>
      <c r="T67">
        <v>0</v>
      </c>
      <c r="U67">
        <v>0</v>
      </c>
      <c r="V67">
        <v>0</v>
      </c>
      <c r="W67">
        <v>0</v>
      </c>
      <c r="Y67" s="4">
        <v>700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G67" s="4">
        <v>700</v>
      </c>
      <c r="AH67">
        <f>SUM(AH66,10)</f>
        <v>210</v>
      </c>
      <c r="AI67" s="9">
        <f t="shared" si="108"/>
        <v>233.33333333333334</v>
      </c>
      <c r="AJ67">
        <f t="shared" si="110"/>
        <v>203</v>
      </c>
      <c r="AK67" s="9">
        <f t="shared" si="109"/>
        <v>228.08988764044943</v>
      </c>
      <c r="AL67">
        <f t="shared" ref="AL67:AL80" si="112">SUM(AL66,8)</f>
        <v>196</v>
      </c>
      <c r="AM67" s="9">
        <f t="shared" si="111"/>
        <v>222.72727272727275</v>
      </c>
    </row>
    <row r="68" spans="1:39" x14ac:dyDescent="0.25">
      <c r="A68" s="4">
        <v>1300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I68" s="4">
        <v>1300</v>
      </c>
      <c r="J68">
        <v>0</v>
      </c>
      <c r="K68" s="9">
        <f>PRODUCT(I68,J68,1/(J68+420))</f>
        <v>0</v>
      </c>
      <c r="L68">
        <v>0</v>
      </c>
      <c r="M68" s="9">
        <f>PRODUCT(I68,L68,1/(L68+420))</f>
        <v>0</v>
      </c>
      <c r="N68">
        <v>0</v>
      </c>
      <c r="O68" s="9">
        <f>PRODUCT(I68,N68,1/(N68+420))</f>
        <v>0</v>
      </c>
      <c r="Q68" s="4">
        <v>1300</v>
      </c>
      <c r="R68">
        <v>0</v>
      </c>
      <c r="S68" s="9">
        <f>PRODUCT(Q68,R68,1/(R68+420))</f>
        <v>0</v>
      </c>
      <c r="T68">
        <v>0</v>
      </c>
      <c r="U68" s="9">
        <f>PRODUCT(Q68,T68,1/(T68+420))</f>
        <v>0</v>
      </c>
      <c r="V68">
        <v>0</v>
      </c>
      <c r="W68" s="9">
        <f>PRODUCT(Q68,V68,1/(V68+420))</f>
        <v>0</v>
      </c>
      <c r="Y68" s="4">
        <v>1300</v>
      </c>
      <c r="Z68">
        <v>0</v>
      </c>
      <c r="AA68" s="9">
        <f>PRODUCT(Y68,Z68,1/(Z68+420))</f>
        <v>0</v>
      </c>
      <c r="AB68">
        <v>0</v>
      </c>
      <c r="AC68" s="9">
        <f>PRODUCT(Y68,AB68,1/(AB68+420))</f>
        <v>0</v>
      </c>
      <c r="AD68">
        <v>0</v>
      </c>
      <c r="AE68" s="9">
        <f>PRODUCT(Y68,AD68,1/(AD68+420))</f>
        <v>0</v>
      </c>
      <c r="AG68" s="4">
        <v>1300</v>
      </c>
      <c r="AH68">
        <f t="shared" ref="AH68:AH79" si="113">SUM(AH67,10)</f>
        <v>220</v>
      </c>
      <c r="AI68" s="9">
        <f t="shared" si="108"/>
        <v>446.875</v>
      </c>
      <c r="AJ68">
        <f t="shared" si="110"/>
        <v>212</v>
      </c>
      <c r="AK68" s="9">
        <f t="shared" si="109"/>
        <v>436.07594936708858</v>
      </c>
      <c r="AL68">
        <f t="shared" si="112"/>
        <v>204</v>
      </c>
      <c r="AM68" s="9">
        <f t="shared" si="111"/>
        <v>425</v>
      </c>
    </row>
    <row r="69" spans="1:39" s="5" customFormat="1" x14ac:dyDescent="0.25">
      <c r="A69" s="4">
        <v>1700</v>
      </c>
      <c r="B69" s="5">
        <v>0</v>
      </c>
      <c r="C69" s="9">
        <f>PRODUCT(A69,B69,1/(B69+420))</f>
        <v>0</v>
      </c>
      <c r="D69" s="5">
        <v>0</v>
      </c>
      <c r="E69" s="9">
        <f>PRODUCT(A69,D69,1/(D69+420))</f>
        <v>0</v>
      </c>
      <c r="F69" s="5">
        <v>0</v>
      </c>
      <c r="G69" s="9">
        <v>0</v>
      </c>
      <c r="I69" s="4">
        <v>1700</v>
      </c>
      <c r="J69" s="5">
        <v>235</v>
      </c>
      <c r="K69" s="9">
        <f t="shared" ref="K69:K81" si="114">PRODUCT(I69,J69,1/(J69+420))</f>
        <v>609.92366412213744</v>
      </c>
      <c r="L69" s="5">
        <v>230</v>
      </c>
      <c r="M69" s="9">
        <f t="shared" ref="M69:M81" si="115">PRODUCT(I69,L69,1/(L69+420))</f>
        <v>601.53846153846155</v>
      </c>
      <c r="N69" s="5">
        <v>225</v>
      </c>
      <c r="O69" s="9">
        <f t="shared" ref="O69:O79" si="116">PRODUCT(I69,N69,1/(N69+420))</f>
        <v>593.02325581395348</v>
      </c>
      <c r="Q69" s="4">
        <v>1700</v>
      </c>
      <c r="R69" s="5">
        <v>229</v>
      </c>
      <c r="S69" s="9">
        <f t="shared" ref="S69:S72" si="117">PRODUCT(Q69,R69,1/(R69+420))</f>
        <v>599.84591679506934</v>
      </c>
      <c r="T69">
        <v>229</v>
      </c>
      <c r="U69" s="9">
        <f t="shared" ref="U69:U75" si="118">PRODUCT(Q69,T69,1/(T69+420))</f>
        <v>599.84591679506934</v>
      </c>
      <c r="V69" s="5">
        <v>229</v>
      </c>
      <c r="W69" s="9">
        <f t="shared" ref="W69:W72" si="119">PRODUCT(Q69,V69,1/(V69+420))</f>
        <v>599.84591679506934</v>
      </c>
      <c r="Y69" s="4">
        <v>1700</v>
      </c>
      <c r="Z69" s="5">
        <v>226</v>
      </c>
      <c r="AA69" s="9">
        <f t="shared" ref="AA69:AA77" si="120">PRODUCT(Y69,Z69,1/(Z69+420))</f>
        <v>594.73684210526324</v>
      </c>
      <c r="AB69" s="5">
        <v>221</v>
      </c>
      <c r="AC69" s="9">
        <f t="shared" ref="AC69:AC77" si="121">PRODUCT(Y69,AB69,1/(AB69+420))</f>
        <v>586.11544461778476</v>
      </c>
      <c r="AD69" s="5">
        <v>216</v>
      </c>
      <c r="AE69" s="9">
        <f t="shared" ref="AE69:AE77" si="122">PRODUCT(Y69,AD69,1/(AD69+420))</f>
        <v>577.35849056603774</v>
      </c>
      <c r="AG69" s="4">
        <v>1700</v>
      </c>
      <c r="AH69">
        <f t="shared" si="113"/>
        <v>230</v>
      </c>
      <c r="AI69" s="9">
        <f t="shared" si="108"/>
        <v>601.53846153846155</v>
      </c>
      <c r="AJ69">
        <f t="shared" si="110"/>
        <v>221</v>
      </c>
      <c r="AK69" s="9">
        <f t="shared" si="109"/>
        <v>586.11544461778476</v>
      </c>
      <c r="AL69">
        <f t="shared" si="112"/>
        <v>212</v>
      </c>
      <c r="AM69" s="9">
        <f t="shared" si="111"/>
        <v>570.25316455696202</v>
      </c>
    </row>
    <row r="70" spans="1:39" s="5" customFormat="1" x14ac:dyDescent="0.25">
      <c r="A70" s="4">
        <f>SUM(A69+500)</f>
        <v>2200</v>
      </c>
      <c r="B70" s="5">
        <v>290</v>
      </c>
      <c r="C70" s="9">
        <f t="shared" ref="C70:C81" si="123">PRODUCT(A70,B70,1/(B70+420))</f>
        <v>898.59154929577471</v>
      </c>
      <c r="D70" s="5">
        <v>280</v>
      </c>
      <c r="E70" s="9">
        <f t="shared" ref="E70:E81" si="124">PRODUCT(A70,D70,1/(D70+420))</f>
        <v>880</v>
      </c>
      <c r="F70" s="5">
        <v>250</v>
      </c>
      <c r="G70" s="9">
        <f>PRODUCT(A70,F70,1/(F70+420))</f>
        <v>820.8955223880597</v>
      </c>
      <c r="I70" s="4">
        <f>SUM(I69+500)</f>
        <v>2200</v>
      </c>
      <c r="J70" s="5">
        <f>SUM(J69,19)</f>
        <v>254</v>
      </c>
      <c r="K70" s="9">
        <f t="shared" si="114"/>
        <v>829.080118694362</v>
      </c>
      <c r="L70" s="5">
        <f>SUM(L69,22)</f>
        <v>252</v>
      </c>
      <c r="M70" s="9">
        <f t="shared" si="115"/>
        <v>825</v>
      </c>
      <c r="N70" s="5">
        <f>SUM(N69,18)</f>
        <v>243</v>
      </c>
      <c r="O70" s="9">
        <f t="shared" si="116"/>
        <v>806.33484162895934</v>
      </c>
      <c r="Q70" s="4">
        <f>SUM(Q69+500)</f>
        <v>2200</v>
      </c>
      <c r="R70" s="5">
        <f t="shared" ref="R70:R75" si="125">SUM(R69,13)</f>
        <v>242</v>
      </c>
      <c r="S70" s="9">
        <f t="shared" si="117"/>
        <v>804.22960725075529</v>
      </c>
      <c r="T70">
        <f t="shared" ref="T70:T75" si="126">SUM(T69,13)</f>
        <v>242</v>
      </c>
      <c r="U70" s="9">
        <f t="shared" si="118"/>
        <v>804.22960725075529</v>
      </c>
      <c r="V70" s="5">
        <f t="shared" ref="V70:V75" si="127">SUM(V69,13)</f>
        <v>242</v>
      </c>
      <c r="W70" s="9">
        <f t="shared" si="119"/>
        <v>804.22960725075529</v>
      </c>
      <c r="Y70" s="4">
        <f>SUM(Y69+500)</f>
        <v>2200</v>
      </c>
      <c r="Z70" s="5">
        <f t="shared" ref="Z70:Z77" si="128">SUM(Z69,10)</f>
        <v>236</v>
      </c>
      <c r="AA70" s="9">
        <f t="shared" si="120"/>
        <v>791.46341463414637</v>
      </c>
      <c r="AB70" s="5">
        <f t="shared" ref="AB70:AB77" si="129">SUM(AB69,11)</f>
        <v>232</v>
      </c>
      <c r="AC70" s="9">
        <f t="shared" si="121"/>
        <v>782.82208588957053</v>
      </c>
      <c r="AD70" s="5">
        <f t="shared" ref="AD70:AD77" si="130">SUM(AD69,9)</f>
        <v>225</v>
      </c>
      <c r="AE70" s="9">
        <f t="shared" si="122"/>
        <v>767.44186046511629</v>
      </c>
      <c r="AG70" s="4">
        <f>SUM(AG69+500)</f>
        <v>2200</v>
      </c>
      <c r="AH70">
        <f t="shared" si="113"/>
        <v>240</v>
      </c>
      <c r="AI70" s="9">
        <f t="shared" si="108"/>
        <v>800</v>
      </c>
      <c r="AJ70">
        <f t="shared" si="110"/>
        <v>230</v>
      </c>
      <c r="AK70" s="9">
        <f t="shared" si="109"/>
        <v>778.46153846153845</v>
      </c>
      <c r="AL70">
        <f t="shared" si="112"/>
        <v>220</v>
      </c>
      <c r="AM70" s="9">
        <f t="shared" si="111"/>
        <v>756.25</v>
      </c>
    </row>
    <row r="71" spans="1:39" x14ac:dyDescent="0.25">
      <c r="A71" s="4">
        <f t="shared" ref="A71:A83" si="131">SUM(A70+500)</f>
        <v>2700</v>
      </c>
      <c r="B71">
        <v>310</v>
      </c>
      <c r="C71" s="9">
        <f t="shared" si="123"/>
        <v>1146.5753424657535</v>
      </c>
      <c r="D71">
        <v>300</v>
      </c>
      <c r="E71" s="9">
        <f t="shared" si="124"/>
        <v>1125</v>
      </c>
      <c r="F71">
        <v>270</v>
      </c>
      <c r="G71" s="9">
        <f>PRODUCT(A71,F71,1/(F71+300))</f>
        <v>1278.9473684210527</v>
      </c>
      <c r="I71" s="4">
        <f t="shared" ref="I71:I83" si="132">SUM(I70+500)</f>
        <v>2700</v>
      </c>
      <c r="J71" s="5">
        <f t="shared" ref="J71:J81" si="133">SUM(J70,19)</f>
        <v>273</v>
      </c>
      <c r="K71" s="9">
        <f t="shared" si="114"/>
        <v>1063.6363636363637</v>
      </c>
      <c r="L71" s="5">
        <f t="shared" ref="L71:L73" si="134">SUM(L70,22)</f>
        <v>274</v>
      </c>
      <c r="M71" s="9">
        <f t="shared" si="115"/>
        <v>1065.9942363112391</v>
      </c>
      <c r="N71" s="5">
        <f t="shared" ref="N71:N77" si="135">SUM(N70,18)</f>
        <v>261</v>
      </c>
      <c r="O71" s="9">
        <f t="shared" si="116"/>
        <v>1034.8017621145375</v>
      </c>
      <c r="Q71" s="4">
        <f t="shared" ref="Q71:Q83" si="136">SUM(Q70+500)</f>
        <v>2700</v>
      </c>
      <c r="R71" s="5">
        <f t="shared" si="125"/>
        <v>255</v>
      </c>
      <c r="S71" s="9">
        <f t="shared" si="117"/>
        <v>1020</v>
      </c>
      <c r="T71">
        <f t="shared" si="126"/>
        <v>255</v>
      </c>
      <c r="U71" s="9">
        <f t="shared" si="118"/>
        <v>1020</v>
      </c>
      <c r="V71" s="5">
        <f t="shared" si="127"/>
        <v>255</v>
      </c>
      <c r="W71" s="9">
        <f t="shared" si="119"/>
        <v>1020</v>
      </c>
      <c r="Y71" s="4">
        <f t="shared" ref="Y71:Y83" si="137">SUM(Y70+500)</f>
        <v>2700</v>
      </c>
      <c r="Z71" s="5">
        <f t="shared" si="128"/>
        <v>246</v>
      </c>
      <c r="AA71" s="9">
        <f t="shared" si="120"/>
        <v>997.29729729729729</v>
      </c>
      <c r="AB71" s="5">
        <f t="shared" si="129"/>
        <v>243</v>
      </c>
      <c r="AC71" s="9">
        <f t="shared" si="121"/>
        <v>989.59276018099547</v>
      </c>
      <c r="AD71" s="5">
        <f t="shared" si="130"/>
        <v>234</v>
      </c>
      <c r="AE71" s="9">
        <f t="shared" si="122"/>
        <v>966.05504587155963</v>
      </c>
      <c r="AG71" s="4">
        <f t="shared" ref="AG71:AG83" si="138">SUM(AG70+500)</f>
        <v>2700</v>
      </c>
      <c r="AH71">
        <f t="shared" si="113"/>
        <v>250</v>
      </c>
      <c r="AI71" s="9">
        <f t="shared" si="108"/>
        <v>1007.4626865671642</v>
      </c>
      <c r="AJ71">
        <f t="shared" si="110"/>
        <v>239</v>
      </c>
      <c r="AK71" s="9">
        <f t="shared" si="109"/>
        <v>979.21092564491653</v>
      </c>
      <c r="AL71">
        <f t="shared" si="112"/>
        <v>228</v>
      </c>
      <c r="AM71" s="9">
        <f t="shared" si="111"/>
        <v>950</v>
      </c>
    </row>
    <row r="72" spans="1:39" x14ac:dyDescent="0.25">
      <c r="A72" s="4">
        <f t="shared" si="131"/>
        <v>3200</v>
      </c>
      <c r="B72">
        <f>SUM(B71,30)</f>
        <v>340</v>
      </c>
      <c r="C72" s="9">
        <f t="shared" si="123"/>
        <v>1431.578947368421</v>
      </c>
      <c r="D72">
        <f>SUM(D71,20)</f>
        <v>320</v>
      </c>
      <c r="E72" s="9">
        <f t="shared" si="124"/>
        <v>1383.7837837837837</v>
      </c>
      <c r="F72">
        <v>290</v>
      </c>
      <c r="G72" s="9">
        <f>PRODUCT(A72,F72,1/(F72+300))</f>
        <v>1572.8813559322034</v>
      </c>
      <c r="I72" s="4">
        <f t="shared" si="132"/>
        <v>3200</v>
      </c>
      <c r="J72" s="5">
        <f t="shared" si="133"/>
        <v>292</v>
      </c>
      <c r="K72" s="9">
        <f t="shared" si="114"/>
        <v>1312.3595505617977</v>
      </c>
      <c r="L72" s="5">
        <f t="shared" si="134"/>
        <v>296</v>
      </c>
      <c r="M72" s="9">
        <f t="shared" si="115"/>
        <v>1322.905027932961</v>
      </c>
      <c r="N72" s="5">
        <f t="shared" si="135"/>
        <v>279</v>
      </c>
      <c r="O72" s="9">
        <f t="shared" si="116"/>
        <v>1277.2532188841201</v>
      </c>
      <c r="Q72" s="4">
        <f t="shared" si="136"/>
        <v>3200</v>
      </c>
      <c r="R72" s="5">
        <f t="shared" si="125"/>
        <v>268</v>
      </c>
      <c r="S72" s="9">
        <f t="shared" si="117"/>
        <v>1246.5116279069766</v>
      </c>
      <c r="T72">
        <f t="shared" si="126"/>
        <v>268</v>
      </c>
      <c r="U72" s="9">
        <f t="shared" si="118"/>
        <v>1246.5116279069766</v>
      </c>
      <c r="V72" s="5">
        <f t="shared" si="127"/>
        <v>268</v>
      </c>
      <c r="W72" s="9">
        <f t="shared" si="119"/>
        <v>1246.5116279069766</v>
      </c>
      <c r="Y72" s="4">
        <f t="shared" si="137"/>
        <v>3200</v>
      </c>
      <c r="Z72" s="5">
        <f t="shared" si="128"/>
        <v>256</v>
      </c>
      <c r="AA72" s="9">
        <f t="shared" si="120"/>
        <v>1211.8343195266273</v>
      </c>
      <c r="AB72" s="5">
        <f t="shared" si="129"/>
        <v>254</v>
      </c>
      <c r="AC72" s="9">
        <f t="shared" si="121"/>
        <v>1205.9347181008902</v>
      </c>
      <c r="AD72" s="5">
        <f t="shared" si="130"/>
        <v>243</v>
      </c>
      <c r="AE72" s="9">
        <f t="shared" si="122"/>
        <v>1172.8506787330318</v>
      </c>
      <c r="AG72" s="4">
        <f t="shared" si="138"/>
        <v>3200</v>
      </c>
      <c r="AH72">
        <f t="shared" si="113"/>
        <v>260</v>
      </c>
      <c r="AI72" s="9">
        <f t="shared" si="108"/>
        <v>1223.5294117647059</v>
      </c>
      <c r="AJ72">
        <f t="shared" si="110"/>
        <v>248</v>
      </c>
      <c r="AK72" s="9">
        <f t="shared" si="109"/>
        <v>1188.0239520958085</v>
      </c>
      <c r="AL72">
        <f t="shared" si="112"/>
        <v>236</v>
      </c>
      <c r="AM72" s="9">
        <f t="shared" si="111"/>
        <v>1151.219512195122</v>
      </c>
    </row>
    <row r="73" spans="1:39" x14ac:dyDescent="0.25">
      <c r="A73" s="4">
        <f t="shared" si="131"/>
        <v>3700</v>
      </c>
      <c r="B73">
        <f>SUM(B72,20)</f>
        <v>360</v>
      </c>
      <c r="C73" s="9">
        <f t="shared" si="123"/>
        <v>1707.6923076923076</v>
      </c>
      <c r="D73">
        <f t="shared" ref="D73:D81" si="139">SUM(D72,20)</f>
        <v>340</v>
      </c>
      <c r="E73" s="9">
        <f t="shared" si="124"/>
        <v>1655.2631578947369</v>
      </c>
      <c r="F73">
        <f>SUM(F72,20)</f>
        <v>310</v>
      </c>
      <c r="G73" s="9">
        <f>PRODUCT(A73,F73,1/(F73+300))</f>
        <v>1880.327868852459</v>
      </c>
      <c r="I73" s="4">
        <f t="shared" si="132"/>
        <v>3700</v>
      </c>
      <c r="J73" s="5">
        <f t="shared" si="133"/>
        <v>311</v>
      </c>
      <c r="K73" s="9">
        <f t="shared" si="114"/>
        <v>1574.1450068399452</v>
      </c>
      <c r="L73" s="5">
        <f t="shared" si="134"/>
        <v>318</v>
      </c>
      <c r="M73" s="9">
        <f t="shared" si="115"/>
        <v>1594.3089430894308</v>
      </c>
      <c r="N73" s="5">
        <f t="shared" si="135"/>
        <v>297</v>
      </c>
      <c r="O73" s="9">
        <f t="shared" si="116"/>
        <v>1532.6359832635983</v>
      </c>
      <c r="Q73" s="4">
        <f t="shared" si="136"/>
        <v>3700</v>
      </c>
      <c r="R73" s="5">
        <f t="shared" si="125"/>
        <v>281</v>
      </c>
      <c r="S73" s="9">
        <f>PRODUCT(Q73,R73,1/(R73+420))</f>
        <v>1483.166904422254</v>
      </c>
      <c r="T73">
        <f t="shared" si="126"/>
        <v>281</v>
      </c>
      <c r="U73" s="9">
        <f t="shared" si="118"/>
        <v>1483.166904422254</v>
      </c>
      <c r="V73" s="5">
        <f t="shared" si="127"/>
        <v>281</v>
      </c>
      <c r="W73" s="9">
        <f>PRODUCT(Q73,V73,1/(V73+420))</f>
        <v>1483.166904422254</v>
      </c>
      <c r="Y73" s="4">
        <f t="shared" si="137"/>
        <v>3700</v>
      </c>
      <c r="Z73" s="5">
        <f t="shared" si="128"/>
        <v>266</v>
      </c>
      <c r="AA73" s="9">
        <f t="shared" si="120"/>
        <v>1434.6938775510205</v>
      </c>
      <c r="AB73" s="5">
        <f t="shared" si="129"/>
        <v>265</v>
      </c>
      <c r="AC73" s="9">
        <f t="shared" si="121"/>
        <v>1431.3868613138686</v>
      </c>
      <c r="AD73" s="5">
        <f t="shared" si="130"/>
        <v>252</v>
      </c>
      <c r="AE73" s="9">
        <f t="shared" si="122"/>
        <v>1387.5</v>
      </c>
      <c r="AG73" s="4">
        <f t="shared" si="138"/>
        <v>3700</v>
      </c>
      <c r="AH73">
        <f t="shared" si="113"/>
        <v>270</v>
      </c>
      <c r="AI73" s="9">
        <f t="shared" si="108"/>
        <v>1447.8260869565217</v>
      </c>
      <c r="AJ73">
        <f t="shared" si="110"/>
        <v>257</v>
      </c>
      <c r="AK73" s="9">
        <f t="shared" si="109"/>
        <v>1404.579025110783</v>
      </c>
      <c r="AL73">
        <f t="shared" si="112"/>
        <v>244</v>
      </c>
      <c r="AM73" s="9">
        <f t="shared" si="111"/>
        <v>1359.6385542168675</v>
      </c>
    </row>
    <row r="74" spans="1:39" x14ac:dyDescent="0.25">
      <c r="A74" s="4">
        <f t="shared" si="131"/>
        <v>4200</v>
      </c>
      <c r="B74">
        <f>SUM(B73,21)</f>
        <v>381</v>
      </c>
      <c r="C74" s="9">
        <f t="shared" si="123"/>
        <v>1997.7528089887642</v>
      </c>
      <c r="D74">
        <f t="shared" si="139"/>
        <v>360</v>
      </c>
      <c r="E74" s="9">
        <f t="shared" si="124"/>
        <v>1938.4615384615386</v>
      </c>
      <c r="F74">
        <f t="shared" ref="F74:F81" si="140">SUM(F73,20)</f>
        <v>330</v>
      </c>
      <c r="G74" s="9">
        <f t="shared" ref="G74:G83" si="141">PRODUCT(A74,F74,1/(F74+300))</f>
        <v>2200</v>
      </c>
      <c r="I74" s="4">
        <f t="shared" si="132"/>
        <v>4200</v>
      </c>
      <c r="J74" s="5">
        <f t="shared" si="133"/>
        <v>330</v>
      </c>
      <c r="K74" s="9">
        <f t="shared" si="114"/>
        <v>1848</v>
      </c>
      <c r="L74" s="5">
        <f>SUM(L73,20)</f>
        <v>338</v>
      </c>
      <c r="M74" s="9">
        <f t="shared" si="115"/>
        <v>1872.8232189973614</v>
      </c>
      <c r="N74" s="5">
        <f t="shared" si="135"/>
        <v>315</v>
      </c>
      <c r="O74" s="9">
        <f t="shared" si="116"/>
        <v>1799.9999999999998</v>
      </c>
      <c r="Q74" s="4">
        <f t="shared" si="136"/>
        <v>4200</v>
      </c>
      <c r="R74" s="5">
        <f t="shared" si="125"/>
        <v>294</v>
      </c>
      <c r="S74" s="9">
        <f>PRODUCT(Q74,R74,1/(R74+420))</f>
        <v>1729.4117647058824</v>
      </c>
      <c r="T74">
        <f t="shared" si="126"/>
        <v>294</v>
      </c>
      <c r="U74" s="9">
        <f t="shared" si="118"/>
        <v>1729.4117647058824</v>
      </c>
      <c r="V74" s="5">
        <f t="shared" si="127"/>
        <v>294</v>
      </c>
      <c r="W74" s="9">
        <f>PRODUCT(Q74,V74,1/(V74+420))</f>
        <v>1729.4117647058824</v>
      </c>
      <c r="Y74" s="4">
        <v>4200</v>
      </c>
      <c r="Z74" s="5">
        <f t="shared" si="128"/>
        <v>276</v>
      </c>
      <c r="AA74" s="9">
        <f t="shared" si="120"/>
        <v>1665.5172413793102</v>
      </c>
      <c r="AB74" s="5">
        <f t="shared" si="129"/>
        <v>276</v>
      </c>
      <c r="AC74" s="9">
        <f t="shared" si="121"/>
        <v>1665.5172413793102</v>
      </c>
      <c r="AD74" s="5">
        <f t="shared" si="130"/>
        <v>261</v>
      </c>
      <c r="AE74" s="9">
        <f t="shared" si="122"/>
        <v>1609.6916299559471</v>
      </c>
      <c r="AG74" s="4">
        <f t="shared" si="138"/>
        <v>4200</v>
      </c>
      <c r="AH74">
        <f t="shared" si="113"/>
        <v>280</v>
      </c>
      <c r="AI74" s="9">
        <f t="shared" si="108"/>
        <v>1680</v>
      </c>
      <c r="AJ74">
        <f t="shared" si="110"/>
        <v>266</v>
      </c>
      <c r="AK74" s="9">
        <f t="shared" si="109"/>
        <v>1628.5714285714284</v>
      </c>
      <c r="AL74">
        <f t="shared" si="112"/>
        <v>252</v>
      </c>
      <c r="AM74" s="9">
        <f t="shared" si="111"/>
        <v>1575</v>
      </c>
    </row>
    <row r="75" spans="1:39" x14ac:dyDescent="0.25">
      <c r="A75" s="4">
        <f t="shared" si="131"/>
        <v>4700</v>
      </c>
      <c r="B75">
        <f>SUM(B74,22)</f>
        <v>403</v>
      </c>
      <c r="C75" s="9">
        <f t="shared" si="123"/>
        <v>2301.4580801944103</v>
      </c>
      <c r="D75">
        <f t="shared" si="139"/>
        <v>380</v>
      </c>
      <c r="E75" s="9">
        <f t="shared" si="124"/>
        <v>2232.5</v>
      </c>
      <c r="F75">
        <f t="shared" si="140"/>
        <v>350</v>
      </c>
      <c r="G75" s="9">
        <f t="shared" si="141"/>
        <v>2530.7692307692309</v>
      </c>
      <c r="I75" s="4">
        <f t="shared" si="132"/>
        <v>4700</v>
      </c>
      <c r="J75" s="5">
        <f t="shared" si="133"/>
        <v>349</v>
      </c>
      <c r="K75" s="9">
        <f t="shared" si="114"/>
        <v>2133.0299089726918</v>
      </c>
      <c r="L75" s="5">
        <f t="shared" ref="L75:L81" si="142">SUM(L74,20)</f>
        <v>358</v>
      </c>
      <c r="M75" s="9">
        <f t="shared" si="115"/>
        <v>2162.7249357326477</v>
      </c>
      <c r="N75" s="5">
        <f t="shared" si="135"/>
        <v>333</v>
      </c>
      <c r="O75" s="9">
        <f t="shared" si="116"/>
        <v>2078.4860557768925</v>
      </c>
      <c r="Q75" s="4">
        <v>4700</v>
      </c>
      <c r="R75" s="5">
        <f t="shared" si="125"/>
        <v>307</v>
      </c>
      <c r="S75" s="9">
        <f>PRODUCT(Q75,R75,1/(R75+420))</f>
        <v>1984.7317744154059</v>
      </c>
      <c r="T75">
        <f t="shared" si="126"/>
        <v>307</v>
      </c>
      <c r="U75" s="9">
        <f t="shared" si="118"/>
        <v>1984.7317744154059</v>
      </c>
      <c r="V75" s="5">
        <f t="shared" si="127"/>
        <v>307</v>
      </c>
      <c r="W75" s="9">
        <f>PRODUCT(Q75,V75,1/(V75+420))</f>
        <v>1984.7317744154059</v>
      </c>
      <c r="Y75" s="4">
        <v>4700</v>
      </c>
      <c r="Z75" s="5">
        <f t="shared" si="128"/>
        <v>286</v>
      </c>
      <c r="AA75" s="9">
        <f t="shared" si="120"/>
        <v>1903.9660056657224</v>
      </c>
      <c r="AB75" s="5">
        <f t="shared" si="129"/>
        <v>287</v>
      </c>
      <c r="AC75" s="9">
        <f t="shared" si="121"/>
        <v>1907.920792079208</v>
      </c>
      <c r="AD75" s="5">
        <f t="shared" si="130"/>
        <v>270</v>
      </c>
      <c r="AE75" s="9">
        <f t="shared" si="122"/>
        <v>1839.1304347826087</v>
      </c>
      <c r="AG75" s="4">
        <f t="shared" si="138"/>
        <v>4700</v>
      </c>
      <c r="AH75">
        <f t="shared" si="113"/>
        <v>290</v>
      </c>
      <c r="AI75" s="9">
        <f t="shared" si="108"/>
        <v>1919.7183098591549</v>
      </c>
      <c r="AJ75">
        <f t="shared" si="110"/>
        <v>275</v>
      </c>
      <c r="AK75" s="9">
        <f t="shared" si="109"/>
        <v>1859.7122302158273</v>
      </c>
      <c r="AL75">
        <f t="shared" si="112"/>
        <v>260</v>
      </c>
      <c r="AM75" s="9">
        <f t="shared" si="111"/>
        <v>1797.0588235294117</v>
      </c>
    </row>
    <row r="76" spans="1:39" x14ac:dyDescent="0.25">
      <c r="A76" s="4">
        <f t="shared" si="131"/>
        <v>5200</v>
      </c>
      <c r="B76">
        <f>SUM(B75,24)</f>
        <v>427</v>
      </c>
      <c r="C76" s="9">
        <f t="shared" si="123"/>
        <v>2621.4876033057849</v>
      </c>
      <c r="D76">
        <f t="shared" si="139"/>
        <v>400</v>
      </c>
      <c r="E76" s="9">
        <f t="shared" si="124"/>
        <v>2536.5853658536585</v>
      </c>
      <c r="F76">
        <f t="shared" si="140"/>
        <v>370</v>
      </c>
      <c r="G76" s="9">
        <f t="shared" si="141"/>
        <v>2871.6417910447763</v>
      </c>
      <c r="I76" s="4">
        <f t="shared" si="132"/>
        <v>5200</v>
      </c>
      <c r="J76" s="5">
        <f t="shared" si="133"/>
        <v>368</v>
      </c>
      <c r="K76" s="9">
        <f t="shared" si="114"/>
        <v>2428.426395939086</v>
      </c>
      <c r="L76" s="5">
        <f t="shared" si="142"/>
        <v>378</v>
      </c>
      <c r="M76" s="9">
        <f t="shared" si="115"/>
        <v>2463.1578947368421</v>
      </c>
      <c r="N76" s="5">
        <f t="shared" si="135"/>
        <v>351</v>
      </c>
      <c r="O76" s="9">
        <f t="shared" si="116"/>
        <v>2367.3151750972761</v>
      </c>
      <c r="Q76" s="4">
        <f t="shared" si="136"/>
        <v>5200</v>
      </c>
      <c r="R76" s="5">
        <v>0</v>
      </c>
      <c r="S76" s="9">
        <f t="shared" ref="S76:S83" si="143">PRODUCT(Q76,R76,1/(R76+300))</f>
        <v>0</v>
      </c>
      <c r="T76" s="5">
        <v>0</v>
      </c>
      <c r="U76" s="9">
        <f t="shared" ref="U76" si="144">PRODUCT(Q76,T76,1/(T76+300))</f>
        <v>0</v>
      </c>
      <c r="V76">
        <v>0</v>
      </c>
      <c r="W76" s="9">
        <f t="shared" ref="W76:W83" si="145">PRODUCT(Q76,V76,1/(V76+300))</f>
        <v>0</v>
      </c>
      <c r="Y76" s="4">
        <f t="shared" si="137"/>
        <v>5200</v>
      </c>
      <c r="Z76" s="5">
        <f t="shared" si="128"/>
        <v>296</v>
      </c>
      <c r="AA76" s="9">
        <f t="shared" si="120"/>
        <v>2149.7206703910615</v>
      </c>
      <c r="AB76" s="5">
        <f t="shared" si="129"/>
        <v>298</v>
      </c>
      <c r="AC76" s="9">
        <f t="shared" si="121"/>
        <v>2158.2172701949862</v>
      </c>
      <c r="AD76" s="5">
        <f t="shared" si="130"/>
        <v>279</v>
      </c>
      <c r="AE76" s="9">
        <f t="shared" si="122"/>
        <v>2075.5364806866951</v>
      </c>
      <c r="AG76" s="4">
        <v>5200</v>
      </c>
      <c r="AH76">
        <f t="shared" si="113"/>
        <v>300</v>
      </c>
      <c r="AI76" s="9">
        <f>PRODUCT(AG76,AH76,1/(AH76+420))</f>
        <v>2166.666666666667</v>
      </c>
      <c r="AJ76">
        <f t="shared" si="110"/>
        <v>284</v>
      </c>
      <c r="AK76" s="9">
        <f t="shared" si="109"/>
        <v>2097.727272727273</v>
      </c>
      <c r="AL76">
        <f t="shared" si="112"/>
        <v>268</v>
      </c>
      <c r="AM76" s="9">
        <f t="shared" si="111"/>
        <v>2025.5813953488371</v>
      </c>
    </row>
    <row r="77" spans="1:39" x14ac:dyDescent="0.25">
      <c r="A77" s="4">
        <f t="shared" si="131"/>
        <v>5700</v>
      </c>
      <c r="B77">
        <f>SUM(B76,25)</f>
        <v>452</v>
      </c>
      <c r="C77" s="9">
        <f t="shared" si="123"/>
        <v>2954.5871559633028</v>
      </c>
      <c r="D77">
        <f t="shared" si="139"/>
        <v>420</v>
      </c>
      <c r="E77" s="9">
        <f t="shared" si="124"/>
        <v>2850.0000000000005</v>
      </c>
      <c r="F77">
        <f t="shared" si="140"/>
        <v>390</v>
      </c>
      <c r="G77" s="9">
        <f t="shared" si="141"/>
        <v>3221.7391304347825</v>
      </c>
      <c r="I77" s="4">
        <f t="shared" si="132"/>
        <v>5700</v>
      </c>
      <c r="J77" s="5">
        <f t="shared" si="133"/>
        <v>387</v>
      </c>
      <c r="K77" s="9">
        <f t="shared" si="114"/>
        <v>2733.4572490706319</v>
      </c>
      <c r="L77" s="5">
        <f t="shared" si="142"/>
        <v>398</v>
      </c>
      <c r="M77" s="9">
        <f t="shared" si="115"/>
        <v>2773.3496332518339</v>
      </c>
      <c r="N77" s="5">
        <f t="shared" si="135"/>
        <v>369</v>
      </c>
      <c r="O77" s="9">
        <f t="shared" si="116"/>
        <v>2665.7794676806084</v>
      </c>
      <c r="Q77" s="4">
        <f t="shared" si="136"/>
        <v>5700</v>
      </c>
      <c r="R77" s="5">
        <v>0</v>
      </c>
      <c r="S77" s="9">
        <f t="shared" si="143"/>
        <v>0</v>
      </c>
      <c r="T77" s="5">
        <v>0</v>
      </c>
      <c r="U77" s="9">
        <f>PRODUCT(Q77,T77,1/(T77+300))</f>
        <v>0</v>
      </c>
      <c r="V77">
        <v>0</v>
      </c>
      <c r="W77" s="9">
        <f t="shared" si="145"/>
        <v>0</v>
      </c>
      <c r="Y77" s="4">
        <f t="shared" si="137"/>
        <v>5700</v>
      </c>
      <c r="Z77" s="5">
        <f t="shared" si="128"/>
        <v>306</v>
      </c>
      <c r="AA77" s="9">
        <f t="shared" si="120"/>
        <v>2402.4793388429753</v>
      </c>
      <c r="AB77" s="5">
        <f t="shared" si="129"/>
        <v>309</v>
      </c>
      <c r="AC77" s="9">
        <f t="shared" si="121"/>
        <v>2416.0493827160494</v>
      </c>
      <c r="AD77" s="5">
        <f t="shared" si="130"/>
        <v>288</v>
      </c>
      <c r="AE77" s="9">
        <f t="shared" si="122"/>
        <v>2318.6440677966102</v>
      </c>
      <c r="AG77" s="4">
        <f t="shared" si="138"/>
        <v>5700</v>
      </c>
      <c r="AH77">
        <f t="shared" si="113"/>
        <v>310</v>
      </c>
      <c r="AI77" s="9">
        <f>PRODUCT(AG77,AH77,1/(AH77+420))</f>
        <v>2420.5479452054797</v>
      </c>
      <c r="AJ77">
        <f t="shared" si="110"/>
        <v>293</v>
      </c>
      <c r="AK77" s="9">
        <f t="shared" si="109"/>
        <v>2342.3562412342217</v>
      </c>
      <c r="AL77">
        <f t="shared" si="112"/>
        <v>276</v>
      </c>
      <c r="AM77" s="9">
        <f t="shared" si="111"/>
        <v>2260.344827586207</v>
      </c>
    </row>
    <row r="78" spans="1:39" x14ac:dyDescent="0.25">
      <c r="A78" s="4">
        <f t="shared" si="131"/>
        <v>6200</v>
      </c>
      <c r="B78">
        <f>SUM(B77,26)</f>
        <v>478</v>
      </c>
      <c r="C78" s="9">
        <f t="shared" si="123"/>
        <v>3300.2227171492204</v>
      </c>
      <c r="D78">
        <f t="shared" si="139"/>
        <v>440</v>
      </c>
      <c r="E78" s="9">
        <f t="shared" si="124"/>
        <v>3172.0930232558139</v>
      </c>
      <c r="F78">
        <f t="shared" si="140"/>
        <v>410</v>
      </c>
      <c r="G78" s="9">
        <f t="shared" si="141"/>
        <v>3580.2816901408451</v>
      </c>
      <c r="I78" s="4">
        <f t="shared" si="132"/>
        <v>6200</v>
      </c>
      <c r="J78" s="5">
        <f t="shared" si="133"/>
        <v>406</v>
      </c>
      <c r="K78" s="9">
        <f t="shared" si="114"/>
        <v>3047.4576271186443</v>
      </c>
      <c r="L78" s="5">
        <f t="shared" si="142"/>
        <v>418</v>
      </c>
      <c r="M78" s="9">
        <f t="shared" si="115"/>
        <v>3092.6014319809069</v>
      </c>
      <c r="N78" s="5">
        <f>SUM(N77,17)</f>
        <v>386</v>
      </c>
      <c r="O78" s="9">
        <f t="shared" si="116"/>
        <v>2969.2307692307691</v>
      </c>
      <c r="Q78" s="4">
        <f t="shared" si="136"/>
        <v>6200</v>
      </c>
      <c r="R78" s="5">
        <v>0</v>
      </c>
      <c r="S78" s="9">
        <f t="shared" si="143"/>
        <v>0</v>
      </c>
      <c r="T78" s="5">
        <v>0</v>
      </c>
      <c r="U78" s="9">
        <f t="shared" ref="U78:U81" si="146">PRODUCT(Q78,T78,1/(T78+300))</f>
        <v>0</v>
      </c>
      <c r="V78">
        <v>0</v>
      </c>
      <c r="W78" s="9">
        <f t="shared" si="145"/>
        <v>0</v>
      </c>
      <c r="Y78" s="4">
        <f t="shared" si="137"/>
        <v>6200</v>
      </c>
      <c r="Z78" s="5">
        <v>0</v>
      </c>
      <c r="AA78" s="9">
        <f t="shared" ref="AA78:AA79" si="147">PRODUCT(Y78,Z78,1/(Z78+300))</f>
        <v>0</v>
      </c>
      <c r="AB78" s="5">
        <v>0</v>
      </c>
      <c r="AC78" s="9">
        <f t="shared" ref="AC78:AC79" si="148">PRODUCT(Y78,AB78,1/(AB78+300))</f>
        <v>0</v>
      </c>
      <c r="AD78" s="5">
        <v>0</v>
      </c>
      <c r="AE78" s="9">
        <f t="shared" ref="AE78:AE83" si="149">PRODUCT(Y78,AD78,1/(AD78+300))</f>
        <v>0</v>
      </c>
      <c r="AG78" s="4">
        <f t="shared" si="138"/>
        <v>6200</v>
      </c>
      <c r="AH78">
        <f t="shared" si="113"/>
        <v>320</v>
      </c>
      <c r="AI78" s="9">
        <f>PRODUCT(AG78,AH78,1/(AH78+420))</f>
        <v>2681.0810810810813</v>
      </c>
      <c r="AJ78">
        <f t="shared" si="110"/>
        <v>302</v>
      </c>
      <c r="AK78" s="9">
        <f t="shared" si="109"/>
        <v>2593.3518005540168</v>
      </c>
      <c r="AL78">
        <f t="shared" si="112"/>
        <v>284</v>
      </c>
      <c r="AM78" s="9">
        <f t="shared" si="111"/>
        <v>2501.1363636363635</v>
      </c>
    </row>
    <row r="79" spans="1:39" x14ac:dyDescent="0.25">
      <c r="A79" s="4">
        <f t="shared" si="131"/>
        <v>6700</v>
      </c>
      <c r="B79">
        <f>SUM(B78,30)</f>
        <v>508</v>
      </c>
      <c r="C79" s="9">
        <f t="shared" si="123"/>
        <v>3667.6724137931033</v>
      </c>
      <c r="D79">
        <f t="shared" si="139"/>
        <v>460</v>
      </c>
      <c r="E79" s="9">
        <f t="shared" si="124"/>
        <v>3502.272727272727</v>
      </c>
      <c r="F79">
        <f t="shared" si="140"/>
        <v>430</v>
      </c>
      <c r="G79" s="9">
        <f t="shared" si="141"/>
        <v>3946.5753424657532</v>
      </c>
      <c r="I79" s="4">
        <f t="shared" si="132"/>
        <v>6700</v>
      </c>
      <c r="J79" s="5">
        <f t="shared" si="133"/>
        <v>425</v>
      </c>
      <c r="K79" s="9">
        <f t="shared" si="114"/>
        <v>3369.8224852071007</v>
      </c>
      <c r="L79" s="5">
        <f t="shared" si="142"/>
        <v>438</v>
      </c>
      <c r="M79" s="9">
        <f t="shared" si="115"/>
        <v>3420.2797202797201</v>
      </c>
      <c r="N79" s="5">
        <f>SUM(N78,17)</f>
        <v>403</v>
      </c>
      <c r="O79" s="9">
        <f t="shared" si="116"/>
        <v>3280.8019441069255</v>
      </c>
      <c r="Q79" s="4">
        <f t="shared" si="136"/>
        <v>6700</v>
      </c>
      <c r="R79" s="5">
        <v>0</v>
      </c>
      <c r="S79" s="9">
        <f t="shared" si="143"/>
        <v>0</v>
      </c>
      <c r="T79" s="5">
        <v>0</v>
      </c>
      <c r="U79" s="9">
        <f t="shared" si="146"/>
        <v>0</v>
      </c>
      <c r="V79">
        <v>0</v>
      </c>
      <c r="W79" s="9">
        <f t="shared" si="145"/>
        <v>0</v>
      </c>
      <c r="Y79" s="4">
        <f t="shared" si="137"/>
        <v>6700</v>
      </c>
      <c r="Z79" s="5">
        <v>0</v>
      </c>
      <c r="AA79" s="9">
        <f t="shared" si="147"/>
        <v>0</v>
      </c>
      <c r="AB79" s="5">
        <v>0</v>
      </c>
      <c r="AC79" s="9">
        <f t="shared" si="148"/>
        <v>0</v>
      </c>
      <c r="AD79" s="5">
        <v>0</v>
      </c>
      <c r="AE79" s="9">
        <f t="shared" si="149"/>
        <v>0</v>
      </c>
      <c r="AG79" s="4">
        <f t="shared" si="138"/>
        <v>6700</v>
      </c>
      <c r="AH79">
        <f t="shared" si="113"/>
        <v>330</v>
      </c>
      <c r="AI79" s="9">
        <f>PRODUCT(AG79,AH79,1/(AH79+420))</f>
        <v>2948</v>
      </c>
      <c r="AJ79">
        <f t="shared" si="110"/>
        <v>311</v>
      </c>
      <c r="AK79" s="9">
        <f t="shared" si="109"/>
        <v>2850.4787961696306</v>
      </c>
      <c r="AL79">
        <f t="shared" si="112"/>
        <v>292</v>
      </c>
      <c r="AM79" s="9">
        <f t="shared" si="111"/>
        <v>2747.7528089887642</v>
      </c>
    </row>
    <row r="80" spans="1:39" x14ac:dyDescent="0.25">
      <c r="A80" s="4">
        <f t="shared" si="131"/>
        <v>7200</v>
      </c>
      <c r="B80">
        <f>SUM(B79,30)</f>
        <v>538</v>
      </c>
      <c r="C80" s="9">
        <f t="shared" si="123"/>
        <v>4043.4237995824633</v>
      </c>
      <c r="D80">
        <f t="shared" si="139"/>
        <v>480</v>
      </c>
      <c r="E80" s="9">
        <f t="shared" si="124"/>
        <v>3840</v>
      </c>
      <c r="F80">
        <f t="shared" si="140"/>
        <v>450</v>
      </c>
      <c r="G80" s="9">
        <f t="shared" si="141"/>
        <v>4320</v>
      </c>
      <c r="I80" s="4">
        <f t="shared" si="132"/>
        <v>7200</v>
      </c>
      <c r="J80" s="5">
        <f t="shared" si="133"/>
        <v>444</v>
      </c>
      <c r="K80" s="9">
        <f t="shared" si="114"/>
        <v>3700</v>
      </c>
      <c r="L80" s="5">
        <f t="shared" si="142"/>
        <v>458</v>
      </c>
      <c r="M80" s="9">
        <f t="shared" si="115"/>
        <v>3755.8086560364463</v>
      </c>
      <c r="N80" s="5">
        <f>SUM(N79,17)</f>
        <v>420</v>
      </c>
      <c r="O80" s="9">
        <f t="shared" ref="O80:O83" si="150">PRODUCT(I80,N80,1/(N80+300))</f>
        <v>4200</v>
      </c>
      <c r="Q80" s="4">
        <f t="shared" si="136"/>
        <v>7200</v>
      </c>
      <c r="R80" s="5">
        <v>0</v>
      </c>
      <c r="S80" s="9">
        <f t="shared" si="143"/>
        <v>0</v>
      </c>
      <c r="T80" s="5">
        <v>0</v>
      </c>
      <c r="U80" s="9">
        <f t="shared" si="146"/>
        <v>0</v>
      </c>
      <c r="V80">
        <v>0</v>
      </c>
      <c r="W80" s="9">
        <f t="shared" si="145"/>
        <v>0</v>
      </c>
      <c r="Y80" s="4">
        <f t="shared" si="137"/>
        <v>7200</v>
      </c>
      <c r="Z80" s="5">
        <v>0</v>
      </c>
      <c r="AA80" s="9">
        <v>0</v>
      </c>
      <c r="AB80" s="5">
        <v>0</v>
      </c>
      <c r="AC80" s="9">
        <v>0</v>
      </c>
      <c r="AD80" s="5">
        <v>0</v>
      </c>
      <c r="AE80" s="9">
        <f t="shared" si="149"/>
        <v>0</v>
      </c>
      <c r="AG80" s="4">
        <f t="shared" si="138"/>
        <v>7200</v>
      </c>
      <c r="AH80">
        <v>0</v>
      </c>
      <c r="AI80" s="9">
        <f t="shared" ref="AI80:AI83" si="151">PRODUCT(AG80,AH80,1/(AH80+300))</f>
        <v>0</v>
      </c>
      <c r="AJ80">
        <v>0</v>
      </c>
      <c r="AK80" s="9">
        <f t="shared" ref="AK80:AK81" si="152">PRODUCT(AG80,AJ80,1/(AJ80+300))</f>
        <v>0</v>
      </c>
      <c r="AL80">
        <f t="shared" si="112"/>
        <v>300</v>
      </c>
      <c r="AM80" s="9">
        <f t="shared" si="111"/>
        <v>3000</v>
      </c>
    </row>
    <row r="81" spans="1:39" x14ac:dyDescent="0.25">
      <c r="A81" s="4">
        <v>7700</v>
      </c>
      <c r="B81">
        <f>SUM(B80,25)</f>
        <v>563</v>
      </c>
      <c r="C81" s="9">
        <f t="shared" si="123"/>
        <v>4410.0712105798575</v>
      </c>
      <c r="D81">
        <f t="shared" si="139"/>
        <v>500</v>
      </c>
      <c r="E81" s="9">
        <f t="shared" si="124"/>
        <v>4184.782608695652</v>
      </c>
      <c r="F81">
        <f t="shared" si="140"/>
        <v>470</v>
      </c>
      <c r="G81" s="9">
        <f t="shared" si="141"/>
        <v>4700</v>
      </c>
      <c r="I81" s="4">
        <f t="shared" si="132"/>
        <v>7700</v>
      </c>
      <c r="J81" s="5">
        <f t="shared" si="133"/>
        <v>463</v>
      </c>
      <c r="K81" s="9">
        <f t="shared" si="114"/>
        <v>4037.4858437146095</v>
      </c>
      <c r="L81" s="5">
        <f t="shared" si="142"/>
        <v>478</v>
      </c>
      <c r="M81" s="9">
        <f t="shared" si="115"/>
        <v>4098.6636971046764</v>
      </c>
      <c r="N81" s="5">
        <v>0</v>
      </c>
      <c r="O81" s="9">
        <f t="shared" si="150"/>
        <v>0</v>
      </c>
      <c r="Q81" s="4">
        <f t="shared" si="136"/>
        <v>7700</v>
      </c>
      <c r="R81">
        <v>0</v>
      </c>
      <c r="S81" s="9">
        <f t="shared" si="143"/>
        <v>0</v>
      </c>
      <c r="T81">
        <v>0</v>
      </c>
      <c r="U81" s="9">
        <f t="shared" si="146"/>
        <v>0</v>
      </c>
      <c r="V81">
        <v>0</v>
      </c>
      <c r="W81" s="9">
        <f t="shared" si="145"/>
        <v>0</v>
      </c>
      <c r="Y81" s="4">
        <f t="shared" si="137"/>
        <v>7700</v>
      </c>
      <c r="Z81" s="5">
        <v>0</v>
      </c>
      <c r="AA81" s="9">
        <v>0</v>
      </c>
      <c r="AB81" s="5">
        <v>0</v>
      </c>
      <c r="AC81" s="9">
        <v>0</v>
      </c>
      <c r="AD81" s="5">
        <v>0</v>
      </c>
      <c r="AE81" s="9">
        <f t="shared" si="149"/>
        <v>0</v>
      </c>
      <c r="AG81" s="4">
        <f t="shared" si="138"/>
        <v>7700</v>
      </c>
      <c r="AH81">
        <v>0</v>
      </c>
      <c r="AI81" s="9">
        <f t="shared" si="151"/>
        <v>0</v>
      </c>
      <c r="AJ81">
        <v>0</v>
      </c>
      <c r="AK81" s="9">
        <f t="shared" si="152"/>
        <v>0</v>
      </c>
      <c r="AL81">
        <v>0</v>
      </c>
      <c r="AM81" s="9">
        <f t="shared" ref="AM81:AM83" si="153">PRODUCT(AG81,AL81,1/(AL81+300))</f>
        <v>0</v>
      </c>
    </row>
    <row r="82" spans="1:39" x14ac:dyDescent="0.25">
      <c r="A82" s="4">
        <f t="shared" si="131"/>
        <v>8200</v>
      </c>
      <c r="B82">
        <v>0</v>
      </c>
      <c r="C82" s="9">
        <f t="shared" ref="C82:C83" si="154">PRODUCT(A82,B82,1/(B82+300))</f>
        <v>0</v>
      </c>
      <c r="D82">
        <v>0</v>
      </c>
      <c r="E82" s="9">
        <f>PRODUCT(A82,D82,1/(D82+300))</f>
        <v>0</v>
      </c>
      <c r="F82">
        <f>SUM(F81,20)</f>
        <v>490</v>
      </c>
      <c r="G82" s="9">
        <f t="shared" si="141"/>
        <v>5086.0759493670885</v>
      </c>
      <c r="I82" s="4">
        <f t="shared" si="132"/>
        <v>8200</v>
      </c>
      <c r="J82" s="9">
        <v>0</v>
      </c>
      <c r="K82" s="9">
        <f t="shared" ref="K82:K83" si="155">PRODUCT(I82,J82,1/(J82+300))</f>
        <v>0</v>
      </c>
      <c r="L82" s="9">
        <v>0</v>
      </c>
      <c r="M82" s="9">
        <f>PRODUCT(I82,L82,1/(L82+300))</f>
        <v>0</v>
      </c>
      <c r="N82" s="5">
        <v>0</v>
      </c>
      <c r="O82" s="9">
        <f t="shared" si="150"/>
        <v>0</v>
      </c>
      <c r="Q82" s="4">
        <f t="shared" si="136"/>
        <v>8200</v>
      </c>
      <c r="R82" s="9">
        <v>0</v>
      </c>
      <c r="S82" s="9">
        <f t="shared" si="143"/>
        <v>0</v>
      </c>
      <c r="T82" s="9">
        <v>0</v>
      </c>
      <c r="U82" s="9">
        <f>PRODUCT(Q82,T82,1/(T82+300))</f>
        <v>0</v>
      </c>
      <c r="V82">
        <v>0</v>
      </c>
      <c r="W82" s="9">
        <f t="shared" si="145"/>
        <v>0</v>
      </c>
      <c r="Y82" s="4">
        <f t="shared" si="137"/>
        <v>8200</v>
      </c>
      <c r="Z82" s="9">
        <v>0</v>
      </c>
      <c r="AA82" s="9">
        <f t="shared" ref="AA82:AA83" si="156">PRODUCT(Y82,Z82,1/(Z82+300))</f>
        <v>0</v>
      </c>
      <c r="AB82" s="9">
        <v>0</v>
      </c>
      <c r="AC82" s="9">
        <f>PRODUCT(Y82,AB82,1/(AB82+300))</f>
        <v>0</v>
      </c>
      <c r="AD82" s="5">
        <v>0</v>
      </c>
      <c r="AE82" s="9">
        <f t="shared" si="149"/>
        <v>0</v>
      </c>
      <c r="AG82" s="4">
        <f t="shared" si="138"/>
        <v>8200</v>
      </c>
      <c r="AH82" s="9">
        <v>0</v>
      </c>
      <c r="AI82" s="9">
        <f t="shared" si="151"/>
        <v>0</v>
      </c>
      <c r="AJ82" s="9">
        <v>0</v>
      </c>
      <c r="AK82" s="9">
        <f>PRODUCT(AG82,AJ82,1/(AJ82+300))</f>
        <v>0</v>
      </c>
      <c r="AL82">
        <v>0</v>
      </c>
      <c r="AM82" s="9">
        <f t="shared" si="153"/>
        <v>0</v>
      </c>
    </row>
    <row r="83" spans="1:39" x14ac:dyDescent="0.25">
      <c r="A83" s="4">
        <f t="shared" si="131"/>
        <v>8700</v>
      </c>
      <c r="B83" s="9">
        <v>0</v>
      </c>
      <c r="C83" s="9">
        <f t="shared" si="154"/>
        <v>0</v>
      </c>
      <c r="D83" s="9">
        <v>0</v>
      </c>
      <c r="E83" s="9">
        <f t="shared" ref="E83" si="157">PRODUCT(A83,D83,1/(D83+300))</f>
        <v>0</v>
      </c>
      <c r="F83">
        <v>0</v>
      </c>
      <c r="G83" s="9">
        <f t="shared" si="141"/>
        <v>0</v>
      </c>
      <c r="I83" s="4">
        <f t="shared" si="132"/>
        <v>8700</v>
      </c>
      <c r="J83" s="9">
        <v>0</v>
      </c>
      <c r="K83" s="9">
        <f t="shared" si="155"/>
        <v>0</v>
      </c>
      <c r="L83" s="9">
        <v>0</v>
      </c>
      <c r="M83" s="9">
        <f t="shared" ref="M83" si="158">PRODUCT(I83,L83,1/(L83+300))</f>
        <v>0</v>
      </c>
      <c r="N83">
        <v>0</v>
      </c>
      <c r="O83" s="9">
        <f t="shared" si="150"/>
        <v>0</v>
      </c>
      <c r="Q83" s="4">
        <f t="shared" si="136"/>
        <v>8700</v>
      </c>
      <c r="R83" s="9">
        <v>0</v>
      </c>
      <c r="S83" s="9">
        <f t="shared" si="143"/>
        <v>0</v>
      </c>
      <c r="T83" s="9">
        <v>0</v>
      </c>
      <c r="U83" s="9">
        <f t="shared" ref="U83" si="159">PRODUCT(Q83,T83,1/(T83+300))</f>
        <v>0</v>
      </c>
      <c r="V83">
        <v>0</v>
      </c>
      <c r="W83" s="9">
        <f t="shared" si="145"/>
        <v>0</v>
      </c>
      <c r="Y83" s="4">
        <f t="shared" si="137"/>
        <v>8700</v>
      </c>
      <c r="Z83" s="9">
        <v>0</v>
      </c>
      <c r="AA83" s="9">
        <f t="shared" si="156"/>
        <v>0</v>
      </c>
      <c r="AB83" s="9">
        <v>0</v>
      </c>
      <c r="AC83" s="9">
        <f t="shared" ref="AC83" si="160">PRODUCT(Y83,AB83,1/(AB83+300))</f>
        <v>0</v>
      </c>
      <c r="AD83">
        <v>0</v>
      </c>
      <c r="AE83" s="9">
        <f t="shared" si="149"/>
        <v>0</v>
      </c>
      <c r="AG83" s="4">
        <f t="shared" si="138"/>
        <v>8700</v>
      </c>
      <c r="AH83" s="9">
        <v>0</v>
      </c>
      <c r="AI83" s="9">
        <f t="shared" si="151"/>
        <v>0</v>
      </c>
      <c r="AJ83" s="9">
        <v>0</v>
      </c>
      <c r="AK83" s="9">
        <f t="shared" ref="AK83" si="161">PRODUCT(AG83,AJ83,1/(AJ83+300))</f>
        <v>0</v>
      </c>
      <c r="AL83">
        <v>0</v>
      </c>
      <c r="AM83" s="9">
        <f t="shared" si="153"/>
        <v>0</v>
      </c>
    </row>
    <row r="84" spans="1:39" x14ac:dyDescent="0.25">
      <c r="A84" t="s">
        <v>51</v>
      </c>
      <c r="C84" s="16">
        <v>2200</v>
      </c>
      <c r="D84" s="16"/>
      <c r="E84" s="16">
        <v>2200</v>
      </c>
      <c r="F84" s="16"/>
      <c r="G84" s="16">
        <v>2200</v>
      </c>
      <c r="I84" t="s">
        <v>51</v>
      </c>
      <c r="K84" s="16">
        <v>1500</v>
      </c>
      <c r="L84" s="16"/>
      <c r="M84" s="16">
        <v>1500</v>
      </c>
      <c r="N84" s="16"/>
      <c r="O84" s="16">
        <v>1500</v>
      </c>
      <c r="Q84" t="s">
        <v>51</v>
      </c>
      <c r="S84" s="16">
        <v>1600</v>
      </c>
      <c r="T84" s="16"/>
      <c r="U84" s="16">
        <v>1600</v>
      </c>
      <c r="V84" s="16"/>
      <c r="W84" s="16">
        <v>1600</v>
      </c>
      <c r="Y84" t="s">
        <v>51</v>
      </c>
      <c r="AA84" s="16">
        <v>1700</v>
      </c>
      <c r="AB84" s="16"/>
      <c r="AC84" s="16">
        <v>1700</v>
      </c>
      <c r="AD84" s="16"/>
      <c r="AE84" s="16">
        <v>1700</v>
      </c>
      <c r="AG84" t="s">
        <v>51</v>
      </c>
      <c r="AI84" s="16">
        <v>50</v>
      </c>
      <c r="AJ84" s="16"/>
      <c r="AK84" s="16">
        <v>50</v>
      </c>
      <c r="AL84" s="16"/>
      <c r="AM84" s="16">
        <v>150</v>
      </c>
    </row>
    <row r="85" spans="1:39" x14ac:dyDescent="0.25">
      <c r="A85" t="s">
        <v>50</v>
      </c>
      <c r="C85" s="16">
        <v>8100</v>
      </c>
      <c r="D85" s="16"/>
      <c r="E85" s="16">
        <v>8100</v>
      </c>
      <c r="F85" s="16"/>
      <c r="G85" s="16">
        <v>8200</v>
      </c>
      <c r="I85" t="s">
        <v>50</v>
      </c>
      <c r="K85" s="16">
        <v>7700</v>
      </c>
      <c r="L85" s="16"/>
      <c r="M85" s="16">
        <v>7700</v>
      </c>
      <c r="N85" s="16"/>
      <c r="O85" s="16">
        <v>7200</v>
      </c>
      <c r="Q85" t="s">
        <v>50</v>
      </c>
      <c r="S85" s="16">
        <v>4700</v>
      </c>
      <c r="T85" s="16"/>
      <c r="U85" s="16">
        <v>4700</v>
      </c>
      <c r="V85" s="16"/>
      <c r="W85" s="16">
        <v>4700</v>
      </c>
      <c r="Y85" t="s">
        <v>50</v>
      </c>
      <c r="AA85" s="16">
        <v>5700</v>
      </c>
      <c r="AB85" s="16"/>
      <c r="AC85" s="16">
        <v>5700</v>
      </c>
      <c r="AD85" s="16"/>
      <c r="AE85" s="16">
        <v>5700</v>
      </c>
      <c r="AG85" t="s">
        <v>50</v>
      </c>
      <c r="AI85" s="16">
        <v>6700</v>
      </c>
      <c r="AJ85" s="16"/>
      <c r="AK85" s="16">
        <v>6700</v>
      </c>
      <c r="AL85" s="16"/>
      <c r="AM85" s="16">
        <v>7200</v>
      </c>
    </row>
    <row r="86" spans="1:39" x14ac:dyDescent="0.25">
      <c r="A86" t="s">
        <v>52</v>
      </c>
      <c r="C86" s="16">
        <v>800</v>
      </c>
      <c r="D86" s="16"/>
      <c r="E86" s="16">
        <v>800</v>
      </c>
      <c r="F86" s="16"/>
      <c r="G86" s="16">
        <v>800</v>
      </c>
      <c r="I86" t="s">
        <v>52</v>
      </c>
      <c r="K86" s="16">
        <v>500</v>
      </c>
      <c r="L86" s="16"/>
      <c r="M86" s="16">
        <v>500</v>
      </c>
      <c r="N86" s="16"/>
      <c r="O86" s="16">
        <v>500</v>
      </c>
      <c r="Q86" t="s">
        <v>52</v>
      </c>
      <c r="S86" s="16">
        <v>500</v>
      </c>
      <c r="T86" s="16"/>
      <c r="U86" s="16">
        <v>500</v>
      </c>
      <c r="V86" s="16"/>
      <c r="W86" s="16">
        <v>500</v>
      </c>
      <c r="Y86" t="s">
        <v>52</v>
      </c>
      <c r="AA86" s="16">
        <v>500</v>
      </c>
      <c r="AB86" s="16"/>
      <c r="AC86" s="16">
        <v>500</v>
      </c>
      <c r="AD86" s="16"/>
      <c r="AE86" s="16">
        <v>500</v>
      </c>
      <c r="AG86" t="s">
        <v>52</v>
      </c>
      <c r="AI86" s="16">
        <v>10</v>
      </c>
      <c r="AJ86" s="16"/>
      <c r="AK86" s="16">
        <v>15</v>
      </c>
      <c r="AL86" s="16"/>
      <c r="AM86" s="16">
        <v>40</v>
      </c>
    </row>
    <row r="87" spans="1:39" x14ac:dyDescent="0.25">
      <c r="A87" t="s">
        <v>53</v>
      </c>
      <c r="C87" s="16">
        <v>5000</v>
      </c>
      <c r="D87" s="16"/>
      <c r="E87" s="16">
        <v>5000</v>
      </c>
      <c r="F87" s="16"/>
      <c r="G87" s="16">
        <v>5100</v>
      </c>
      <c r="I87" t="s">
        <v>53</v>
      </c>
      <c r="K87" s="16">
        <v>4050</v>
      </c>
      <c r="L87" s="16"/>
      <c r="M87" s="16">
        <v>4100</v>
      </c>
      <c r="N87" s="16"/>
      <c r="O87" s="16">
        <v>4200</v>
      </c>
      <c r="Q87" t="s">
        <v>53</v>
      </c>
      <c r="S87" s="16">
        <v>2000</v>
      </c>
      <c r="T87" s="16"/>
      <c r="U87" s="16">
        <v>2000</v>
      </c>
      <c r="V87" s="16"/>
      <c r="W87" s="16">
        <v>2000</v>
      </c>
      <c r="Y87" t="s">
        <v>53</v>
      </c>
      <c r="AA87" s="16">
        <v>2500</v>
      </c>
      <c r="AB87" s="16"/>
      <c r="AC87" s="16">
        <v>2500</v>
      </c>
      <c r="AD87" s="16"/>
      <c r="AE87" s="16">
        <v>2500</v>
      </c>
      <c r="AG87" t="s">
        <v>53</v>
      </c>
      <c r="AI87" s="16">
        <v>3000</v>
      </c>
      <c r="AJ87" s="16"/>
      <c r="AK87" s="16">
        <v>3000</v>
      </c>
      <c r="AL87" s="16"/>
      <c r="AM87" s="16">
        <v>3000</v>
      </c>
    </row>
    <row r="88" spans="1:39" ht="30" customHeight="1" x14ac:dyDescent="0.25">
      <c r="A88" s="25" t="s">
        <v>82</v>
      </c>
      <c r="B88" s="26"/>
      <c r="C88" s="16">
        <v>4300</v>
      </c>
      <c r="D88" s="16"/>
      <c r="E88" s="16">
        <v>4300</v>
      </c>
      <c r="F88" s="16"/>
      <c r="G88" s="16">
        <v>4300</v>
      </c>
      <c r="I88" s="25" t="s">
        <v>82</v>
      </c>
      <c r="J88" s="26"/>
      <c r="K88" s="16">
        <v>3600</v>
      </c>
      <c r="L88" s="16"/>
      <c r="M88" s="16">
        <v>3600</v>
      </c>
      <c r="N88" s="16"/>
      <c r="O88" s="16">
        <v>3600</v>
      </c>
      <c r="Q88" s="25" t="s">
        <v>82</v>
      </c>
      <c r="R88" s="26"/>
      <c r="S88" s="16">
        <v>3700</v>
      </c>
      <c r="T88" s="16"/>
      <c r="U88" s="16">
        <v>3700</v>
      </c>
      <c r="V88" s="16"/>
      <c r="W88" s="16">
        <v>3700</v>
      </c>
      <c r="Y88" s="25" t="s">
        <v>82</v>
      </c>
      <c r="Z88" s="26"/>
      <c r="AA88" s="16">
        <v>3800</v>
      </c>
      <c r="AB88" s="16"/>
      <c r="AC88" s="16">
        <v>3800</v>
      </c>
      <c r="AD88" s="16"/>
      <c r="AE88" s="16">
        <v>3800</v>
      </c>
      <c r="AG88" s="25" t="s">
        <v>82</v>
      </c>
      <c r="AH88" s="26"/>
      <c r="AI88" s="16">
        <v>2150</v>
      </c>
      <c r="AJ88" s="16"/>
      <c r="AK88" s="16">
        <v>2150</v>
      </c>
      <c r="AL88" s="16"/>
      <c r="AM88" s="16">
        <v>2250</v>
      </c>
    </row>
    <row r="89" spans="1:39" ht="30" customHeight="1" x14ac:dyDescent="0.25">
      <c r="A89" s="25" t="s">
        <v>58</v>
      </c>
      <c r="B89" s="26"/>
      <c r="C89" s="16">
        <v>3020</v>
      </c>
      <c r="D89" s="16"/>
      <c r="E89" s="16">
        <v>3020</v>
      </c>
      <c r="F89" s="16"/>
      <c r="G89" s="16">
        <v>3020</v>
      </c>
      <c r="I89" s="25" t="s">
        <v>58</v>
      </c>
      <c r="J89" s="26"/>
      <c r="K89" s="16">
        <v>2340</v>
      </c>
      <c r="L89" s="16"/>
      <c r="M89" s="16">
        <v>2340</v>
      </c>
      <c r="N89" s="16"/>
      <c r="O89" s="16">
        <v>2340</v>
      </c>
      <c r="Q89" s="25" t="s">
        <v>58</v>
      </c>
      <c r="R89" s="26"/>
      <c r="S89" s="16">
        <v>2440</v>
      </c>
      <c r="T89" s="16"/>
      <c r="U89" s="16">
        <v>2440</v>
      </c>
      <c r="V89" s="16"/>
      <c r="W89" s="16">
        <v>2440</v>
      </c>
      <c r="Y89" s="25" t="s">
        <v>58</v>
      </c>
      <c r="Z89" s="26"/>
      <c r="AA89" s="16">
        <v>2540</v>
      </c>
      <c r="AB89" s="16"/>
      <c r="AC89" s="16">
        <v>2540</v>
      </c>
      <c r="AD89" s="16"/>
      <c r="AE89" s="16">
        <v>2540</v>
      </c>
      <c r="AG89" s="25" t="s">
        <v>58</v>
      </c>
      <c r="AH89" s="26"/>
      <c r="AI89" s="16">
        <v>890</v>
      </c>
      <c r="AJ89" s="16"/>
      <c r="AK89" s="16">
        <v>890</v>
      </c>
      <c r="AL89" s="16"/>
      <c r="AM89" s="16">
        <v>990</v>
      </c>
    </row>
  </sheetData>
  <mergeCells count="112">
    <mergeCell ref="Q89:R89"/>
    <mergeCell ref="Y89:Z89"/>
    <mergeCell ref="AG89:AH89"/>
    <mergeCell ref="AD62:AE62"/>
    <mergeCell ref="AG62:AG63"/>
    <mergeCell ref="AH62:AI62"/>
    <mergeCell ref="AJ62:AK62"/>
    <mergeCell ref="AL62:AM62"/>
    <mergeCell ref="Q88:R88"/>
    <mergeCell ref="Y88:Z88"/>
    <mergeCell ref="AG88:AH88"/>
    <mergeCell ref="Q61:W61"/>
    <mergeCell ref="Y61:AE61"/>
    <mergeCell ref="AG61:AM61"/>
    <mergeCell ref="Q62:Q63"/>
    <mergeCell ref="R62:S62"/>
    <mergeCell ref="T62:U62"/>
    <mergeCell ref="V62:W62"/>
    <mergeCell ref="Y62:Y63"/>
    <mergeCell ref="Z62:AA62"/>
    <mergeCell ref="AB62:AC62"/>
    <mergeCell ref="Q59:R59"/>
    <mergeCell ref="Y59:Z59"/>
    <mergeCell ref="AG59:AH59"/>
    <mergeCell ref="Z32:AA32"/>
    <mergeCell ref="AB32:AC32"/>
    <mergeCell ref="AD32:AE32"/>
    <mergeCell ref="AG32:AG33"/>
    <mergeCell ref="AH32:AI32"/>
    <mergeCell ref="AJ32:AK32"/>
    <mergeCell ref="Q32:Q33"/>
    <mergeCell ref="R32:S32"/>
    <mergeCell ref="T32:U32"/>
    <mergeCell ref="V32:W32"/>
    <mergeCell ref="Y32:Y33"/>
    <mergeCell ref="AL32:AM32"/>
    <mergeCell ref="Q58:R58"/>
    <mergeCell ref="Y58:Z58"/>
    <mergeCell ref="AG58:AH58"/>
    <mergeCell ref="AG28:AH28"/>
    <mergeCell ref="AO28:AP28"/>
    <mergeCell ref="Q28:R28"/>
    <mergeCell ref="Y28:Z28"/>
    <mergeCell ref="Q29:R29"/>
    <mergeCell ref="Y29:Z29"/>
    <mergeCell ref="AG29:AH29"/>
    <mergeCell ref="AO29:AP29"/>
    <mergeCell ref="Q31:W31"/>
    <mergeCell ref="Y31:AE31"/>
    <mergeCell ref="AG31:AM31"/>
    <mergeCell ref="AG1:AM1"/>
    <mergeCell ref="AO1:AU1"/>
    <mergeCell ref="AG2:AG3"/>
    <mergeCell ref="AH2:AI2"/>
    <mergeCell ref="AJ2:AK2"/>
    <mergeCell ref="AL2:AM2"/>
    <mergeCell ref="Q1:W1"/>
    <mergeCell ref="Y1:AE1"/>
    <mergeCell ref="Q2:Q3"/>
    <mergeCell ref="R2:S2"/>
    <mergeCell ref="T2:U2"/>
    <mergeCell ref="V2:W2"/>
    <mergeCell ref="Y2:Y3"/>
    <mergeCell ref="Z2:AA2"/>
    <mergeCell ref="AB2:AC2"/>
    <mergeCell ref="AD2:AE2"/>
    <mergeCell ref="AO2:AO3"/>
    <mergeCell ref="AP2:AQ2"/>
    <mergeCell ref="AR2:AS2"/>
    <mergeCell ref="AT2:AU2"/>
    <mergeCell ref="L62:M62"/>
    <mergeCell ref="N62:O62"/>
    <mergeCell ref="A88:B88"/>
    <mergeCell ref="I88:J88"/>
    <mergeCell ref="A89:B89"/>
    <mergeCell ref="I89:J89"/>
    <mergeCell ref="A62:A63"/>
    <mergeCell ref="B62:C62"/>
    <mergeCell ref="D62:E62"/>
    <mergeCell ref="F62:G62"/>
    <mergeCell ref="I62:I63"/>
    <mergeCell ref="J62:K62"/>
    <mergeCell ref="A58:B58"/>
    <mergeCell ref="I58:J58"/>
    <mergeCell ref="A59:B59"/>
    <mergeCell ref="I59:J59"/>
    <mergeCell ref="A61:G61"/>
    <mergeCell ref="I61:O61"/>
    <mergeCell ref="A31:G31"/>
    <mergeCell ref="I31:O31"/>
    <mergeCell ref="A32:A33"/>
    <mergeCell ref="B32:C32"/>
    <mergeCell ref="D32:E32"/>
    <mergeCell ref="F32:G32"/>
    <mergeCell ref="I32:I33"/>
    <mergeCell ref="J32:K32"/>
    <mergeCell ref="L32:M32"/>
    <mergeCell ref="N32:O32"/>
    <mergeCell ref="I1:O1"/>
    <mergeCell ref="I2:I3"/>
    <mergeCell ref="A28:B28"/>
    <mergeCell ref="A29:B29"/>
    <mergeCell ref="I28:J28"/>
    <mergeCell ref="I29:J29"/>
    <mergeCell ref="A2:A3"/>
    <mergeCell ref="B2:C2"/>
    <mergeCell ref="D2:E2"/>
    <mergeCell ref="F2:G2"/>
    <mergeCell ref="J2:K2"/>
    <mergeCell ref="L2:M2"/>
    <mergeCell ref="N2:O2"/>
    <mergeCell ref="A1:G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58"/>
  <sheetViews>
    <sheetView topLeftCell="CH136" workbookViewId="0">
      <selection activeCell="CU154" sqref="CU154"/>
    </sheetView>
  </sheetViews>
  <sheetFormatPr baseColWidth="10" defaultRowHeight="15" x14ac:dyDescent="0.25"/>
  <cols>
    <col min="2" max="2" width="12.140625" customWidth="1"/>
    <col min="4" max="4" width="12.140625" customWidth="1"/>
    <col min="6" max="6" width="12" customWidth="1"/>
    <col min="8" max="8" width="12.140625" customWidth="1"/>
    <col min="10" max="10" width="12.28515625" customWidth="1"/>
    <col min="62" max="62" width="12" customWidth="1"/>
    <col min="64" max="64" width="12.42578125" customWidth="1"/>
    <col min="66" max="66" width="12.140625" customWidth="1"/>
    <col min="68" max="68" width="12" customWidth="1"/>
    <col min="70" max="70" width="12.28515625" customWidth="1"/>
    <col min="74" max="74" width="12.140625" customWidth="1"/>
    <col min="76" max="76" width="12" customWidth="1"/>
    <col min="78" max="78" width="12" customWidth="1"/>
    <col min="80" max="80" width="12.140625" customWidth="1"/>
    <col min="82" max="82" width="12.140625" customWidth="1"/>
    <col min="84" max="84" width="12.140625" customWidth="1"/>
    <col min="88" max="88" width="11.85546875" customWidth="1"/>
    <col min="90" max="90" width="11.85546875" customWidth="1"/>
    <col min="92" max="92" width="11.85546875" customWidth="1"/>
    <col min="94" max="94" width="12.140625" customWidth="1"/>
    <col min="96" max="96" width="12" customWidth="1"/>
    <col min="98" max="98" width="12" customWidth="1"/>
    <col min="100" max="100" width="12" customWidth="1"/>
  </cols>
  <sheetData>
    <row r="1" spans="1:101" ht="44.25" customHeight="1" x14ac:dyDescent="0.25">
      <c r="A1" s="25" t="s">
        <v>96</v>
      </c>
      <c r="B1" s="25"/>
      <c r="C1" s="25"/>
      <c r="D1" s="25"/>
      <c r="E1" s="25"/>
      <c r="F1" s="25"/>
      <c r="G1" s="25"/>
      <c r="H1" s="25"/>
      <c r="I1" s="25"/>
      <c r="J1" s="25"/>
      <c r="K1" s="25"/>
      <c r="M1" s="25" t="s">
        <v>112</v>
      </c>
      <c r="N1" s="25"/>
      <c r="O1" s="25"/>
      <c r="P1" s="25"/>
      <c r="Q1" s="25"/>
      <c r="R1" s="25"/>
      <c r="S1" s="25"/>
      <c r="T1" s="25"/>
      <c r="U1" s="25"/>
      <c r="V1" s="25"/>
      <c r="W1" s="25"/>
      <c r="Y1" s="25" t="s">
        <v>114</v>
      </c>
      <c r="Z1" s="25"/>
      <c r="AA1" s="25"/>
      <c r="AB1" s="25"/>
      <c r="AC1" s="25"/>
      <c r="AD1" s="25"/>
      <c r="AE1" s="25"/>
      <c r="AF1" s="25"/>
      <c r="AG1" s="25"/>
      <c r="AH1" s="25"/>
      <c r="AI1" s="25"/>
      <c r="AK1" s="25" t="s">
        <v>116</v>
      </c>
      <c r="AL1" s="25"/>
      <c r="AM1" s="25"/>
      <c r="AN1" s="25"/>
      <c r="AO1" s="25"/>
      <c r="AP1" s="25"/>
      <c r="AQ1" s="25"/>
      <c r="AR1" s="25"/>
      <c r="AS1" s="25"/>
      <c r="AT1" s="25"/>
      <c r="AU1" s="25"/>
      <c r="AW1" s="25" t="s">
        <v>122</v>
      </c>
      <c r="AX1" s="25"/>
      <c r="AY1" s="25"/>
      <c r="AZ1" s="25"/>
      <c r="BA1" s="25"/>
      <c r="BB1" s="25"/>
      <c r="BC1" s="25"/>
      <c r="BD1" s="25"/>
      <c r="BE1" s="25"/>
      <c r="BF1" s="25"/>
      <c r="BG1" s="25"/>
      <c r="BI1" s="25" t="s">
        <v>125</v>
      </c>
      <c r="BJ1" s="25"/>
      <c r="BK1" s="25"/>
      <c r="BL1" s="25"/>
      <c r="BM1" s="25"/>
      <c r="BN1" s="25"/>
      <c r="BO1" s="25"/>
      <c r="BP1" s="25"/>
      <c r="BQ1" s="25"/>
      <c r="BR1" s="25"/>
      <c r="BS1" s="25"/>
      <c r="BU1" s="25" t="s">
        <v>129</v>
      </c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I1" s="25" t="s">
        <v>132</v>
      </c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</row>
    <row r="2" spans="1:101" ht="21.75" customHeight="1" x14ac:dyDescent="0.25">
      <c r="A2" s="25" t="s">
        <v>97</v>
      </c>
      <c r="B2" s="24" t="s">
        <v>98</v>
      </c>
      <c r="C2" s="24"/>
      <c r="D2" s="24" t="s">
        <v>100</v>
      </c>
      <c r="E2" s="24"/>
      <c r="F2" s="24" t="s">
        <v>99</v>
      </c>
      <c r="G2" s="24"/>
      <c r="H2" s="24" t="s">
        <v>101</v>
      </c>
      <c r="I2" s="24"/>
      <c r="J2" s="24" t="s">
        <v>104</v>
      </c>
      <c r="K2" s="24"/>
      <c r="M2" s="25" t="s">
        <v>97</v>
      </c>
      <c r="N2" s="24" t="s">
        <v>98</v>
      </c>
      <c r="O2" s="24"/>
      <c r="P2" s="24" t="s">
        <v>100</v>
      </c>
      <c r="Q2" s="24"/>
      <c r="R2" s="24" t="s">
        <v>99</v>
      </c>
      <c r="S2" s="24"/>
      <c r="T2" s="24" t="s">
        <v>101</v>
      </c>
      <c r="U2" s="24"/>
      <c r="V2" s="24" t="s">
        <v>104</v>
      </c>
      <c r="W2" s="24"/>
      <c r="Y2" s="25" t="s">
        <v>97</v>
      </c>
      <c r="Z2" s="24" t="s">
        <v>98</v>
      </c>
      <c r="AA2" s="24"/>
      <c r="AB2" s="24" t="s">
        <v>100</v>
      </c>
      <c r="AC2" s="24"/>
      <c r="AD2" s="24" t="s">
        <v>99</v>
      </c>
      <c r="AE2" s="24"/>
      <c r="AF2" s="24" t="s">
        <v>101</v>
      </c>
      <c r="AG2" s="24"/>
      <c r="AH2" s="24" t="s">
        <v>104</v>
      </c>
      <c r="AI2" s="24"/>
      <c r="AK2" s="25" t="s">
        <v>97</v>
      </c>
      <c r="AL2" s="24" t="s">
        <v>98</v>
      </c>
      <c r="AM2" s="24"/>
      <c r="AN2" s="24" t="s">
        <v>100</v>
      </c>
      <c r="AO2" s="24"/>
      <c r="AP2" s="24" t="s">
        <v>99</v>
      </c>
      <c r="AQ2" s="24"/>
      <c r="AR2" s="24" t="s">
        <v>101</v>
      </c>
      <c r="AS2" s="24"/>
      <c r="AT2" s="24" t="s">
        <v>104</v>
      </c>
      <c r="AU2" s="24"/>
      <c r="AW2" s="25" t="s">
        <v>97</v>
      </c>
      <c r="AX2" s="24" t="s">
        <v>98</v>
      </c>
      <c r="AY2" s="24"/>
      <c r="AZ2" s="24" t="s">
        <v>100</v>
      </c>
      <c r="BA2" s="24"/>
      <c r="BB2" s="24" t="s">
        <v>99</v>
      </c>
      <c r="BC2" s="24"/>
      <c r="BD2" s="24" t="s">
        <v>101</v>
      </c>
      <c r="BE2" s="24"/>
      <c r="BF2" s="24" t="s">
        <v>104</v>
      </c>
      <c r="BG2" s="24"/>
      <c r="BI2" s="25" t="s">
        <v>97</v>
      </c>
      <c r="BJ2" s="24" t="s">
        <v>98</v>
      </c>
      <c r="BK2" s="24"/>
      <c r="BL2" s="24" t="s">
        <v>100</v>
      </c>
      <c r="BM2" s="24"/>
      <c r="BN2" s="24" t="s">
        <v>99</v>
      </c>
      <c r="BO2" s="24"/>
      <c r="BP2" s="24" t="s">
        <v>101</v>
      </c>
      <c r="BQ2" s="24"/>
      <c r="BR2" s="24" t="s">
        <v>104</v>
      </c>
      <c r="BS2" s="24"/>
      <c r="BU2" s="25" t="s">
        <v>97</v>
      </c>
      <c r="BV2" s="24" t="s">
        <v>98</v>
      </c>
      <c r="BW2" s="24"/>
      <c r="BX2" s="24" t="s">
        <v>100</v>
      </c>
      <c r="BY2" s="24"/>
      <c r="BZ2" s="24" t="s">
        <v>99</v>
      </c>
      <c r="CA2" s="24"/>
      <c r="CB2" s="24" t="s">
        <v>101</v>
      </c>
      <c r="CC2" s="24"/>
      <c r="CD2" s="24" t="s">
        <v>104</v>
      </c>
      <c r="CE2" s="24"/>
      <c r="CF2" s="24" t="s">
        <v>130</v>
      </c>
      <c r="CG2" s="24"/>
      <c r="CI2" s="25" t="s">
        <v>97</v>
      </c>
      <c r="CJ2" s="24" t="s">
        <v>98</v>
      </c>
      <c r="CK2" s="24"/>
      <c r="CL2" s="24" t="s">
        <v>100</v>
      </c>
      <c r="CM2" s="24"/>
      <c r="CN2" s="24" t="s">
        <v>99</v>
      </c>
      <c r="CO2" s="24"/>
      <c r="CP2" s="24" t="s">
        <v>101</v>
      </c>
      <c r="CQ2" s="24"/>
      <c r="CR2" s="24" t="s">
        <v>104</v>
      </c>
      <c r="CS2" s="24"/>
      <c r="CT2" s="24" t="s">
        <v>130</v>
      </c>
      <c r="CU2" s="24"/>
      <c r="CV2" s="24" t="s">
        <v>133</v>
      </c>
      <c r="CW2" s="24"/>
    </row>
    <row r="3" spans="1:101" ht="23.25" customHeight="1" x14ac:dyDescent="0.25">
      <c r="A3" s="25"/>
      <c r="B3" t="s">
        <v>102</v>
      </c>
      <c r="C3" t="s">
        <v>103</v>
      </c>
      <c r="D3" t="s">
        <v>102</v>
      </c>
      <c r="E3" t="s">
        <v>103</v>
      </c>
      <c r="F3" t="s">
        <v>102</v>
      </c>
      <c r="G3" t="s">
        <v>103</v>
      </c>
      <c r="H3" t="s">
        <v>102</v>
      </c>
      <c r="I3" t="s">
        <v>103</v>
      </c>
      <c r="J3" t="s">
        <v>102</v>
      </c>
      <c r="K3" t="s">
        <v>103</v>
      </c>
      <c r="M3" s="25"/>
      <c r="N3" t="s">
        <v>102</v>
      </c>
      <c r="O3" t="s">
        <v>103</v>
      </c>
      <c r="P3" t="s">
        <v>102</v>
      </c>
      <c r="Q3" t="s">
        <v>103</v>
      </c>
      <c r="R3" t="s">
        <v>102</v>
      </c>
      <c r="S3" t="s">
        <v>103</v>
      </c>
      <c r="T3" t="s">
        <v>102</v>
      </c>
      <c r="U3" t="s">
        <v>103</v>
      </c>
      <c r="V3" t="s">
        <v>102</v>
      </c>
      <c r="W3" t="s">
        <v>103</v>
      </c>
      <c r="Y3" s="25"/>
      <c r="Z3" t="s">
        <v>102</v>
      </c>
      <c r="AA3" t="s">
        <v>103</v>
      </c>
      <c r="AB3" t="s">
        <v>102</v>
      </c>
      <c r="AC3" t="s">
        <v>103</v>
      </c>
      <c r="AD3" t="s">
        <v>102</v>
      </c>
      <c r="AE3" t="s">
        <v>103</v>
      </c>
      <c r="AF3" t="s">
        <v>102</v>
      </c>
      <c r="AG3" t="s">
        <v>103</v>
      </c>
      <c r="AH3" t="s">
        <v>102</v>
      </c>
      <c r="AI3" t="s">
        <v>103</v>
      </c>
      <c r="AK3" s="25"/>
      <c r="AL3" t="s">
        <v>102</v>
      </c>
      <c r="AM3" t="s">
        <v>103</v>
      </c>
      <c r="AN3" t="s">
        <v>102</v>
      </c>
      <c r="AO3" t="s">
        <v>103</v>
      </c>
      <c r="AP3" t="s">
        <v>102</v>
      </c>
      <c r="AQ3" t="s">
        <v>103</v>
      </c>
      <c r="AR3" t="s">
        <v>102</v>
      </c>
      <c r="AS3" t="s">
        <v>103</v>
      </c>
      <c r="AT3" t="s">
        <v>102</v>
      </c>
      <c r="AU3" t="s">
        <v>103</v>
      </c>
      <c r="AW3" s="25"/>
      <c r="AX3" t="s">
        <v>102</v>
      </c>
      <c r="AY3" t="s">
        <v>103</v>
      </c>
      <c r="AZ3" t="s">
        <v>102</v>
      </c>
      <c r="BA3" t="s">
        <v>103</v>
      </c>
      <c r="BB3" t="s">
        <v>102</v>
      </c>
      <c r="BC3" t="s">
        <v>103</v>
      </c>
      <c r="BD3" t="s">
        <v>102</v>
      </c>
      <c r="BE3" t="s">
        <v>103</v>
      </c>
      <c r="BF3" t="s">
        <v>102</v>
      </c>
      <c r="BG3" t="s">
        <v>103</v>
      </c>
      <c r="BI3" s="25"/>
      <c r="BJ3" t="s">
        <v>102</v>
      </c>
      <c r="BK3" t="s">
        <v>103</v>
      </c>
      <c r="BL3" t="s">
        <v>102</v>
      </c>
      <c r="BM3" t="s">
        <v>103</v>
      </c>
      <c r="BN3" t="s">
        <v>102</v>
      </c>
      <c r="BO3" t="s">
        <v>103</v>
      </c>
      <c r="BP3" t="s">
        <v>102</v>
      </c>
      <c r="BQ3" t="s">
        <v>103</v>
      </c>
      <c r="BR3" t="s">
        <v>102</v>
      </c>
      <c r="BS3" t="s">
        <v>103</v>
      </c>
      <c r="BU3" s="25"/>
      <c r="BV3" t="s">
        <v>102</v>
      </c>
      <c r="BW3" t="s">
        <v>103</v>
      </c>
      <c r="BX3" t="s">
        <v>102</v>
      </c>
      <c r="BY3" t="s">
        <v>103</v>
      </c>
      <c r="BZ3" t="s">
        <v>102</v>
      </c>
      <c r="CA3" t="s">
        <v>103</v>
      </c>
      <c r="CB3" t="s">
        <v>102</v>
      </c>
      <c r="CC3" t="s">
        <v>103</v>
      </c>
      <c r="CD3" t="s">
        <v>102</v>
      </c>
      <c r="CE3" t="s">
        <v>103</v>
      </c>
      <c r="CF3" t="s">
        <v>102</v>
      </c>
      <c r="CG3" t="s">
        <v>103</v>
      </c>
      <c r="CI3" s="25"/>
      <c r="CJ3" t="s">
        <v>102</v>
      </c>
      <c r="CK3" t="s">
        <v>103</v>
      </c>
      <c r="CL3" t="s">
        <v>102</v>
      </c>
      <c r="CM3" t="s">
        <v>103</v>
      </c>
      <c r="CN3" t="s">
        <v>102</v>
      </c>
      <c r="CO3" t="s">
        <v>103</v>
      </c>
      <c r="CP3" t="s">
        <v>102</v>
      </c>
      <c r="CQ3" t="s">
        <v>103</v>
      </c>
      <c r="CR3" t="s">
        <v>102</v>
      </c>
      <c r="CS3" t="s">
        <v>103</v>
      </c>
      <c r="CT3" t="s">
        <v>102</v>
      </c>
      <c r="CU3" t="s">
        <v>103</v>
      </c>
      <c r="CV3" t="s">
        <v>102</v>
      </c>
      <c r="CW3" t="s">
        <v>103</v>
      </c>
    </row>
    <row r="4" spans="1:101" ht="15.75" customHeight="1" x14ac:dyDescent="0.25">
      <c r="A4" s="4">
        <v>25</v>
      </c>
      <c r="B4">
        <v>650</v>
      </c>
      <c r="C4" s="9">
        <f t="shared" ref="C4:C21" si="0">PRODUCT(A4,B4,1/(B4+300))</f>
        <v>17.105263157894736</v>
      </c>
      <c r="D4">
        <v>0</v>
      </c>
      <c r="E4" s="9">
        <f t="shared" ref="E4:E18" si="1">PRODUCT(A4,D4,1/(D4+300))</f>
        <v>0</v>
      </c>
      <c r="F4">
        <v>0</v>
      </c>
      <c r="G4" s="9">
        <v>0</v>
      </c>
      <c r="H4">
        <v>0</v>
      </c>
      <c r="I4" s="9">
        <v>0</v>
      </c>
      <c r="J4">
        <v>0</v>
      </c>
      <c r="K4" s="9">
        <v>0</v>
      </c>
      <c r="M4" s="4">
        <v>25</v>
      </c>
      <c r="N4">
        <v>700</v>
      </c>
      <c r="O4" s="9">
        <f t="shared" ref="O4:O21" si="2">PRODUCT(M4,N4,1/(N4+300))</f>
        <v>17.5</v>
      </c>
      <c r="P4">
        <v>0</v>
      </c>
      <c r="Q4" s="9">
        <f t="shared" ref="Q4:Q18" si="3">PRODUCT(M4,P4,1/(P4+300))</f>
        <v>0</v>
      </c>
      <c r="R4">
        <v>0</v>
      </c>
      <c r="S4" s="9">
        <v>0</v>
      </c>
      <c r="T4">
        <v>0</v>
      </c>
      <c r="U4" s="9">
        <v>0</v>
      </c>
      <c r="V4">
        <v>0</v>
      </c>
      <c r="W4" s="9">
        <v>0</v>
      </c>
      <c r="Y4" s="4">
        <v>25</v>
      </c>
      <c r="Z4">
        <v>750</v>
      </c>
      <c r="AA4" s="9">
        <f t="shared" ref="AA4:AA21" si="4">PRODUCT(Y4,Z4,1/(Z4+300))</f>
        <v>17.857142857142858</v>
      </c>
      <c r="AB4">
        <v>0</v>
      </c>
      <c r="AC4" s="9">
        <f t="shared" ref="AC4:AC18" si="5">PRODUCT(Y4,AB4,1/(AB4+300))</f>
        <v>0</v>
      </c>
      <c r="AD4">
        <v>0</v>
      </c>
      <c r="AE4" s="9">
        <v>0</v>
      </c>
      <c r="AF4">
        <v>0</v>
      </c>
      <c r="AG4" s="9">
        <v>0</v>
      </c>
      <c r="AH4">
        <v>0</v>
      </c>
      <c r="AI4" s="9">
        <v>0</v>
      </c>
      <c r="AK4" s="4">
        <v>25</v>
      </c>
      <c r="AL4">
        <v>800</v>
      </c>
      <c r="AM4" s="9">
        <f t="shared" ref="AM4:AM21" si="6">PRODUCT(AK4,AL4,1/(AL4+300))</f>
        <v>18.181818181818183</v>
      </c>
      <c r="AN4">
        <v>0</v>
      </c>
      <c r="AO4" s="9">
        <f t="shared" ref="AO4:AO20" si="7">PRODUCT(AK4,AN4,1/(AN4+300))</f>
        <v>0</v>
      </c>
      <c r="AP4">
        <v>0</v>
      </c>
      <c r="AQ4" s="9">
        <v>0</v>
      </c>
      <c r="AR4">
        <v>0</v>
      </c>
      <c r="AS4" s="9">
        <v>0</v>
      </c>
      <c r="AT4">
        <v>0</v>
      </c>
      <c r="AU4" s="9">
        <v>0</v>
      </c>
      <c r="AW4" s="4">
        <v>25</v>
      </c>
      <c r="AX4">
        <v>700</v>
      </c>
      <c r="AY4" s="9">
        <f t="shared" ref="AY4:AY22" si="8">PRODUCT(AW4,AX4,1/(AX4+300))</f>
        <v>17.5</v>
      </c>
      <c r="AZ4">
        <v>0</v>
      </c>
      <c r="BA4" s="9">
        <f t="shared" ref="BA4:BA22" si="9">PRODUCT(AW4,AZ4,1/(AZ4+300))</f>
        <v>0</v>
      </c>
      <c r="BB4">
        <v>0</v>
      </c>
      <c r="BC4" s="9">
        <v>0</v>
      </c>
      <c r="BD4">
        <v>0</v>
      </c>
      <c r="BE4" s="9">
        <v>0</v>
      </c>
      <c r="BF4">
        <v>0</v>
      </c>
      <c r="BG4" s="9">
        <v>0</v>
      </c>
      <c r="BI4" s="4">
        <v>25</v>
      </c>
      <c r="BJ4">
        <v>750</v>
      </c>
      <c r="BK4" s="9">
        <f t="shared" ref="BK4:BK21" si="10">PRODUCT(BI4,BJ4,1/(BJ4+300))</f>
        <v>17.857142857142858</v>
      </c>
      <c r="BL4">
        <v>0</v>
      </c>
      <c r="BM4" s="9">
        <f t="shared" ref="BM4:BM18" si="11">PRODUCT(BI4,BL4,1/(BL4+300))</f>
        <v>0</v>
      </c>
      <c r="BN4">
        <v>0</v>
      </c>
      <c r="BO4" s="9">
        <v>0</v>
      </c>
      <c r="BP4">
        <v>0</v>
      </c>
      <c r="BQ4" s="9">
        <v>0</v>
      </c>
      <c r="BR4">
        <v>0</v>
      </c>
      <c r="BS4" s="9">
        <v>0</v>
      </c>
      <c r="BU4" s="4">
        <v>25</v>
      </c>
      <c r="BV4">
        <v>800</v>
      </c>
      <c r="BW4" s="9">
        <f t="shared" ref="BW4:BW28" si="12">PRODUCT(BU4,BV4,1/(BV4+300))</f>
        <v>18.181818181818183</v>
      </c>
      <c r="BX4">
        <v>0</v>
      </c>
      <c r="BY4" s="9">
        <f t="shared" ref="BY4:BY28" si="13">PRODUCT(BU4,BX4,1/(BX4+300))</f>
        <v>0</v>
      </c>
      <c r="BZ4">
        <v>0</v>
      </c>
      <c r="CA4" s="9">
        <v>0</v>
      </c>
      <c r="CB4">
        <v>0</v>
      </c>
      <c r="CC4" s="9">
        <v>0</v>
      </c>
      <c r="CD4">
        <v>0</v>
      </c>
      <c r="CE4" s="9">
        <v>0</v>
      </c>
      <c r="CF4">
        <v>0</v>
      </c>
      <c r="CG4" s="9">
        <v>0</v>
      </c>
      <c r="CI4" s="4">
        <v>25</v>
      </c>
      <c r="CJ4">
        <v>750</v>
      </c>
      <c r="CK4" s="9">
        <f t="shared" ref="CK4:CK28" si="14">PRODUCT(CI4,CJ4,1/(CJ4+300))</f>
        <v>17.857142857142858</v>
      </c>
      <c r="CL4">
        <v>0</v>
      </c>
      <c r="CM4" s="9">
        <f t="shared" ref="CM4:CM46" si="15">PRODUCT(CI4,CL4,1/(CL4+300))</f>
        <v>0</v>
      </c>
      <c r="CN4">
        <v>0</v>
      </c>
      <c r="CO4" s="9">
        <v>0</v>
      </c>
      <c r="CP4">
        <v>0</v>
      </c>
      <c r="CQ4" s="9">
        <v>0</v>
      </c>
      <c r="CR4">
        <v>0</v>
      </c>
      <c r="CS4" s="9">
        <v>0</v>
      </c>
      <c r="CT4">
        <v>0</v>
      </c>
      <c r="CU4" s="9">
        <v>0</v>
      </c>
      <c r="CV4">
        <v>0</v>
      </c>
      <c r="CW4" s="9">
        <v>0</v>
      </c>
    </row>
    <row r="5" spans="1:101" x14ac:dyDescent="0.25">
      <c r="A5" s="4">
        <v>50</v>
      </c>
      <c r="B5">
        <v>650</v>
      </c>
      <c r="C5" s="9">
        <f t="shared" si="0"/>
        <v>34.210526315789473</v>
      </c>
      <c r="D5">
        <v>650</v>
      </c>
      <c r="E5" s="9">
        <f t="shared" si="1"/>
        <v>34.210526315789473</v>
      </c>
      <c r="F5">
        <v>0</v>
      </c>
      <c r="G5" s="9">
        <f t="shared" ref="G5:G18" si="16">PRODUCT(A5,F5,1/(F5+300))</f>
        <v>0</v>
      </c>
      <c r="H5">
        <v>0</v>
      </c>
      <c r="I5" s="9">
        <v>0</v>
      </c>
      <c r="J5">
        <v>0</v>
      </c>
      <c r="K5" s="9">
        <v>0</v>
      </c>
      <c r="M5" s="4">
        <v>50</v>
      </c>
      <c r="N5">
        <v>700</v>
      </c>
      <c r="O5" s="9">
        <f t="shared" si="2"/>
        <v>35</v>
      </c>
      <c r="P5">
        <v>700</v>
      </c>
      <c r="Q5" s="9">
        <f t="shared" si="3"/>
        <v>35</v>
      </c>
      <c r="R5">
        <v>0</v>
      </c>
      <c r="S5" s="9">
        <f t="shared" ref="S5:S18" si="17">PRODUCT(M5,R5,1/(R5+300))</f>
        <v>0</v>
      </c>
      <c r="T5">
        <v>0</v>
      </c>
      <c r="U5" s="9">
        <v>0</v>
      </c>
      <c r="V5">
        <v>0</v>
      </c>
      <c r="W5" s="9">
        <v>0</v>
      </c>
      <c r="Y5" s="4">
        <v>50</v>
      </c>
      <c r="Z5">
        <v>750</v>
      </c>
      <c r="AA5" s="9">
        <f t="shared" si="4"/>
        <v>35.714285714285715</v>
      </c>
      <c r="AB5">
        <v>750</v>
      </c>
      <c r="AC5" s="9">
        <f t="shared" si="5"/>
        <v>35.714285714285715</v>
      </c>
      <c r="AD5">
        <v>0</v>
      </c>
      <c r="AE5" s="9">
        <f t="shared" ref="AE5:AE18" si="18">PRODUCT(Y5,AD5,1/(AD5+300))</f>
        <v>0</v>
      </c>
      <c r="AF5">
        <v>0</v>
      </c>
      <c r="AG5" s="9">
        <v>0</v>
      </c>
      <c r="AH5">
        <v>0</v>
      </c>
      <c r="AI5" s="9">
        <v>0</v>
      </c>
      <c r="AK5" s="4">
        <v>50</v>
      </c>
      <c r="AL5">
        <v>800</v>
      </c>
      <c r="AM5" s="9">
        <f t="shared" si="6"/>
        <v>36.363636363636367</v>
      </c>
      <c r="AN5">
        <v>800</v>
      </c>
      <c r="AO5" s="9">
        <f t="shared" si="7"/>
        <v>36.363636363636367</v>
      </c>
      <c r="AP5">
        <v>0</v>
      </c>
      <c r="AQ5" s="9">
        <f t="shared" ref="AQ5:AQ20" si="19">PRODUCT(AK5,AP5,1/(AP5+300))</f>
        <v>0</v>
      </c>
      <c r="AR5">
        <v>0</v>
      </c>
      <c r="AS5" s="9">
        <v>0</v>
      </c>
      <c r="AT5">
        <v>0</v>
      </c>
      <c r="AU5" s="9">
        <v>0</v>
      </c>
      <c r="AW5" s="4">
        <v>50</v>
      </c>
      <c r="AX5">
        <v>700</v>
      </c>
      <c r="AY5" s="9">
        <f t="shared" si="8"/>
        <v>35</v>
      </c>
      <c r="AZ5">
        <v>700</v>
      </c>
      <c r="BA5" s="9">
        <f t="shared" si="9"/>
        <v>35</v>
      </c>
      <c r="BB5">
        <v>0</v>
      </c>
      <c r="BC5" s="9">
        <f t="shared" ref="BC5:BC22" si="20">PRODUCT(AW5,BB5,1/(BB5+300))</f>
        <v>0</v>
      </c>
      <c r="BD5">
        <v>0</v>
      </c>
      <c r="BE5" s="9">
        <v>0</v>
      </c>
      <c r="BF5">
        <v>0</v>
      </c>
      <c r="BG5" s="9">
        <v>0</v>
      </c>
      <c r="BI5" s="4">
        <v>50</v>
      </c>
      <c r="BJ5">
        <v>750</v>
      </c>
      <c r="BK5" s="9">
        <f t="shared" si="10"/>
        <v>35.714285714285715</v>
      </c>
      <c r="BL5">
        <v>750</v>
      </c>
      <c r="BM5" s="9">
        <f t="shared" si="11"/>
        <v>35.714285714285715</v>
      </c>
      <c r="BN5">
        <v>0</v>
      </c>
      <c r="BO5" s="9">
        <f t="shared" ref="BO5:BO18" si="21">PRODUCT(BI5,BN5,1/(BN5+300))</f>
        <v>0</v>
      </c>
      <c r="BP5">
        <v>0</v>
      </c>
      <c r="BQ5" s="9">
        <v>0</v>
      </c>
      <c r="BR5">
        <v>0</v>
      </c>
      <c r="BS5" s="9">
        <v>0</v>
      </c>
      <c r="BU5" s="4">
        <v>50</v>
      </c>
      <c r="BV5">
        <v>800</v>
      </c>
      <c r="BW5" s="9">
        <f t="shared" si="12"/>
        <v>36.363636363636367</v>
      </c>
      <c r="BX5">
        <v>800</v>
      </c>
      <c r="BY5" s="9">
        <f t="shared" si="13"/>
        <v>36.363636363636367</v>
      </c>
      <c r="BZ5">
        <v>0</v>
      </c>
      <c r="CA5" s="9">
        <f t="shared" ref="CA5:CA28" si="22">PRODUCT(BU5,BZ5,1/(BZ5+300))</f>
        <v>0</v>
      </c>
      <c r="CB5">
        <v>0</v>
      </c>
      <c r="CC5" s="9">
        <v>0</v>
      </c>
      <c r="CD5">
        <v>0</v>
      </c>
      <c r="CE5" s="9">
        <v>0</v>
      </c>
      <c r="CF5">
        <v>0</v>
      </c>
      <c r="CG5" s="9">
        <v>0</v>
      </c>
      <c r="CI5" s="4">
        <v>50</v>
      </c>
      <c r="CJ5">
        <v>750</v>
      </c>
      <c r="CK5" s="9">
        <f t="shared" si="14"/>
        <v>35.714285714285715</v>
      </c>
      <c r="CL5">
        <v>0</v>
      </c>
      <c r="CM5" s="9">
        <f t="shared" si="15"/>
        <v>0</v>
      </c>
      <c r="CN5">
        <v>0</v>
      </c>
      <c r="CO5" s="9">
        <f t="shared" ref="CO5:CO46" si="23">PRODUCT(CI5,CN5,1/(CN5+300))</f>
        <v>0</v>
      </c>
      <c r="CP5">
        <v>0</v>
      </c>
      <c r="CQ5" s="9">
        <v>0</v>
      </c>
      <c r="CR5">
        <v>0</v>
      </c>
      <c r="CS5" s="9">
        <v>0</v>
      </c>
      <c r="CT5">
        <v>0</v>
      </c>
      <c r="CU5" s="9">
        <v>0</v>
      </c>
      <c r="CV5">
        <v>0</v>
      </c>
      <c r="CW5" s="9">
        <v>0</v>
      </c>
    </row>
    <row r="6" spans="1:101" x14ac:dyDescent="0.25">
      <c r="A6" s="4">
        <v>100</v>
      </c>
      <c r="B6">
        <f>SUM(B5,-2)</f>
        <v>648</v>
      </c>
      <c r="C6" s="9">
        <f t="shared" si="0"/>
        <v>68.35443037974683</v>
      </c>
      <c r="D6">
        <f>SUM(D5,-3)</f>
        <v>647</v>
      </c>
      <c r="E6" s="9">
        <f t="shared" si="1"/>
        <v>68.321013727560711</v>
      </c>
      <c r="F6">
        <v>650</v>
      </c>
      <c r="G6" s="9">
        <f t="shared" si="16"/>
        <v>68.421052631578945</v>
      </c>
      <c r="H6">
        <v>0</v>
      </c>
      <c r="I6" s="9">
        <v>0</v>
      </c>
      <c r="J6">
        <v>0</v>
      </c>
      <c r="K6" s="9">
        <v>0</v>
      </c>
      <c r="M6" s="4">
        <v>100</v>
      </c>
      <c r="N6">
        <f>SUM(N5,-2)</f>
        <v>698</v>
      </c>
      <c r="O6" s="9">
        <f t="shared" si="2"/>
        <v>69.93987975951903</v>
      </c>
      <c r="P6">
        <f>SUM(P5,-3)</f>
        <v>697</v>
      </c>
      <c r="Q6" s="9">
        <f t="shared" si="3"/>
        <v>69.909729187562689</v>
      </c>
      <c r="R6">
        <v>700</v>
      </c>
      <c r="S6" s="9">
        <f t="shared" si="17"/>
        <v>70</v>
      </c>
      <c r="T6">
        <v>0</v>
      </c>
      <c r="U6" s="9">
        <f>PRODUCT(M6,T6,1/(T6+300))</f>
        <v>0</v>
      </c>
      <c r="V6">
        <v>0</v>
      </c>
      <c r="W6" s="9">
        <v>0</v>
      </c>
      <c r="Y6" s="4">
        <v>100</v>
      </c>
      <c r="Z6">
        <f>SUM(Z5,-2)</f>
        <v>748</v>
      </c>
      <c r="AA6" s="9">
        <f t="shared" si="4"/>
        <v>71.374045801526719</v>
      </c>
      <c r="AB6">
        <f>SUM(AB5,-3)</f>
        <v>747</v>
      </c>
      <c r="AC6" s="9">
        <f t="shared" si="5"/>
        <v>71.346704871060169</v>
      </c>
      <c r="AD6">
        <v>750</v>
      </c>
      <c r="AE6" s="9">
        <f t="shared" si="18"/>
        <v>71.428571428571431</v>
      </c>
      <c r="AF6">
        <v>0</v>
      </c>
      <c r="AG6" s="9">
        <f>PRODUCT(Y6,AF6,1/(AF6+300))</f>
        <v>0</v>
      </c>
      <c r="AH6">
        <v>0</v>
      </c>
      <c r="AI6" s="9">
        <v>0</v>
      </c>
      <c r="AK6" s="4">
        <v>100</v>
      </c>
      <c r="AL6">
        <f>SUM(AL5,-2)</f>
        <v>798</v>
      </c>
      <c r="AM6" s="9">
        <f t="shared" si="6"/>
        <v>72.677595628415304</v>
      </c>
      <c r="AN6">
        <f>SUM(AN5,-3)</f>
        <v>797</v>
      </c>
      <c r="AO6" s="9">
        <f t="shared" si="7"/>
        <v>72.652689152233364</v>
      </c>
      <c r="AP6">
        <v>800</v>
      </c>
      <c r="AQ6" s="9">
        <f t="shared" si="19"/>
        <v>72.727272727272734</v>
      </c>
      <c r="AR6">
        <v>0</v>
      </c>
      <c r="AS6" s="9">
        <f>PRODUCT(AK6,AR6,1/(AR6+300))</f>
        <v>0</v>
      </c>
      <c r="AT6">
        <v>0</v>
      </c>
      <c r="AU6" s="9">
        <v>0</v>
      </c>
      <c r="AW6" s="4">
        <v>100</v>
      </c>
      <c r="AX6">
        <f>SUM(AX5,-2)</f>
        <v>698</v>
      </c>
      <c r="AY6" s="9">
        <f t="shared" si="8"/>
        <v>69.93987975951903</v>
      </c>
      <c r="AZ6">
        <f>SUM(AZ5,-3)</f>
        <v>697</v>
      </c>
      <c r="BA6" s="9">
        <f t="shared" si="9"/>
        <v>69.909729187562689</v>
      </c>
      <c r="BB6">
        <v>700</v>
      </c>
      <c r="BC6" s="9">
        <f t="shared" si="20"/>
        <v>70</v>
      </c>
      <c r="BD6">
        <v>0</v>
      </c>
      <c r="BE6" s="9">
        <f>PRODUCT(AW6,BD6,1/(BD6+300))</f>
        <v>0</v>
      </c>
      <c r="BF6">
        <v>0</v>
      </c>
      <c r="BG6" s="9">
        <v>0</v>
      </c>
      <c r="BI6" s="4">
        <v>100</v>
      </c>
      <c r="BJ6">
        <f>SUM(BJ5,-2)</f>
        <v>748</v>
      </c>
      <c r="BK6" s="9">
        <f t="shared" si="10"/>
        <v>71.374045801526719</v>
      </c>
      <c r="BL6">
        <f>SUM(BL5,-3)</f>
        <v>747</v>
      </c>
      <c r="BM6" s="9">
        <f t="shared" si="11"/>
        <v>71.346704871060169</v>
      </c>
      <c r="BN6">
        <v>750</v>
      </c>
      <c r="BO6" s="9">
        <f t="shared" si="21"/>
        <v>71.428571428571431</v>
      </c>
      <c r="BP6">
        <v>0</v>
      </c>
      <c r="BQ6" s="9">
        <f>PRODUCT(BI6,BP6,1/(BP6+300))</f>
        <v>0</v>
      </c>
      <c r="BR6">
        <v>0</v>
      </c>
      <c r="BS6" s="9">
        <v>0</v>
      </c>
      <c r="BU6" s="4">
        <v>100</v>
      </c>
      <c r="BV6">
        <f>SUM(BV5,-2)</f>
        <v>798</v>
      </c>
      <c r="BW6" s="9">
        <f t="shared" si="12"/>
        <v>72.677595628415304</v>
      </c>
      <c r="BX6">
        <f>SUM(BX5,-3)</f>
        <v>797</v>
      </c>
      <c r="BY6" s="9">
        <f t="shared" si="13"/>
        <v>72.652689152233364</v>
      </c>
      <c r="BZ6">
        <v>800</v>
      </c>
      <c r="CA6" s="9">
        <f t="shared" si="22"/>
        <v>72.727272727272734</v>
      </c>
      <c r="CB6">
        <v>0</v>
      </c>
      <c r="CC6" s="9">
        <f>PRODUCT(BU6,CB6,1/(CB6+300))</f>
        <v>0</v>
      </c>
      <c r="CD6">
        <v>0</v>
      </c>
      <c r="CE6" s="9">
        <v>0</v>
      </c>
      <c r="CF6">
        <v>0</v>
      </c>
      <c r="CG6" s="9">
        <v>0</v>
      </c>
      <c r="CI6" s="4">
        <v>100</v>
      </c>
      <c r="CJ6">
        <f>SUM(CJ5,-2)</f>
        <v>748</v>
      </c>
      <c r="CK6" s="9">
        <f t="shared" si="14"/>
        <v>71.374045801526719</v>
      </c>
      <c r="CL6">
        <v>750</v>
      </c>
      <c r="CM6" s="9">
        <f t="shared" si="15"/>
        <v>71.428571428571431</v>
      </c>
      <c r="CN6">
        <v>0</v>
      </c>
      <c r="CO6" s="9">
        <f t="shared" si="23"/>
        <v>0</v>
      </c>
      <c r="CP6">
        <v>0</v>
      </c>
      <c r="CQ6" s="9">
        <f>PRODUCT(CI6,CP6,1/(CP6+300))</f>
        <v>0</v>
      </c>
      <c r="CR6">
        <v>0</v>
      </c>
      <c r="CS6" s="9">
        <v>0</v>
      </c>
      <c r="CT6">
        <v>0</v>
      </c>
      <c r="CU6" s="9">
        <v>0</v>
      </c>
      <c r="CV6">
        <v>0</v>
      </c>
      <c r="CW6" s="9">
        <v>0</v>
      </c>
    </row>
    <row r="7" spans="1:101" x14ac:dyDescent="0.25">
      <c r="A7" s="4">
        <v>200</v>
      </c>
      <c r="B7">
        <f t="shared" ref="B7:B15" si="24">SUM(B6,-2)</f>
        <v>646</v>
      </c>
      <c r="C7" s="9">
        <f t="shared" si="0"/>
        <v>136.57505285412262</v>
      </c>
      <c r="D7">
        <f t="shared" ref="D7:D14" si="25">SUM(D6,-3)</f>
        <v>644</v>
      </c>
      <c r="E7" s="9">
        <f t="shared" si="1"/>
        <v>136.4406779661017</v>
      </c>
      <c r="F7">
        <f t="shared" ref="F7:F12" si="26">SUM(F6,-4)</f>
        <v>646</v>
      </c>
      <c r="G7" s="9">
        <f t="shared" si="16"/>
        <v>136.57505285412262</v>
      </c>
      <c r="H7">
        <v>0</v>
      </c>
      <c r="I7" s="9">
        <v>0</v>
      </c>
      <c r="J7">
        <v>0</v>
      </c>
      <c r="K7" s="9">
        <v>0</v>
      </c>
      <c r="M7" s="4">
        <v>200</v>
      </c>
      <c r="N7">
        <f t="shared" ref="N7:N18" si="27">SUM(N6,-2)</f>
        <v>696</v>
      </c>
      <c r="O7" s="9">
        <f t="shared" si="2"/>
        <v>139.75903614457829</v>
      </c>
      <c r="P7">
        <f t="shared" ref="P7:P18" si="28">SUM(P6,-3)</f>
        <v>694</v>
      </c>
      <c r="Q7" s="9">
        <f t="shared" si="3"/>
        <v>139.63782696177063</v>
      </c>
      <c r="R7">
        <f t="shared" ref="R7:R17" si="29">SUM(R6,-4)</f>
        <v>696</v>
      </c>
      <c r="S7" s="9">
        <f t="shared" si="17"/>
        <v>139.75903614457829</v>
      </c>
      <c r="T7">
        <v>700</v>
      </c>
      <c r="U7" s="9">
        <f t="shared" ref="U7:U17" si="30">PRODUCT(M7,T7,1/(T7+300))</f>
        <v>140</v>
      </c>
      <c r="V7">
        <v>0</v>
      </c>
      <c r="W7" s="9">
        <v>0</v>
      </c>
      <c r="Y7" s="4">
        <v>200</v>
      </c>
      <c r="Z7">
        <f t="shared" ref="Z7:Z18" si="31">SUM(Z6,-2)</f>
        <v>746</v>
      </c>
      <c r="AA7" s="9">
        <f t="shared" si="4"/>
        <v>142.63862332695984</v>
      </c>
      <c r="AB7">
        <f t="shared" ref="AB7:AB18" si="32">SUM(AB6,-3)</f>
        <v>744</v>
      </c>
      <c r="AC7" s="9">
        <f t="shared" si="5"/>
        <v>142.5287356321839</v>
      </c>
      <c r="AD7">
        <f t="shared" ref="AD7:AD17" si="33">SUM(AD6,-4)</f>
        <v>746</v>
      </c>
      <c r="AE7" s="9">
        <f t="shared" si="18"/>
        <v>142.63862332695984</v>
      </c>
      <c r="AF7">
        <v>750</v>
      </c>
      <c r="AG7" s="9">
        <f t="shared" ref="AG7:AG17" si="34">PRODUCT(Y7,AF7,1/(AF7+300))</f>
        <v>142.85714285714286</v>
      </c>
      <c r="AH7">
        <v>0</v>
      </c>
      <c r="AI7" s="9">
        <v>0</v>
      </c>
      <c r="AK7" s="4">
        <v>200</v>
      </c>
      <c r="AL7">
        <f t="shared" ref="AL7:AL20" si="35">SUM(AL6,-2)</f>
        <v>796</v>
      </c>
      <c r="AM7" s="9">
        <f t="shared" si="6"/>
        <v>145.25547445255475</v>
      </c>
      <c r="AN7">
        <f t="shared" ref="AN7:AN20" si="36">SUM(AN6,-3)</f>
        <v>794</v>
      </c>
      <c r="AO7" s="9">
        <f t="shared" si="7"/>
        <v>145.15539305301644</v>
      </c>
      <c r="AP7">
        <f t="shared" ref="AP7:AP19" si="37">SUM(AP6,-4)</f>
        <v>796</v>
      </c>
      <c r="AQ7" s="9">
        <f t="shared" si="19"/>
        <v>145.25547445255475</v>
      </c>
      <c r="AR7">
        <v>800</v>
      </c>
      <c r="AS7" s="9">
        <f t="shared" ref="AS7:AS18" si="38">PRODUCT(AK7,AR7,1/(AR7+300))</f>
        <v>145.45454545454547</v>
      </c>
      <c r="AT7">
        <v>0</v>
      </c>
      <c r="AU7" s="9">
        <v>0</v>
      </c>
      <c r="AW7" s="4">
        <v>200</v>
      </c>
      <c r="AX7">
        <f t="shared" ref="AX7:AX22" si="39">SUM(AX6,-2)</f>
        <v>696</v>
      </c>
      <c r="AY7" s="9">
        <f t="shared" si="8"/>
        <v>139.75903614457829</v>
      </c>
      <c r="AZ7">
        <f t="shared" ref="AZ7:AZ22" si="40">SUM(AZ6,-3)</f>
        <v>694</v>
      </c>
      <c r="BA7" s="9">
        <f t="shared" si="9"/>
        <v>139.63782696177063</v>
      </c>
      <c r="BB7">
        <f t="shared" ref="BB7:BB22" si="41">SUM(BB6,-4)</f>
        <v>696</v>
      </c>
      <c r="BC7" s="9">
        <f t="shared" si="20"/>
        <v>139.75903614457829</v>
      </c>
      <c r="BD7">
        <v>700</v>
      </c>
      <c r="BE7" s="9">
        <f t="shared" ref="BE7:BE22" si="42">PRODUCT(AW7,BD7,1/(BD7+300))</f>
        <v>140</v>
      </c>
      <c r="BF7">
        <v>0</v>
      </c>
      <c r="BG7" s="9">
        <f>PRODUCT(AW7,BF7,1/(BF7+300))</f>
        <v>0</v>
      </c>
      <c r="BI7" s="4">
        <v>200</v>
      </c>
      <c r="BJ7">
        <f t="shared" ref="BJ7:BJ18" si="43">SUM(BJ6,-2)</f>
        <v>746</v>
      </c>
      <c r="BK7" s="9">
        <f t="shared" si="10"/>
        <v>142.63862332695984</v>
      </c>
      <c r="BL7">
        <f t="shared" ref="BL7:BL18" si="44">SUM(BL6,-3)</f>
        <v>744</v>
      </c>
      <c r="BM7" s="9">
        <f t="shared" si="11"/>
        <v>142.5287356321839</v>
      </c>
      <c r="BN7">
        <f t="shared" ref="BN7:BN17" si="45">SUM(BN6,-4)</f>
        <v>746</v>
      </c>
      <c r="BO7" s="9">
        <f t="shared" si="21"/>
        <v>142.63862332695984</v>
      </c>
      <c r="BP7">
        <v>750</v>
      </c>
      <c r="BQ7" s="9">
        <f t="shared" ref="BQ7:BQ17" si="46">PRODUCT(BI7,BP7,1/(BP7+300))</f>
        <v>142.85714285714286</v>
      </c>
      <c r="BR7">
        <v>0</v>
      </c>
      <c r="BS7" s="9">
        <v>0</v>
      </c>
      <c r="BU7" s="4">
        <v>200</v>
      </c>
      <c r="BV7">
        <f t="shared" ref="BV7:BV28" si="47">SUM(BV6,-2)</f>
        <v>796</v>
      </c>
      <c r="BW7" s="9">
        <f t="shared" si="12"/>
        <v>145.25547445255475</v>
      </c>
      <c r="BX7">
        <f t="shared" ref="BX7:BX28" si="48">SUM(BX6,-3)</f>
        <v>794</v>
      </c>
      <c r="BY7" s="9">
        <f t="shared" si="13"/>
        <v>145.15539305301644</v>
      </c>
      <c r="BZ7">
        <f t="shared" ref="BZ7:BZ28" si="49">SUM(BZ6,-4)</f>
        <v>796</v>
      </c>
      <c r="CA7" s="9">
        <f t="shared" si="22"/>
        <v>145.25547445255475</v>
      </c>
      <c r="CB7">
        <v>800</v>
      </c>
      <c r="CC7" s="9">
        <f t="shared" ref="CC7:CC27" si="50">PRODUCT(BU7,CB7,1/(CB7+300))</f>
        <v>145.45454545454547</v>
      </c>
      <c r="CD7">
        <v>0</v>
      </c>
      <c r="CE7" s="9">
        <v>0</v>
      </c>
      <c r="CF7">
        <v>0</v>
      </c>
      <c r="CG7" s="9">
        <v>0</v>
      </c>
      <c r="CI7" s="4">
        <v>200</v>
      </c>
      <c r="CJ7">
        <f t="shared" ref="CJ7:CJ46" si="51">SUM(CJ6,-2)</f>
        <v>746</v>
      </c>
      <c r="CK7" s="9">
        <f t="shared" si="14"/>
        <v>142.63862332695984</v>
      </c>
      <c r="CL7">
        <f t="shared" ref="CL7:CL46" si="52">SUM(CL6,-3)</f>
        <v>747</v>
      </c>
      <c r="CM7" s="9">
        <f t="shared" si="15"/>
        <v>142.69340974212034</v>
      </c>
      <c r="CN7">
        <v>750</v>
      </c>
      <c r="CO7" s="9">
        <f t="shared" si="23"/>
        <v>142.85714285714286</v>
      </c>
      <c r="CP7">
        <v>0</v>
      </c>
      <c r="CQ7" s="9">
        <f t="shared" ref="CQ7:CQ46" si="53">PRODUCT(CI7,CP7,1/(CP7+300))</f>
        <v>0</v>
      </c>
      <c r="CR7">
        <v>0</v>
      </c>
      <c r="CS7" s="9">
        <v>0</v>
      </c>
      <c r="CT7">
        <v>0</v>
      </c>
      <c r="CU7" s="9">
        <v>0</v>
      </c>
      <c r="CV7">
        <v>0</v>
      </c>
      <c r="CW7" s="9">
        <v>0</v>
      </c>
    </row>
    <row r="8" spans="1:101" x14ac:dyDescent="0.25">
      <c r="A8" s="4">
        <v>500</v>
      </c>
      <c r="B8">
        <f t="shared" si="24"/>
        <v>644</v>
      </c>
      <c r="C8" s="9">
        <f t="shared" si="0"/>
        <v>341.10169491525426</v>
      </c>
      <c r="D8">
        <f t="shared" si="25"/>
        <v>641</v>
      </c>
      <c r="E8" s="9">
        <f t="shared" si="1"/>
        <v>340.5951115834219</v>
      </c>
      <c r="F8">
        <f t="shared" si="26"/>
        <v>642</v>
      </c>
      <c r="G8" s="9">
        <f t="shared" si="16"/>
        <v>340.76433121019107</v>
      </c>
      <c r="H8">
        <v>0</v>
      </c>
      <c r="I8" s="9">
        <v>0</v>
      </c>
      <c r="J8">
        <v>0</v>
      </c>
      <c r="K8" s="9">
        <v>0</v>
      </c>
      <c r="M8" s="4">
        <v>500</v>
      </c>
      <c r="N8">
        <f t="shared" si="27"/>
        <v>694</v>
      </c>
      <c r="O8" s="9">
        <f t="shared" si="2"/>
        <v>349.09456740442658</v>
      </c>
      <c r="P8">
        <f t="shared" si="28"/>
        <v>691</v>
      </c>
      <c r="Q8" s="9">
        <f t="shared" si="3"/>
        <v>348.63773965691223</v>
      </c>
      <c r="R8">
        <f t="shared" si="29"/>
        <v>692</v>
      </c>
      <c r="S8" s="9">
        <f t="shared" si="17"/>
        <v>348.79032258064512</v>
      </c>
      <c r="T8">
        <f t="shared" ref="T8:T15" si="54">SUM(T7,-5)</f>
        <v>695</v>
      </c>
      <c r="U8" s="9">
        <f t="shared" si="30"/>
        <v>349.24623115577896</v>
      </c>
      <c r="V8">
        <v>0</v>
      </c>
      <c r="W8" s="9">
        <v>0</v>
      </c>
      <c r="Y8" s="4">
        <v>500</v>
      </c>
      <c r="Z8">
        <f t="shared" si="31"/>
        <v>744</v>
      </c>
      <c r="AA8" s="9">
        <f t="shared" si="4"/>
        <v>356.32183908045977</v>
      </c>
      <c r="AB8">
        <f t="shared" si="32"/>
        <v>741</v>
      </c>
      <c r="AC8" s="9">
        <f t="shared" si="5"/>
        <v>355.90778097982707</v>
      </c>
      <c r="AD8">
        <f t="shared" si="33"/>
        <v>742</v>
      </c>
      <c r="AE8" s="9">
        <f t="shared" si="18"/>
        <v>356.04606525911709</v>
      </c>
      <c r="AF8">
        <f t="shared" ref="AF8:AF15" si="55">SUM(AF7,-5)</f>
        <v>745</v>
      </c>
      <c r="AG8" s="9">
        <f t="shared" si="34"/>
        <v>356.45933014354068</v>
      </c>
      <c r="AH8">
        <v>0</v>
      </c>
      <c r="AI8" s="9">
        <v>0</v>
      </c>
      <c r="AK8" s="4">
        <v>500</v>
      </c>
      <c r="AL8">
        <f t="shared" si="35"/>
        <v>794</v>
      </c>
      <c r="AM8" s="9">
        <f t="shared" si="6"/>
        <v>362.88848263254113</v>
      </c>
      <c r="AN8">
        <f t="shared" si="36"/>
        <v>791</v>
      </c>
      <c r="AO8" s="9">
        <f t="shared" si="7"/>
        <v>362.51145737855182</v>
      </c>
      <c r="AP8">
        <f t="shared" si="37"/>
        <v>792</v>
      </c>
      <c r="AQ8" s="9">
        <f t="shared" si="19"/>
        <v>362.63736263736263</v>
      </c>
      <c r="AR8">
        <f t="shared" ref="AR8:AR17" si="56">SUM(AR7,-5)</f>
        <v>795</v>
      </c>
      <c r="AS8" s="9">
        <f t="shared" si="38"/>
        <v>363.01369863013696</v>
      </c>
      <c r="AT8">
        <v>0</v>
      </c>
      <c r="AU8" s="9">
        <v>0</v>
      </c>
      <c r="AW8" s="4">
        <v>500</v>
      </c>
      <c r="AX8">
        <f t="shared" si="39"/>
        <v>694</v>
      </c>
      <c r="AY8" s="9">
        <f t="shared" si="8"/>
        <v>349.09456740442658</v>
      </c>
      <c r="AZ8">
        <f t="shared" si="40"/>
        <v>691</v>
      </c>
      <c r="BA8" s="9">
        <f t="shared" si="9"/>
        <v>348.63773965691223</v>
      </c>
      <c r="BB8">
        <f t="shared" si="41"/>
        <v>692</v>
      </c>
      <c r="BC8" s="9">
        <f t="shared" si="20"/>
        <v>348.79032258064512</v>
      </c>
      <c r="BD8">
        <f t="shared" ref="BD8:BD21" si="57">SUM(BD7,-5)</f>
        <v>695</v>
      </c>
      <c r="BE8" s="9">
        <f t="shared" si="42"/>
        <v>349.24623115577896</v>
      </c>
      <c r="BF8">
        <v>700</v>
      </c>
      <c r="BG8" s="9">
        <f>PRODUCT(AW8,BF8,1/(BF8+300))</f>
        <v>350</v>
      </c>
      <c r="BI8" s="4">
        <v>500</v>
      </c>
      <c r="BJ8">
        <f t="shared" si="43"/>
        <v>744</v>
      </c>
      <c r="BK8" s="9">
        <f t="shared" si="10"/>
        <v>356.32183908045977</v>
      </c>
      <c r="BL8">
        <f t="shared" si="44"/>
        <v>741</v>
      </c>
      <c r="BM8" s="9">
        <f t="shared" si="11"/>
        <v>355.90778097982707</v>
      </c>
      <c r="BN8">
        <f t="shared" si="45"/>
        <v>742</v>
      </c>
      <c r="BO8" s="9">
        <f t="shared" si="21"/>
        <v>356.04606525911709</v>
      </c>
      <c r="BP8">
        <f t="shared" ref="BP8:BP15" si="58">SUM(BP7,-5)</f>
        <v>745</v>
      </c>
      <c r="BQ8" s="9">
        <f t="shared" si="46"/>
        <v>356.45933014354068</v>
      </c>
      <c r="BR8">
        <v>0</v>
      </c>
      <c r="BS8" s="9">
        <v>0</v>
      </c>
      <c r="BU8" s="4">
        <v>500</v>
      </c>
      <c r="BV8">
        <f t="shared" si="47"/>
        <v>794</v>
      </c>
      <c r="BW8" s="9">
        <f t="shared" si="12"/>
        <v>362.88848263254113</v>
      </c>
      <c r="BX8">
        <f t="shared" si="48"/>
        <v>791</v>
      </c>
      <c r="BY8" s="9">
        <f t="shared" si="13"/>
        <v>362.51145737855182</v>
      </c>
      <c r="BZ8">
        <f t="shared" si="49"/>
        <v>792</v>
      </c>
      <c r="CA8" s="9">
        <f t="shared" si="22"/>
        <v>362.63736263736263</v>
      </c>
      <c r="CB8">
        <f t="shared" ref="CB8:CB27" si="59">SUM(CB7,-5)</f>
        <v>795</v>
      </c>
      <c r="CC8" s="9">
        <f t="shared" si="50"/>
        <v>363.01369863013696</v>
      </c>
      <c r="CD8">
        <v>800</v>
      </c>
      <c r="CE8" s="9">
        <f>PRODUCT(BU8,CD8,1/(CD8+300))</f>
        <v>363.63636363636363</v>
      </c>
      <c r="CF8">
        <v>800</v>
      </c>
      <c r="CG8" s="9">
        <f>PRODUCT(BU8,CF8,1/(CF8+300))</f>
        <v>363.63636363636363</v>
      </c>
      <c r="CI8" s="4">
        <v>500</v>
      </c>
      <c r="CJ8">
        <f t="shared" si="51"/>
        <v>744</v>
      </c>
      <c r="CK8" s="9">
        <f t="shared" si="14"/>
        <v>356.32183908045977</v>
      </c>
      <c r="CL8">
        <f t="shared" si="52"/>
        <v>744</v>
      </c>
      <c r="CM8" s="9">
        <f t="shared" si="15"/>
        <v>356.32183908045977</v>
      </c>
      <c r="CN8">
        <f t="shared" ref="CN8:CN46" si="60">SUM(CN7,-4)</f>
        <v>746</v>
      </c>
      <c r="CO8" s="9">
        <f t="shared" si="23"/>
        <v>356.59655831739963</v>
      </c>
      <c r="CP8">
        <v>750</v>
      </c>
      <c r="CQ8" s="9">
        <f t="shared" si="53"/>
        <v>357.14285714285717</v>
      </c>
      <c r="CR8">
        <v>750</v>
      </c>
      <c r="CS8" s="9">
        <f>PRODUCT(CI8,CR8,1/(CR8+300))</f>
        <v>357.14285714285717</v>
      </c>
      <c r="CT8">
        <v>0</v>
      </c>
      <c r="CU8" s="9">
        <f>PRODUCT(CI8,CT8,1/(CT8+300))</f>
        <v>0</v>
      </c>
      <c r="CV8">
        <v>0</v>
      </c>
      <c r="CW8" s="9">
        <v>0</v>
      </c>
    </row>
    <row r="9" spans="1:101" x14ac:dyDescent="0.25">
      <c r="A9" s="4">
        <v>800</v>
      </c>
      <c r="B9">
        <f t="shared" si="24"/>
        <v>642</v>
      </c>
      <c r="C9" s="9">
        <f t="shared" si="0"/>
        <v>545.22292993630572</v>
      </c>
      <c r="D9">
        <f t="shared" si="25"/>
        <v>638</v>
      </c>
      <c r="E9" s="9">
        <f t="shared" si="1"/>
        <v>544.13646055437096</v>
      </c>
      <c r="F9">
        <f t="shared" si="26"/>
        <v>638</v>
      </c>
      <c r="G9" s="9">
        <f t="shared" si="16"/>
        <v>544.13646055437096</v>
      </c>
      <c r="H9">
        <v>0</v>
      </c>
      <c r="I9" s="9">
        <v>0</v>
      </c>
      <c r="J9">
        <v>0</v>
      </c>
      <c r="K9" s="9">
        <v>0</v>
      </c>
      <c r="M9" s="4">
        <v>800</v>
      </c>
      <c r="N9">
        <f t="shared" si="27"/>
        <v>692</v>
      </c>
      <c r="O9" s="9">
        <f t="shared" si="2"/>
        <v>558.0645161290322</v>
      </c>
      <c r="P9">
        <f t="shared" si="28"/>
        <v>688</v>
      </c>
      <c r="Q9" s="9">
        <f t="shared" si="3"/>
        <v>557.08502024291499</v>
      </c>
      <c r="R9">
        <f t="shared" si="29"/>
        <v>688</v>
      </c>
      <c r="S9" s="9">
        <f t="shared" si="17"/>
        <v>557.08502024291499</v>
      </c>
      <c r="T9">
        <f t="shared" si="54"/>
        <v>690</v>
      </c>
      <c r="U9" s="9">
        <f t="shared" si="30"/>
        <v>557.57575757575762</v>
      </c>
      <c r="V9">
        <v>0</v>
      </c>
      <c r="W9" s="9">
        <v>0</v>
      </c>
      <c r="Y9" s="4">
        <v>800</v>
      </c>
      <c r="Z9">
        <f t="shared" si="31"/>
        <v>742</v>
      </c>
      <c r="AA9" s="9">
        <f t="shared" si="4"/>
        <v>569.67370441458729</v>
      </c>
      <c r="AB9">
        <f t="shared" si="32"/>
        <v>738</v>
      </c>
      <c r="AC9" s="9">
        <f t="shared" si="5"/>
        <v>568.78612716763007</v>
      </c>
      <c r="AD9">
        <f t="shared" si="33"/>
        <v>738</v>
      </c>
      <c r="AE9" s="9">
        <f t="shared" si="18"/>
        <v>568.78612716763007</v>
      </c>
      <c r="AF9">
        <f t="shared" si="55"/>
        <v>740</v>
      </c>
      <c r="AG9" s="9">
        <f t="shared" si="34"/>
        <v>569.23076923076928</v>
      </c>
      <c r="AH9">
        <v>0</v>
      </c>
      <c r="AI9" s="9">
        <v>0</v>
      </c>
      <c r="AK9" s="4">
        <v>800</v>
      </c>
      <c r="AL9">
        <f t="shared" si="35"/>
        <v>792</v>
      </c>
      <c r="AM9" s="9">
        <f t="shared" si="6"/>
        <v>580.2197802197802</v>
      </c>
      <c r="AN9">
        <f t="shared" si="36"/>
        <v>788</v>
      </c>
      <c r="AO9" s="9">
        <f t="shared" si="7"/>
        <v>579.41176470588232</v>
      </c>
      <c r="AP9">
        <f t="shared" si="37"/>
        <v>788</v>
      </c>
      <c r="AQ9" s="9">
        <f t="shared" si="19"/>
        <v>579.41176470588232</v>
      </c>
      <c r="AR9">
        <f t="shared" si="56"/>
        <v>790</v>
      </c>
      <c r="AS9" s="9">
        <f t="shared" si="38"/>
        <v>579.81651376146795</v>
      </c>
      <c r="AT9">
        <v>0</v>
      </c>
      <c r="AU9" s="9">
        <v>0</v>
      </c>
      <c r="AW9" s="4">
        <v>800</v>
      </c>
      <c r="AX9">
        <f t="shared" si="39"/>
        <v>692</v>
      </c>
      <c r="AY9" s="9">
        <f t="shared" si="8"/>
        <v>558.0645161290322</v>
      </c>
      <c r="AZ9">
        <f t="shared" si="40"/>
        <v>688</v>
      </c>
      <c r="BA9" s="9">
        <f t="shared" si="9"/>
        <v>557.08502024291499</v>
      </c>
      <c r="BB9">
        <f t="shared" si="41"/>
        <v>688</v>
      </c>
      <c r="BC9" s="9">
        <f t="shared" si="20"/>
        <v>557.08502024291499</v>
      </c>
      <c r="BD9">
        <f t="shared" si="57"/>
        <v>690</v>
      </c>
      <c r="BE9" s="9">
        <f t="shared" si="42"/>
        <v>557.57575757575762</v>
      </c>
      <c r="BF9">
        <f>SUM(BF8,-6)</f>
        <v>694</v>
      </c>
      <c r="BG9" s="9">
        <f t="shared" ref="BG9:BG20" si="61">PRODUCT(AW9,BF9,1/(BF9+300))</f>
        <v>558.55130784708251</v>
      </c>
      <c r="BI9" s="4">
        <v>800</v>
      </c>
      <c r="BJ9">
        <f t="shared" si="43"/>
        <v>742</v>
      </c>
      <c r="BK9" s="9">
        <f t="shared" si="10"/>
        <v>569.67370441458729</v>
      </c>
      <c r="BL9">
        <f t="shared" si="44"/>
        <v>738</v>
      </c>
      <c r="BM9" s="9">
        <f t="shared" si="11"/>
        <v>568.78612716763007</v>
      </c>
      <c r="BN9">
        <f t="shared" si="45"/>
        <v>738</v>
      </c>
      <c r="BO9" s="9">
        <f t="shared" si="21"/>
        <v>568.78612716763007</v>
      </c>
      <c r="BP9">
        <f t="shared" si="58"/>
        <v>740</v>
      </c>
      <c r="BQ9" s="9">
        <f t="shared" si="46"/>
        <v>569.23076923076928</v>
      </c>
      <c r="BR9">
        <v>0</v>
      </c>
      <c r="BS9" s="9">
        <v>0</v>
      </c>
      <c r="BU9" s="4">
        <v>800</v>
      </c>
      <c r="BV9">
        <f t="shared" si="47"/>
        <v>792</v>
      </c>
      <c r="BW9" s="9">
        <f t="shared" si="12"/>
        <v>580.2197802197802</v>
      </c>
      <c r="BX9">
        <f t="shared" si="48"/>
        <v>788</v>
      </c>
      <c r="BY9" s="9">
        <f t="shared" si="13"/>
        <v>579.41176470588232</v>
      </c>
      <c r="BZ9">
        <f t="shared" si="49"/>
        <v>788</v>
      </c>
      <c r="CA9" s="9">
        <f t="shared" si="22"/>
        <v>579.41176470588232</v>
      </c>
      <c r="CB9">
        <f t="shared" si="59"/>
        <v>790</v>
      </c>
      <c r="CC9" s="9">
        <f t="shared" si="50"/>
        <v>579.81651376146795</v>
      </c>
      <c r="CD9">
        <f>SUM(CD8,-6)</f>
        <v>794</v>
      </c>
      <c r="CE9" s="9">
        <f t="shared" ref="CE9:CE27" si="62">PRODUCT(BU9,CD9,1/(CD9+300))</f>
        <v>580.62157221206576</v>
      </c>
      <c r="CF9">
        <v>800</v>
      </c>
      <c r="CG9" s="9">
        <f>PRODUCT(BU9,CF9,1/(CF9+300))</f>
        <v>581.81818181818187</v>
      </c>
      <c r="CI9" s="4">
        <v>800</v>
      </c>
      <c r="CJ9">
        <f t="shared" si="51"/>
        <v>742</v>
      </c>
      <c r="CK9" s="9">
        <f t="shared" si="14"/>
        <v>569.67370441458729</v>
      </c>
      <c r="CL9">
        <f t="shared" si="52"/>
        <v>741</v>
      </c>
      <c r="CM9" s="9">
        <f t="shared" si="15"/>
        <v>569.45244956772331</v>
      </c>
      <c r="CN9">
        <f t="shared" si="60"/>
        <v>742</v>
      </c>
      <c r="CO9" s="9">
        <f t="shared" si="23"/>
        <v>569.67370441458729</v>
      </c>
      <c r="CP9">
        <f t="shared" ref="CP9:CP46" si="63">SUM(CP8,-5)</f>
        <v>745</v>
      </c>
      <c r="CQ9" s="9">
        <f t="shared" si="53"/>
        <v>570.33492822966514</v>
      </c>
      <c r="CR9">
        <f>SUM(CR8,-6)</f>
        <v>744</v>
      </c>
      <c r="CS9" s="9">
        <f t="shared" ref="CS9:CS46" si="64">PRODUCT(CI9,CR9,1/(CR9+300))</f>
        <v>570.11494252873558</v>
      </c>
      <c r="CT9">
        <v>0</v>
      </c>
      <c r="CU9" s="9">
        <f>PRODUCT(CI9,CT9,1/(CT9+300))</f>
        <v>0</v>
      </c>
      <c r="CV9">
        <v>0</v>
      </c>
      <c r="CW9" s="9">
        <f>PRODUCT(CI9,CV9,1/(CV9+300))</f>
        <v>0</v>
      </c>
    </row>
    <row r="10" spans="1:101" x14ac:dyDescent="0.25">
      <c r="A10" s="4">
        <v>1000</v>
      </c>
      <c r="B10">
        <f t="shared" si="24"/>
        <v>640</v>
      </c>
      <c r="C10" s="9">
        <f t="shared" si="0"/>
        <v>680.85106382978722</v>
      </c>
      <c r="D10">
        <f t="shared" si="25"/>
        <v>635</v>
      </c>
      <c r="E10" s="9">
        <f t="shared" si="1"/>
        <v>679.14438502673795</v>
      </c>
      <c r="F10">
        <f t="shared" si="26"/>
        <v>634</v>
      </c>
      <c r="G10" s="9">
        <f t="shared" si="16"/>
        <v>678.80085653104925</v>
      </c>
      <c r="H10">
        <v>0</v>
      </c>
      <c r="I10" s="9">
        <v>0</v>
      </c>
      <c r="J10">
        <v>0</v>
      </c>
      <c r="K10" s="9">
        <v>0</v>
      </c>
      <c r="M10" s="4">
        <v>1000</v>
      </c>
      <c r="N10">
        <f t="shared" si="27"/>
        <v>690</v>
      </c>
      <c r="O10" s="9">
        <f t="shared" si="2"/>
        <v>696.969696969697</v>
      </c>
      <c r="P10">
        <f t="shared" si="28"/>
        <v>685</v>
      </c>
      <c r="Q10" s="9">
        <f t="shared" si="3"/>
        <v>695.43147208121832</v>
      </c>
      <c r="R10">
        <f t="shared" si="29"/>
        <v>684</v>
      </c>
      <c r="S10" s="9">
        <f t="shared" si="17"/>
        <v>695.12195121951231</v>
      </c>
      <c r="T10">
        <f t="shared" si="54"/>
        <v>685</v>
      </c>
      <c r="U10" s="9">
        <f t="shared" si="30"/>
        <v>695.43147208121832</v>
      </c>
      <c r="V10">
        <v>0</v>
      </c>
      <c r="W10" s="9">
        <v>0</v>
      </c>
      <c r="Y10" s="4">
        <v>1000</v>
      </c>
      <c r="Z10">
        <f t="shared" si="31"/>
        <v>740</v>
      </c>
      <c r="AA10" s="9">
        <f t="shared" si="4"/>
        <v>711.53846153846155</v>
      </c>
      <c r="AB10">
        <f t="shared" si="32"/>
        <v>735</v>
      </c>
      <c r="AC10" s="9">
        <f t="shared" si="5"/>
        <v>710.14492753623188</v>
      </c>
      <c r="AD10">
        <f t="shared" si="33"/>
        <v>734</v>
      </c>
      <c r="AE10" s="9">
        <f t="shared" si="18"/>
        <v>709.86460348162473</v>
      </c>
      <c r="AF10">
        <f t="shared" si="55"/>
        <v>735</v>
      </c>
      <c r="AG10" s="9">
        <f t="shared" si="34"/>
        <v>710.14492753623188</v>
      </c>
      <c r="AH10">
        <v>0</v>
      </c>
      <c r="AI10" s="9">
        <v>0</v>
      </c>
      <c r="AK10" s="4">
        <v>1000</v>
      </c>
      <c r="AL10">
        <f t="shared" si="35"/>
        <v>790</v>
      </c>
      <c r="AM10" s="9">
        <f t="shared" si="6"/>
        <v>724.7706422018349</v>
      </c>
      <c r="AN10">
        <f t="shared" si="36"/>
        <v>785</v>
      </c>
      <c r="AO10" s="9">
        <f t="shared" si="7"/>
        <v>723.50230414746545</v>
      </c>
      <c r="AP10">
        <f t="shared" si="37"/>
        <v>784</v>
      </c>
      <c r="AQ10" s="9">
        <f t="shared" si="19"/>
        <v>723.24723247232475</v>
      </c>
      <c r="AR10">
        <f t="shared" si="56"/>
        <v>785</v>
      </c>
      <c r="AS10" s="9">
        <f t="shared" si="38"/>
        <v>723.50230414746545</v>
      </c>
      <c r="AT10">
        <v>0</v>
      </c>
      <c r="AU10" s="9">
        <v>0</v>
      </c>
      <c r="AW10" s="4">
        <v>1000</v>
      </c>
      <c r="AX10">
        <f t="shared" si="39"/>
        <v>690</v>
      </c>
      <c r="AY10" s="9">
        <f t="shared" si="8"/>
        <v>696.969696969697</v>
      </c>
      <c r="AZ10">
        <f t="shared" si="40"/>
        <v>685</v>
      </c>
      <c r="BA10" s="9">
        <f t="shared" si="9"/>
        <v>695.43147208121832</v>
      </c>
      <c r="BB10">
        <f t="shared" si="41"/>
        <v>684</v>
      </c>
      <c r="BC10" s="9">
        <f t="shared" si="20"/>
        <v>695.12195121951231</v>
      </c>
      <c r="BD10">
        <f t="shared" si="57"/>
        <v>685</v>
      </c>
      <c r="BE10" s="9">
        <f t="shared" si="42"/>
        <v>695.43147208121832</v>
      </c>
      <c r="BF10">
        <f t="shared" ref="BF10:BF14" si="65">SUM(BF9,-6)</f>
        <v>688</v>
      </c>
      <c r="BG10" s="9">
        <f t="shared" si="61"/>
        <v>696.35627530364377</v>
      </c>
      <c r="BI10" s="4">
        <v>1000</v>
      </c>
      <c r="BJ10">
        <f t="shared" si="43"/>
        <v>740</v>
      </c>
      <c r="BK10" s="9">
        <f t="shared" si="10"/>
        <v>711.53846153846155</v>
      </c>
      <c r="BL10">
        <f t="shared" si="44"/>
        <v>735</v>
      </c>
      <c r="BM10" s="9">
        <f t="shared" si="11"/>
        <v>710.14492753623188</v>
      </c>
      <c r="BN10">
        <f t="shared" si="45"/>
        <v>734</v>
      </c>
      <c r="BO10" s="9">
        <f t="shared" si="21"/>
        <v>709.86460348162473</v>
      </c>
      <c r="BP10">
        <f t="shared" si="58"/>
        <v>735</v>
      </c>
      <c r="BQ10" s="9">
        <f t="shared" si="46"/>
        <v>710.14492753623188</v>
      </c>
      <c r="BR10">
        <v>0</v>
      </c>
      <c r="BS10" s="9">
        <v>0</v>
      </c>
      <c r="BU10" s="4">
        <v>1000</v>
      </c>
      <c r="BV10">
        <f t="shared" si="47"/>
        <v>790</v>
      </c>
      <c r="BW10" s="9">
        <f t="shared" si="12"/>
        <v>724.7706422018349</v>
      </c>
      <c r="BX10">
        <f t="shared" si="48"/>
        <v>785</v>
      </c>
      <c r="BY10" s="9">
        <f t="shared" si="13"/>
        <v>723.50230414746545</v>
      </c>
      <c r="BZ10">
        <f t="shared" si="49"/>
        <v>784</v>
      </c>
      <c r="CA10" s="9">
        <f t="shared" si="22"/>
        <v>723.24723247232475</v>
      </c>
      <c r="CB10">
        <f t="shared" si="59"/>
        <v>785</v>
      </c>
      <c r="CC10" s="9">
        <f t="shared" si="50"/>
        <v>723.50230414746545</v>
      </c>
      <c r="CD10">
        <f t="shared" ref="CD10:CD24" si="66">SUM(CD9,-6)</f>
        <v>788</v>
      </c>
      <c r="CE10" s="9">
        <f t="shared" si="62"/>
        <v>724.26470588235293</v>
      </c>
      <c r="CF10">
        <f>SUM(CF9,-7)</f>
        <v>793</v>
      </c>
      <c r="CG10" s="9">
        <f t="shared" ref="CG10:CG25" si="67">PRODUCT(BU10,CF10,1/(CF10+300))</f>
        <v>725.52607502287287</v>
      </c>
      <c r="CI10" s="4">
        <v>1000</v>
      </c>
      <c r="CJ10">
        <f t="shared" si="51"/>
        <v>740</v>
      </c>
      <c r="CK10" s="9">
        <f t="shared" si="14"/>
        <v>711.53846153846155</v>
      </c>
      <c r="CL10">
        <f t="shared" si="52"/>
        <v>738</v>
      </c>
      <c r="CM10" s="9">
        <f t="shared" si="15"/>
        <v>710.98265895953762</v>
      </c>
      <c r="CN10">
        <f t="shared" si="60"/>
        <v>738</v>
      </c>
      <c r="CO10" s="9">
        <f t="shared" si="23"/>
        <v>710.98265895953762</v>
      </c>
      <c r="CP10">
        <f t="shared" si="63"/>
        <v>740</v>
      </c>
      <c r="CQ10" s="9">
        <f t="shared" si="53"/>
        <v>711.53846153846155</v>
      </c>
      <c r="CR10">
        <f t="shared" ref="CR10:CR46" si="68">SUM(CR9,-6)</f>
        <v>738</v>
      </c>
      <c r="CS10" s="9">
        <f t="shared" si="64"/>
        <v>710.98265895953762</v>
      </c>
      <c r="CT10">
        <v>750</v>
      </c>
      <c r="CU10" s="9">
        <f t="shared" ref="CU10:CU44" si="69">PRODUCT(CI10,CT10,1/(CT10+300))</f>
        <v>714.28571428571433</v>
      </c>
      <c r="CV10">
        <v>0</v>
      </c>
      <c r="CW10" s="9">
        <f t="shared" ref="CW10:CW32" si="70">PRODUCT(CI10,CV10,1/(CV10+300))</f>
        <v>0</v>
      </c>
    </row>
    <row r="11" spans="1:101" x14ac:dyDescent="0.25">
      <c r="A11" s="4">
        <v>1200</v>
      </c>
      <c r="B11">
        <f t="shared" si="24"/>
        <v>638</v>
      </c>
      <c r="C11" s="9">
        <f t="shared" si="0"/>
        <v>816.20469083155649</v>
      </c>
      <c r="D11">
        <f t="shared" si="25"/>
        <v>632</v>
      </c>
      <c r="E11" s="9">
        <f t="shared" si="1"/>
        <v>813.73390557939911</v>
      </c>
      <c r="F11">
        <f t="shared" si="26"/>
        <v>630</v>
      </c>
      <c r="G11" s="9">
        <f t="shared" si="16"/>
        <v>812.90322580645159</v>
      </c>
      <c r="H11">
        <v>0</v>
      </c>
      <c r="I11" s="9">
        <v>0</v>
      </c>
      <c r="J11">
        <v>0</v>
      </c>
      <c r="K11" s="9">
        <v>0</v>
      </c>
      <c r="M11" s="4">
        <v>1200</v>
      </c>
      <c r="N11">
        <f t="shared" si="27"/>
        <v>688</v>
      </c>
      <c r="O11" s="9">
        <f t="shared" si="2"/>
        <v>835.62753036437243</v>
      </c>
      <c r="P11">
        <f t="shared" si="28"/>
        <v>682</v>
      </c>
      <c r="Q11" s="9">
        <f t="shared" si="3"/>
        <v>833.40122199592656</v>
      </c>
      <c r="R11">
        <f t="shared" si="29"/>
        <v>680</v>
      </c>
      <c r="S11" s="9">
        <f t="shared" si="17"/>
        <v>832.65306122448987</v>
      </c>
      <c r="T11">
        <f t="shared" si="54"/>
        <v>680</v>
      </c>
      <c r="U11" s="9">
        <f t="shared" si="30"/>
        <v>832.65306122448987</v>
      </c>
      <c r="V11">
        <v>0</v>
      </c>
      <c r="W11" s="9">
        <v>0</v>
      </c>
      <c r="Y11" s="4">
        <v>1200</v>
      </c>
      <c r="Z11">
        <f t="shared" si="31"/>
        <v>738</v>
      </c>
      <c r="AA11" s="9">
        <f t="shared" si="4"/>
        <v>853.17919075144505</v>
      </c>
      <c r="AB11">
        <f t="shared" si="32"/>
        <v>732</v>
      </c>
      <c r="AC11" s="9">
        <f t="shared" si="5"/>
        <v>851.16279069767438</v>
      </c>
      <c r="AD11">
        <f t="shared" si="33"/>
        <v>730</v>
      </c>
      <c r="AE11" s="9">
        <f t="shared" si="18"/>
        <v>850.48543689320388</v>
      </c>
      <c r="AF11">
        <f t="shared" si="55"/>
        <v>730</v>
      </c>
      <c r="AG11" s="9">
        <f t="shared" si="34"/>
        <v>850.48543689320388</v>
      </c>
      <c r="AH11">
        <v>0</v>
      </c>
      <c r="AI11" s="9">
        <v>0</v>
      </c>
      <c r="AK11" s="4">
        <v>1200</v>
      </c>
      <c r="AL11">
        <f t="shared" si="35"/>
        <v>788</v>
      </c>
      <c r="AM11" s="9">
        <f t="shared" si="6"/>
        <v>869.11764705882354</v>
      </c>
      <c r="AN11">
        <f t="shared" si="36"/>
        <v>782</v>
      </c>
      <c r="AO11" s="9">
        <f t="shared" si="7"/>
        <v>867.28280961182998</v>
      </c>
      <c r="AP11">
        <f t="shared" si="37"/>
        <v>780</v>
      </c>
      <c r="AQ11" s="9">
        <f t="shared" si="19"/>
        <v>866.66666666666674</v>
      </c>
      <c r="AR11">
        <f t="shared" si="56"/>
        <v>780</v>
      </c>
      <c r="AS11" s="9">
        <f t="shared" si="38"/>
        <v>866.66666666666674</v>
      </c>
      <c r="AT11">
        <v>0</v>
      </c>
      <c r="AU11" s="9">
        <v>0</v>
      </c>
      <c r="AW11" s="4">
        <v>1200</v>
      </c>
      <c r="AX11">
        <f t="shared" si="39"/>
        <v>688</v>
      </c>
      <c r="AY11" s="9">
        <f t="shared" si="8"/>
        <v>835.62753036437243</v>
      </c>
      <c r="AZ11">
        <f t="shared" si="40"/>
        <v>682</v>
      </c>
      <c r="BA11" s="9">
        <f t="shared" si="9"/>
        <v>833.40122199592656</v>
      </c>
      <c r="BB11">
        <f t="shared" si="41"/>
        <v>680</v>
      </c>
      <c r="BC11" s="9">
        <f t="shared" si="20"/>
        <v>832.65306122448987</v>
      </c>
      <c r="BD11">
        <f t="shared" si="57"/>
        <v>680</v>
      </c>
      <c r="BE11" s="9">
        <f t="shared" si="42"/>
        <v>832.65306122448987</v>
      </c>
      <c r="BF11">
        <f t="shared" si="65"/>
        <v>682</v>
      </c>
      <c r="BG11" s="9">
        <f t="shared" si="61"/>
        <v>833.40122199592656</v>
      </c>
      <c r="BI11" s="4">
        <v>1200</v>
      </c>
      <c r="BJ11">
        <f t="shared" si="43"/>
        <v>738</v>
      </c>
      <c r="BK11" s="9">
        <f t="shared" si="10"/>
        <v>853.17919075144505</v>
      </c>
      <c r="BL11">
        <f t="shared" si="44"/>
        <v>732</v>
      </c>
      <c r="BM11" s="9">
        <f t="shared" si="11"/>
        <v>851.16279069767438</v>
      </c>
      <c r="BN11">
        <f t="shared" si="45"/>
        <v>730</v>
      </c>
      <c r="BO11" s="9">
        <f t="shared" si="21"/>
        <v>850.48543689320388</v>
      </c>
      <c r="BP11">
        <f t="shared" si="58"/>
        <v>730</v>
      </c>
      <c r="BQ11" s="9">
        <f t="shared" si="46"/>
        <v>850.48543689320388</v>
      </c>
      <c r="BR11">
        <v>0</v>
      </c>
      <c r="BS11" s="9">
        <v>0</v>
      </c>
      <c r="BU11" s="4">
        <v>1200</v>
      </c>
      <c r="BV11">
        <f t="shared" si="47"/>
        <v>788</v>
      </c>
      <c r="BW11" s="9">
        <f t="shared" si="12"/>
        <v>869.11764705882354</v>
      </c>
      <c r="BX11">
        <f t="shared" si="48"/>
        <v>782</v>
      </c>
      <c r="BY11" s="9">
        <f t="shared" si="13"/>
        <v>867.28280961182998</v>
      </c>
      <c r="BZ11">
        <f t="shared" si="49"/>
        <v>780</v>
      </c>
      <c r="CA11" s="9">
        <f t="shared" si="22"/>
        <v>866.66666666666674</v>
      </c>
      <c r="CB11">
        <f t="shared" si="59"/>
        <v>780</v>
      </c>
      <c r="CC11" s="9">
        <f t="shared" si="50"/>
        <v>866.66666666666674</v>
      </c>
      <c r="CD11">
        <f t="shared" si="66"/>
        <v>782</v>
      </c>
      <c r="CE11" s="9">
        <f t="shared" si="62"/>
        <v>867.28280961182998</v>
      </c>
      <c r="CF11">
        <f t="shared" ref="CF11:CF17" si="71">SUM(CF10,-7)</f>
        <v>786</v>
      </c>
      <c r="CG11" s="9">
        <f t="shared" si="67"/>
        <v>868.50828729281773</v>
      </c>
      <c r="CI11" s="4">
        <v>1200</v>
      </c>
      <c r="CJ11">
        <f t="shared" si="51"/>
        <v>738</v>
      </c>
      <c r="CK11" s="9">
        <f t="shared" si="14"/>
        <v>853.17919075144505</v>
      </c>
      <c r="CL11">
        <f t="shared" si="52"/>
        <v>735</v>
      </c>
      <c r="CM11" s="9">
        <f t="shared" si="15"/>
        <v>852.17391304347825</v>
      </c>
      <c r="CN11">
        <f t="shared" si="60"/>
        <v>734</v>
      </c>
      <c r="CO11" s="9">
        <f t="shared" si="23"/>
        <v>851.83752417794972</v>
      </c>
      <c r="CP11">
        <f t="shared" si="63"/>
        <v>735</v>
      </c>
      <c r="CQ11" s="9">
        <f t="shared" si="53"/>
        <v>852.17391304347825</v>
      </c>
      <c r="CR11">
        <f t="shared" si="68"/>
        <v>732</v>
      </c>
      <c r="CS11" s="9">
        <f t="shared" si="64"/>
        <v>851.16279069767438</v>
      </c>
      <c r="CT11">
        <f t="shared" ref="CT11:CT44" si="72">SUM(CT10,-7)</f>
        <v>743</v>
      </c>
      <c r="CU11" s="9">
        <f t="shared" si="69"/>
        <v>854.84180249280917</v>
      </c>
      <c r="CV11">
        <v>0</v>
      </c>
      <c r="CW11" s="9">
        <f t="shared" si="70"/>
        <v>0</v>
      </c>
    </row>
    <row r="12" spans="1:101" x14ac:dyDescent="0.25">
      <c r="A12" s="4">
        <v>1500</v>
      </c>
      <c r="B12">
        <f t="shared" si="24"/>
        <v>636</v>
      </c>
      <c r="C12" s="9">
        <f t="shared" si="0"/>
        <v>1019.2307692307693</v>
      </c>
      <c r="D12">
        <f t="shared" si="25"/>
        <v>629</v>
      </c>
      <c r="E12" s="9">
        <f t="shared" si="1"/>
        <v>1015.6081808396124</v>
      </c>
      <c r="F12">
        <f t="shared" si="26"/>
        <v>626</v>
      </c>
      <c r="G12" s="9">
        <f t="shared" si="16"/>
        <v>1014.0388768898489</v>
      </c>
      <c r="H12">
        <v>0</v>
      </c>
      <c r="I12" s="9">
        <v>0</v>
      </c>
      <c r="J12">
        <v>0</v>
      </c>
      <c r="K12" s="9">
        <v>0</v>
      </c>
      <c r="M12" s="4">
        <v>1500</v>
      </c>
      <c r="N12">
        <f t="shared" si="27"/>
        <v>686</v>
      </c>
      <c r="O12" s="9">
        <f t="shared" si="2"/>
        <v>1043.6105476673429</v>
      </c>
      <c r="P12">
        <f t="shared" si="28"/>
        <v>679</v>
      </c>
      <c r="Q12" s="9">
        <f t="shared" si="3"/>
        <v>1040.3472931562819</v>
      </c>
      <c r="R12">
        <f t="shared" si="29"/>
        <v>676</v>
      </c>
      <c r="S12" s="9">
        <f t="shared" si="17"/>
        <v>1038.9344262295083</v>
      </c>
      <c r="T12">
        <f t="shared" si="54"/>
        <v>675</v>
      </c>
      <c r="U12" s="9">
        <f t="shared" si="30"/>
        <v>1038.4615384615386</v>
      </c>
      <c r="V12">
        <v>0</v>
      </c>
      <c r="W12" s="9">
        <v>0</v>
      </c>
      <c r="Y12" s="4">
        <v>1500</v>
      </c>
      <c r="Z12">
        <f t="shared" si="31"/>
        <v>736</v>
      </c>
      <c r="AA12" s="9">
        <f t="shared" si="4"/>
        <v>1065.6370656370657</v>
      </c>
      <c r="AB12">
        <f t="shared" si="32"/>
        <v>729</v>
      </c>
      <c r="AC12" s="9">
        <f t="shared" si="5"/>
        <v>1062.6822157434401</v>
      </c>
      <c r="AD12">
        <f t="shared" si="33"/>
        <v>726</v>
      </c>
      <c r="AE12" s="9">
        <f t="shared" si="18"/>
        <v>1061.4035087719299</v>
      </c>
      <c r="AF12">
        <f t="shared" si="55"/>
        <v>725</v>
      </c>
      <c r="AG12" s="9">
        <f t="shared" si="34"/>
        <v>1060.9756097560976</v>
      </c>
      <c r="AH12">
        <v>0</v>
      </c>
      <c r="AI12" s="9">
        <v>0</v>
      </c>
      <c r="AK12" s="4">
        <v>1500</v>
      </c>
      <c r="AL12">
        <f t="shared" si="35"/>
        <v>786</v>
      </c>
      <c r="AM12" s="9">
        <f t="shared" si="6"/>
        <v>1085.6353591160221</v>
      </c>
      <c r="AN12">
        <f t="shared" si="36"/>
        <v>779</v>
      </c>
      <c r="AO12" s="9">
        <f t="shared" si="7"/>
        <v>1082.9471733086191</v>
      </c>
      <c r="AP12">
        <f t="shared" si="37"/>
        <v>776</v>
      </c>
      <c r="AQ12" s="9">
        <f t="shared" si="19"/>
        <v>1081.7843866171004</v>
      </c>
      <c r="AR12">
        <f t="shared" si="56"/>
        <v>775</v>
      </c>
      <c r="AS12" s="9">
        <f t="shared" si="38"/>
        <v>1081.3953488372094</v>
      </c>
      <c r="AT12">
        <v>0</v>
      </c>
      <c r="AU12" s="9">
        <v>0</v>
      </c>
      <c r="AW12" s="4">
        <v>1500</v>
      </c>
      <c r="AX12">
        <f t="shared" si="39"/>
        <v>686</v>
      </c>
      <c r="AY12" s="9">
        <f t="shared" si="8"/>
        <v>1043.6105476673429</v>
      </c>
      <c r="AZ12">
        <f t="shared" si="40"/>
        <v>679</v>
      </c>
      <c r="BA12" s="9">
        <f t="shared" si="9"/>
        <v>1040.3472931562819</v>
      </c>
      <c r="BB12">
        <f t="shared" si="41"/>
        <v>676</v>
      </c>
      <c r="BC12" s="9">
        <f t="shared" si="20"/>
        <v>1038.9344262295083</v>
      </c>
      <c r="BD12">
        <f t="shared" si="57"/>
        <v>675</v>
      </c>
      <c r="BE12" s="9">
        <f t="shared" si="42"/>
        <v>1038.4615384615386</v>
      </c>
      <c r="BF12">
        <f t="shared" si="65"/>
        <v>676</v>
      </c>
      <c r="BG12" s="9">
        <f t="shared" si="61"/>
        <v>1038.9344262295083</v>
      </c>
      <c r="BI12" s="4">
        <v>1500</v>
      </c>
      <c r="BJ12">
        <f t="shared" si="43"/>
        <v>736</v>
      </c>
      <c r="BK12" s="9">
        <f t="shared" si="10"/>
        <v>1065.6370656370657</v>
      </c>
      <c r="BL12">
        <f t="shared" si="44"/>
        <v>729</v>
      </c>
      <c r="BM12" s="9">
        <f t="shared" si="11"/>
        <v>1062.6822157434401</v>
      </c>
      <c r="BN12">
        <f t="shared" si="45"/>
        <v>726</v>
      </c>
      <c r="BO12" s="9">
        <f t="shared" si="21"/>
        <v>1061.4035087719299</v>
      </c>
      <c r="BP12">
        <f t="shared" si="58"/>
        <v>725</v>
      </c>
      <c r="BQ12" s="9">
        <f t="shared" si="46"/>
        <v>1060.9756097560976</v>
      </c>
      <c r="BR12">
        <v>0</v>
      </c>
      <c r="BS12" s="9">
        <v>0</v>
      </c>
      <c r="BU12" s="4">
        <v>1500</v>
      </c>
      <c r="BV12">
        <f t="shared" si="47"/>
        <v>786</v>
      </c>
      <c r="BW12" s="9">
        <f t="shared" si="12"/>
        <v>1085.6353591160221</v>
      </c>
      <c r="BX12">
        <f t="shared" si="48"/>
        <v>779</v>
      </c>
      <c r="BY12" s="9">
        <f t="shared" si="13"/>
        <v>1082.9471733086191</v>
      </c>
      <c r="BZ12">
        <f t="shared" si="49"/>
        <v>776</v>
      </c>
      <c r="CA12" s="9">
        <f t="shared" si="22"/>
        <v>1081.7843866171004</v>
      </c>
      <c r="CB12">
        <f t="shared" si="59"/>
        <v>775</v>
      </c>
      <c r="CC12" s="9">
        <f t="shared" si="50"/>
        <v>1081.3953488372094</v>
      </c>
      <c r="CD12">
        <f t="shared" si="66"/>
        <v>776</v>
      </c>
      <c r="CE12" s="9">
        <f t="shared" si="62"/>
        <v>1081.7843866171004</v>
      </c>
      <c r="CF12">
        <f t="shared" si="71"/>
        <v>779</v>
      </c>
      <c r="CG12" s="9">
        <f t="shared" si="67"/>
        <v>1082.9471733086191</v>
      </c>
      <c r="CI12" s="4">
        <v>1500</v>
      </c>
      <c r="CJ12">
        <f t="shared" si="51"/>
        <v>736</v>
      </c>
      <c r="CK12" s="9">
        <f t="shared" si="14"/>
        <v>1065.6370656370657</v>
      </c>
      <c r="CL12">
        <f t="shared" si="52"/>
        <v>732</v>
      </c>
      <c r="CM12" s="9">
        <f t="shared" si="15"/>
        <v>1063.953488372093</v>
      </c>
      <c r="CN12">
        <f t="shared" si="60"/>
        <v>730</v>
      </c>
      <c r="CO12" s="9">
        <f t="shared" si="23"/>
        <v>1063.1067961165047</v>
      </c>
      <c r="CP12">
        <f t="shared" si="63"/>
        <v>730</v>
      </c>
      <c r="CQ12" s="9">
        <f t="shared" si="53"/>
        <v>1063.1067961165047</v>
      </c>
      <c r="CR12">
        <f t="shared" si="68"/>
        <v>726</v>
      </c>
      <c r="CS12" s="9">
        <f t="shared" si="64"/>
        <v>1061.4035087719299</v>
      </c>
      <c r="CT12">
        <f t="shared" si="72"/>
        <v>736</v>
      </c>
      <c r="CU12" s="9">
        <f t="shared" si="69"/>
        <v>1065.6370656370657</v>
      </c>
      <c r="CV12">
        <v>0</v>
      </c>
      <c r="CW12" s="9">
        <f t="shared" si="70"/>
        <v>0</v>
      </c>
    </row>
    <row r="13" spans="1:101" x14ac:dyDescent="0.25">
      <c r="A13" s="4">
        <v>1800</v>
      </c>
      <c r="B13">
        <f t="shared" si="24"/>
        <v>634</v>
      </c>
      <c r="C13" s="9">
        <f t="shared" si="0"/>
        <v>1221.8415417558888</v>
      </c>
      <c r="D13">
        <f t="shared" si="25"/>
        <v>626</v>
      </c>
      <c r="E13" s="9">
        <f t="shared" si="1"/>
        <v>1216.8466522678186</v>
      </c>
      <c r="F13">
        <v>0</v>
      </c>
      <c r="G13" s="9">
        <f t="shared" si="16"/>
        <v>0</v>
      </c>
      <c r="H13">
        <v>0</v>
      </c>
      <c r="I13" s="9">
        <v>0</v>
      </c>
      <c r="J13">
        <v>0</v>
      </c>
      <c r="K13" s="9">
        <v>0</v>
      </c>
      <c r="M13" s="4">
        <v>1800</v>
      </c>
      <c r="N13">
        <f t="shared" si="27"/>
        <v>684</v>
      </c>
      <c r="O13" s="9">
        <f t="shared" si="2"/>
        <v>1251.219512195122</v>
      </c>
      <c r="P13">
        <f t="shared" si="28"/>
        <v>676</v>
      </c>
      <c r="Q13" s="9">
        <f t="shared" si="3"/>
        <v>1246.7213114754099</v>
      </c>
      <c r="R13">
        <f t="shared" si="29"/>
        <v>672</v>
      </c>
      <c r="S13" s="9">
        <f t="shared" si="17"/>
        <v>1244.4444444444446</v>
      </c>
      <c r="T13">
        <f t="shared" si="54"/>
        <v>670</v>
      </c>
      <c r="U13" s="9">
        <f t="shared" si="30"/>
        <v>1243.2989690721649</v>
      </c>
      <c r="V13">
        <v>0</v>
      </c>
      <c r="W13" s="9">
        <v>0</v>
      </c>
      <c r="Y13" s="4">
        <v>1800</v>
      </c>
      <c r="Z13">
        <f t="shared" si="31"/>
        <v>734</v>
      </c>
      <c r="AA13" s="9">
        <f t="shared" si="4"/>
        <v>1277.7562862669245</v>
      </c>
      <c r="AB13">
        <f t="shared" si="32"/>
        <v>726</v>
      </c>
      <c r="AC13" s="9">
        <f t="shared" si="5"/>
        <v>1273.6842105263156</v>
      </c>
      <c r="AD13">
        <f t="shared" si="33"/>
        <v>722</v>
      </c>
      <c r="AE13" s="9">
        <f t="shared" si="18"/>
        <v>1271.6242661448141</v>
      </c>
      <c r="AF13">
        <f t="shared" si="55"/>
        <v>720</v>
      </c>
      <c r="AG13" s="9">
        <f t="shared" si="34"/>
        <v>1270.5882352941176</v>
      </c>
      <c r="AH13">
        <v>0</v>
      </c>
      <c r="AI13" s="9">
        <v>0</v>
      </c>
      <c r="AK13" s="4">
        <v>1800</v>
      </c>
      <c r="AL13">
        <f t="shared" si="35"/>
        <v>784</v>
      </c>
      <c r="AM13" s="9">
        <f t="shared" si="6"/>
        <v>1301.8450184501844</v>
      </c>
      <c r="AN13">
        <f t="shared" si="36"/>
        <v>776</v>
      </c>
      <c r="AO13" s="9">
        <f t="shared" si="7"/>
        <v>1298.1412639405203</v>
      </c>
      <c r="AP13">
        <f t="shared" si="37"/>
        <v>772</v>
      </c>
      <c r="AQ13" s="9">
        <f t="shared" si="19"/>
        <v>1296.2686567164178</v>
      </c>
      <c r="AR13">
        <f t="shared" si="56"/>
        <v>770</v>
      </c>
      <c r="AS13" s="9">
        <f t="shared" si="38"/>
        <v>1295.3271028037384</v>
      </c>
      <c r="AT13">
        <v>0</v>
      </c>
      <c r="AU13" s="9">
        <v>0</v>
      </c>
      <c r="AW13" s="4">
        <v>1800</v>
      </c>
      <c r="AX13">
        <f t="shared" si="39"/>
        <v>684</v>
      </c>
      <c r="AY13" s="9">
        <f t="shared" si="8"/>
        <v>1251.219512195122</v>
      </c>
      <c r="AZ13">
        <f t="shared" si="40"/>
        <v>676</v>
      </c>
      <c r="BA13" s="9">
        <f t="shared" si="9"/>
        <v>1246.7213114754099</v>
      </c>
      <c r="BB13">
        <f t="shared" si="41"/>
        <v>672</v>
      </c>
      <c r="BC13" s="9">
        <f t="shared" si="20"/>
        <v>1244.4444444444446</v>
      </c>
      <c r="BD13">
        <f t="shared" si="57"/>
        <v>670</v>
      </c>
      <c r="BE13" s="9">
        <f t="shared" si="42"/>
        <v>1243.2989690721649</v>
      </c>
      <c r="BF13">
        <f t="shared" si="65"/>
        <v>670</v>
      </c>
      <c r="BG13" s="9">
        <f t="shared" si="61"/>
        <v>1243.2989690721649</v>
      </c>
      <c r="BI13" s="4">
        <v>1800</v>
      </c>
      <c r="BJ13">
        <f t="shared" si="43"/>
        <v>734</v>
      </c>
      <c r="BK13" s="9">
        <f t="shared" si="10"/>
        <v>1277.7562862669245</v>
      </c>
      <c r="BL13">
        <f t="shared" si="44"/>
        <v>726</v>
      </c>
      <c r="BM13" s="9">
        <f t="shared" si="11"/>
        <v>1273.6842105263156</v>
      </c>
      <c r="BN13">
        <f t="shared" si="45"/>
        <v>722</v>
      </c>
      <c r="BO13" s="9">
        <f t="shared" si="21"/>
        <v>1271.6242661448141</v>
      </c>
      <c r="BP13">
        <f t="shared" si="58"/>
        <v>720</v>
      </c>
      <c r="BQ13" s="9">
        <f t="shared" si="46"/>
        <v>1270.5882352941176</v>
      </c>
      <c r="BR13">
        <v>0</v>
      </c>
      <c r="BS13" s="9">
        <v>0</v>
      </c>
      <c r="BU13" s="4">
        <v>1800</v>
      </c>
      <c r="BV13">
        <f t="shared" si="47"/>
        <v>784</v>
      </c>
      <c r="BW13" s="9">
        <f t="shared" si="12"/>
        <v>1301.8450184501844</v>
      </c>
      <c r="BX13">
        <f t="shared" si="48"/>
        <v>776</v>
      </c>
      <c r="BY13" s="9">
        <f t="shared" si="13"/>
        <v>1298.1412639405203</v>
      </c>
      <c r="BZ13">
        <f t="shared" si="49"/>
        <v>772</v>
      </c>
      <c r="CA13" s="9">
        <f t="shared" si="22"/>
        <v>1296.2686567164178</v>
      </c>
      <c r="CB13">
        <f t="shared" si="59"/>
        <v>770</v>
      </c>
      <c r="CC13" s="9">
        <f t="shared" si="50"/>
        <v>1295.3271028037384</v>
      </c>
      <c r="CD13">
        <f t="shared" si="66"/>
        <v>770</v>
      </c>
      <c r="CE13" s="9">
        <f t="shared" si="62"/>
        <v>1295.3271028037384</v>
      </c>
      <c r="CF13">
        <f t="shared" si="71"/>
        <v>772</v>
      </c>
      <c r="CG13" s="9">
        <f t="shared" si="67"/>
        <v>1296.2686567164178</v>
      </c>
      <c r="CI13" s="4">
        <v>1800</v>
      </c>
      <c r="CJ13">
        <f t="shared" si="51"/>
        <v>734</v>
      </c>
      <c r="CK13" s="9">
        <f t="shared" si="14"/>
        <v>1277.7562862669245</v>
      </c>
      <c r="CL13">
        <f t="shared" si="52"/>
        <v>729</v>
      </c>
      <c r="CM13" s="9">
        <f t="shared" si="15"/>
        <v>1275.2186588921281</v>
      </c>
      <c r="CN13">
        <f t="shared" si="60"/>
        <v>726</v>
      </c>
      <c r="CO13" s="9">
        <f t="shared" si="23"/>
        <v>1273.6842105263156</v>
      </c>
      <c r="CP13">
        <f t="shared" si="63"/>
        <v>725</v>
      </c>
      <c r="CQ13" s="9">
        <f t="shared" si="53"/>
        <v>1273.1707317073171</v>
      </c>
      <c r="CR13">
        <f t="shared" si="68"/>
        <v>720</v>
      </c>
      <c r="CS13" s="9">
        <f t="shared" si="64"/>
        <v>1270.5882352941176</v>
      </c>
      <c r="CT13">
        <f t="shared" si="72"/>
        <v>729</v>
      </c>
      <c r="CU13" s="9">
        <f t="shared" si="69"/>
        <v>1275.2186588921281</v>
      </c>
      <c r="CV13">
        <v>0</v>
      </c>
      <c r="CW13" s="9">
        <f t="shared" si="70"/>
        <v>0</v>
      </c>
    </row>
    <row r="14" spans="1:101" x14ac:dyDescent="0.25">
      <c r="A14" s="4">
        <v>2000</v>
      </c>
      <c r="B14">
        <f t="shared" si="24"/>
        <v>632</v>
      </c>
      <c r="C14" s="9">
        <f t="shared" si="0"/>
        <v>1356.2231759656652</v>
      </c>
      <c r="D14">
        <f t="shared" si="25"/>
        <v>623</v>
      </c>
      <c r="E14" s="9">
        <f t="shared" si="1"/>
        <v>1349.9458288190681</v>
      </c>
      <c r="F14">
        <v>0</v>
      </c>
      <c r="G14" s="9">
        <f t="shared" si="16"/>
        <v>0</v>
      </c>
      <c r="H14">
        <v>0</v>
      </c>
      <c r="I14" s="9">
        <v>0</v>
      </c>
      <c r="J14">
        <v>0</v>
      </c>
      <c r="K14" s="9">
        <v>0</v>
      </c>
      <c r="M14" s="4">
        <v>2000</v>
      </c>
      <c r="N14">
        <f t="shared" si="27"/>
        <v>682</v>
      </c>
      <c r="O14" s="9">
        <f t="shared" si="2"/>
        <v>1389.0020366598776</v>
      </c>
      <c r="P14">
        <f t="shared" si="28"/>
        <v>673</v>
      </c>
      <c r="Q14" s="9">
        <f t="shared" si="3"/>
        <v>1383.3504624871532</v>
      </c>
      <c r="R14">
        <f t="shared" si="29"/>
        <v>668</v>
      </c>
      <c r="S14" s="9">
        <f t="shared" si="17"/>
        <v>1380.1652892561983</v>
      </c>
      <c r="T14">
        <f t="shared" si="54"/>
        <v>665</v>
      </c>
      <c r="U14" s="9">
        <f t="shared" si="30"/>
        <v>1378.2383419689118</v>
      </c>
      <c r="V14">
        <v>0</v>
      </c>
      <c r="W14" s="9">
        <v>0</v>
      </c>
      <c r="Y14" s="4">
        <v>2000</v>
      </c>
      <c r="Z14">
        <f t="shared" si="31"/>
        <v>732</v>
      </c>
      <c r="AA14" s="9">
        <f t="shared" si="4"/>
        <v>1418.6046511627908</v>
      </c>
      <c r="AB14">
        <f t="shared" si="32"/>
        <v>723</v>
      </c>
      <c r="AC14" s="9">
        <f t="shared" si="5"/>
        <v>1413.4897360703812</v>
      </c>
      <c r="AD14">
        <f t="shared" si="33"/>
        <v>718</v>
      </c>
      <c r="AE14" s="9">
        <f t="shared" si="18"/>
        <v>1410.6090373280942</v>
      </c>
      <c r="AF14">
        <f t="shared" si="55"/>
        <v>715</v>
      </c>
      <c r="AG14" s="9">
        <f t="shared" si="34"/>
        <v>1408.8669950738915</v>
      </c>
      <c r="AH14">
        <v>0</v>
      </c>
      <c r="AI14" s="9">
        <v>0</v>
      </c>
      <c r="AK14" s="4">
        <v>2000</v>
      </c>
      <c r="AL14">
        <f t="shared" si="35"/>
        <v>782</v>
      </c>
      <c r="AM14" s="9">
        <f t="shared" si="6"/>
        <v>1445.4713493530498</v>
      </c>
      <c r="AN14">
        <f t="shared" si="36"/>
        <v>773</v>
      </c>
      <c r="AO14" s="9">
        <f t="shared" si="7"/>
        <v>1440.8201304753029</v>
      </c>
      <c r="AP14">
        <f t="shared" si="37"/>
        <v>768</v>
      </c>
      <c r="AQ14" s="9">
        <f t="shared" si="19"/>
        <v>1438.2022471910113</v>
      </c>
      <c r="AR14">
        <f t="shared" si="56"/>
        <v>765</v>
      </c>
      <c r="AS14" s="9">
        <f t="shared" si="38"/>
        <v>1436.6197183098591</v>
      </c>
      <c r="AT14">
        <v>0</v>
      </c>
      <c r="AU14" s="9">
        <v>0</v>
      </c>
      <c r="AW14" s="4">
        <v>2000</v>
      </c>
      <c r="AX14">
        <f t="shared" si="39"/>
        <v>682</v>
      </c>
      <c r="AY14" s="9">
        <f t="shared" si="8"/>
        <v>1389.0020366598776</v>
      </c>
      <c r="AZ14">
        <f t="shared" si="40"/>
        <v>673</v>
      </c>
      <c r="BA14" s="9">
        <f t="shared" si="9"/>
        <v>1383.3504624871532</v>
      </c>
      <c r="BB14">
        <f t="shared" si="41"/>
        <v>668</v>
      </c>
      <c r="BC14" s="9">
        <f t="shared" si="20"/>
        <v>1380.1652892561983</v>
      </c>
      <c r="BD14">
        <f t="shared" si="57"/>
        <v>665</v>
      </c>
      <c r="BE14" s="9">
        <f t="shared" si="42"/>
        <v>1378.2383419689118</v>
      </c>
      <c r="BF14">
        <f t="shared" si="65"/>
        <v>664</v>
      </c>
      <c r="BG14" s="9">
        <f t="shared" si="61"/>
        <v>1377.5933609958506</v>
      </c>
      <c r="BI14" s="4">
        <v>2000</v>
      </c>
      <c r="BJ14">
        <f t="shared" si="43"/>
        <v>732</v>
      </c>
      <c r="BK14" s="9">
        <f t="shared" si="10"/>
        <v>1418.6046511627908</v>
      </c>
      <c r="BL14">
        <f t="shared" si="44"/>
        <v>723</v>
      </c>
      <c r="BM14" s="9">
        <f t="shared" si="11"/>
        <v>1413.4897360703812</v>
      </c>
      <c r="BN14">
        <f t="shared" si="45"/>
        <v>718</v>
      </c>
      <c r="BO14" s="9">
        <f t="shared" si="21"/>
        <v>1410.6090373280942</v>
      </c>
      <c r="BP14">
        <f t="shared" si="58"/>
        <v>715</v>
      </c>
      <c r="BQ14" s="9">
        <f t="shared" si="46"/>
        <v>1408.8669950738915</v>
      </c>
      <c r="BR14">
        <v>0</v>
      </c>
      <c r="BS14" s="9">
        <v>0</v>
      </c>
      <c r="BU14" s="4">
        <v>2000</v>
      </c>
      <c r="BV14">
        <f t="shared" si="47"/>
        <v>782</v>
      </c>
      <c r="BW14" s="9">
        <f t="shared" si="12"/>
        <v>1445.4713493530498</v>
      </c>
      <c r="BX14">
        <f t="shared" si="48"/>
        <v>773</v>
      </c>
      <c r="BY14" s="9">
        <f t="shared" si="13"/>
        <v>1440.8201304753029</v>
      </c>
      <c r="BZ14">
        <f t="shared" si="49"/>
        <v>768</v>
      </c>
      <c r="CA14" s="9">
        <f t="shared" si="22"/>
        <v>1438.2022471910113</v>
      </c>
      <c r="CB14">
        <f t="shared" si="59"/>
        <v>765</v>
      </c>
      <c r="CC14" s="9">
        <f t="shared" si="50"/>
        <v>1436.6197183098591</v>
      </c>
      <c r="CD14">
        <f t="shared" si="66"/>
        <v>764</v>
      </c>
      <c r="CE14" s="9">
        <f t="shared" si="62"/>
        <v>1436.0902255639096</v>
      </c>
      <c r="CF14">
        <f t="shared" si="71"/>
        <v>765</v>
      </c>
      <c r="CG14" s="9">
        <f t="shared" si="67"/>
        <v>1436.6197183098591</v>
      </c>
      <c r="CI14" s="4">
        <v>2000</v>
      </c>
      <c r="CJ14">
        <f t="shared" si="51"/>
        <v>732</v>
      </c>
      <c r="CK14" s="9">
        <f t="shared" si="14"/>
        <v>1418.6046511627908</v>
      </c>
      <c r="CL14">
        <f t="shared" si="52"/>
        <v>726</v>
      </c>
      <c r="CM14" s="9">
        <f t="shared" si="15"/>
        <v>1415.2046783625731</v>
      </c>
      <c r="CN14">
        <f t="shared" si="60"/>
        <v>722</v>
      </c>
      <c r="CO14" s="9">
        <f t="shared" si="23"/>
        <v>1412.9158512720155</v>
      </c>
      <c r="CP14">
        <f t="shared" si="63"/>
        <v>720</v>
      </c>
      <c r="CQ14" s="9">
        <f t="shared" si="53"/>
        <v>1411.7647058823529</v>
      </c>
      <c r="CR14">
        <f t="shared" si="68"/>
        <v>714</v>
      </c>
      <c r="CS14" s="9">
        <f t="shared" si="64"/>
        <v>1408.2840236686391</v>
      </c>
      <c r="CT14">
        <f t="shared" si="72"/>
        <v>722</v>
      </c>
      <c r="CU14" s="9">
        <f t="shared" si="69"/>
        <v>1412.9158512720155</v>
      </c>
      <c r="CV14">
        <v>750</v>
      </c>
      <c r="CW14" s="9">
        <f t="shared" si="70"/>
        <v>1428.5714285714287</v>
      </c>
    </row>
    <row r="15" spans="1:101" x14ac:dyDescent="0.25">
      <c r="A15" s="4">
        <v>2200</v>
      </c>
      <c r="B15">
        <f t="shared" si="24"/>
        <v>630</v>
      </c>
      <c r="C15" s="9">
        <f t="shared" si="0"/>
        <v>1490.3225806451612</v>
      </c>
      <c r="D15">
        <v>0</v>
      </c>
      <c r="E15" s="9">
        <f t="shared" si="1"/>
        <v>0</v>
      </c>
      <c r="F15">
        <v>0</v>
      </c>
      <c r="G15" s="9">
        <f t="shared" si="16"/>
        <v>0</v>
      </c>
      <c r="H15">
        <v>0</v>
      </c>
      <c r="I15" s="9">
        <v>0</v>
      </c>
      <c r="J15">
        <v>0</v>
      </c>
      <c r="K15" s="9">
        <v>0</v>
      </c>
      <c r="M15" s="4">
        <v>2200</v>
      </c>
      <c r="N15">
        <f t="shared" si="27"/>
        <v>680</v>
      </c>
      <c r="O15" s="9">
        <f t="shared" si="2"/>
        <v>1526.5306122448981</v>
      </c>
      <c r="P15">
        <f t="shared" si="28"/>
        <v>670</v>
      </c>
      <c r="Q15" s="9">
        <f t="shared" si="3"/>
        <v>1519.5876288659795</v>
      </c>
      <c r="R15">
        <f t="shared" si="29"/>
        <v>664</v>
      </c>
      <c r="S15" s="9">
        <f t="shared" si="17"/>
        <v>1515.3526970954356</v>
      </c>
      <c r="T15">
        <f t="shared" si="54"/>
        <v>660</v>
      </c>
      <c r="U15" s="9">
        <f t="shared" si="30"/>
        <v>1512.5</v>
      </c>
      <c r="V15">
        <v>0</v>
      </c>
      <c r="W15" s="9">
        <v>0</v>
      </c>
      <c r="Y15" s="4">
        <v>2200</v>
      </c>
      <c r="Z15">
        <f t="shared" si="31"/>
        <v>730</v>
      </c>
      <c r="AA15" s="9">
        <f t="shared" si="4"/>
        <v>1559.2233009708737</v>
      </c>
      <c r="AB15">
        <f t="shared" si="32"/>
        <v>720</v>
      </c>
      <c r="AC15" s="9">
        <f t="shared" si="5"/>
        <v>1552.9411764705883</v>
      </c>
      <c r="AD15">
        <f t="shared" si="33"/>
        <v>714</v>
      </c>
      <c r="AE15" s="9">
        <f t="shared" si="18"/>
        <v>1549.1124260355029</v>
      </c>
      <c r="AF15">
        <f t="shared" si="55"/>
        <v>710</v>
      </c>
      <c r="AG15" s="9">
        <f t="shared" si="34"/>
        <v>1546.5346534653465</v>
      </c>
      <c r="AH15">
        <v>0</v>
      </c>
      <c r="AI15" s="9">
        <v>0</v>
      </c>
      <c r="AK15" s="4">
        <v>2200</v>
      </c>
      <c r="AL15">
        <f t="shared" si="35"/>
        <v>780</v>
      </c>
      <c r="AM15" s="9">
        <f t="shared" si="6"/>
        <v>1588.8888888888889</v>
      </c>
      <c r="AN15">
        <f t="shared" si="36"/>
        <v>770</v>
      </c>
      <c r="AO15" s="9">
        <f t="shared" si="7"/>
        <v>1583.1775700934579</v>
      </c>
      <c r="AP15">
        <f t="shared" si="37"/>
        <v>764</v>
      </c>
      <c r="AQ15" s="9">
        <f t="shared" si="19"/>
        <v>1579.6992481203006</v>
      </c>
      <c r="AR15">
        <f t="shared" si="56"/>
        <v>760</v>
      </c>
      <c r="AS15" s="9">
        <f t="shared" si="38"/>
        <v>1577.3584905660377</v>
      </c>
      <c r="AT15">
        <v>0</v>
      </c>
      <c r="AU15" s="9">
        <v>0</v>
      </c>
      <c r="AW15" s="4">
        <v>2200</v>
      </c>
      <c r="AX15">
        <f t="shared" si="39"/>
        <v>680</v>
      </c>
      <c r="AY15" s="9">
        <f t="shared" si="8"/>
        <v>1526.5306122448981</v>
      </c>
      <c r="AZ15">
        <f t="shared" si="40"/>
        <v>670</v>
      </c>
      <c r="BA15" s="9">
        <f t="shared" si="9"/>
        <v>1519.5876288659795</v>
      </c>
      <c r="BB15">
        <f t="shared" si="41"/>
        <v>664</v>
      </c>
      <c r="BC15" s="9">
        <f t="shared" si="20"/>
        <v>1515.3526970954356</v>
      </c>
      <c r="BD15">
        <f t="shared" si="57"/>
        <v>660</v>
      </c>
      <c r="BE15" s="9">
        <f t="shared" si="42"/>
        <v>1512.5</v>
      </c>
      <c r="BF15">
        <v>0</v>
      </c>
      <c r="BG15" s="9">
        <f t="shared" si="61"/>
        <v>0</v>
      </c>
      <c r="BI15" s="4">
        <v>2200</v>
      </c>
      <c r="BJ15">
        <f t="shared" si="43"/>
        <v>730</v>
      </c>
      <c r="BK15" s="9">
        <f t="shared" si="10"/>
        <v>1559.2233009708737</v>
      </c>
      <c r="BL15">
        <f t="shared" si="44"/>
        <v>720</v>
      </c>
      <c r="BM15" s="9">
        <f t="shared" si="11"/>
        <v>1552.9411764705883</v>
      </c>
      <c r="BN15">
        <f t="shared" si="45"/>
        <v>714</v>
      </c>
      <c r="BO15" s="9">
        <f t="shared" si="21"/>
        <v>1549.1124260355029</v>
      </c>
      <c r="BP15">
        <f t="shared" si="58"/>
        <v>710</v>
      </c>
      <c r="BQ15" s="9">
        <f t="shared" si="46"/>
        <v>1546.5346534653465</v>
      </c>
      <c r="BR15">
        <v>0</v>
      </c>
      <c r="BS15" s="9">
        <v>0</v>
      </c>
      <c r="BU15" s="4">
        <v>2200</v>
      </c>
      <c r="BV15">
        <f t="shared" si="47"/>
        <v>780</v>
      </c>
      <c r="BW15" s="9">
        <f t="shared" si="12"/>
        <v>1588.8888888888889</v>
      </c>
      <c r="BX15">
        <f t="shared" si="48"/>
        <v>770</v>
      </c>
      <c r="BY15" s="9">
        <f t="shared" si="13"/>
        <v>1583.1775700934579</v>
      </c>
      <c r="BZ15">
        <f t="shared" si="49"/>
        <v>764</v>
      </c>
      <c r="CA15" s="9">
        <f t="shared" si="22"/>
        <v>1579.6992481203006</v>
      </c>
      <c r="CB15">
        <f t="shared" si="59"/>
        <v>760</v>
      </c>
      <c r="CC15" s="9">
        <f t="shared" si="50"/>
        <v>1577.3584905660377</v>
      </c>
      <c r="CD15">
        <f t="shared" si="66"/>
        <v>758</v>
      </c>
      <c r="CE15" s="9">
        <f t="shared" si="62"/>
        <v>1576.1814744801513</v>
      </c>
      <c r="CF15">
        <f t="shared" si="71"/>
        <v>758</v>
      </c>
      <c r="CG15" s="9">
        <f t="shared" si="67"/>
        <v>1576.1814744801513</v>
      </c>
      <c r="CI15" s="4">
        <v>2200</v>
      </c>
      <c r="CJ15">
        <f t="shared" si="51"/>
        <v>730</v>
      </c>
      <c r="CK15" s="9">
        <f t="shared" si="14"/>
        <v>1559.2233009708737</v>
      </c>
      <c r="CL15">
        <f t="shared" si="52"/>
        <v>723</v>
      </c>
      <c r="CM15" s="9">
        <f t="shared" si="15"/>
        <v>1554.8387096774193</v>
      </c>
      <c r="CN15">
        <f t="shared" si="60"/>
        <v>718</v>
      </c>
      <c r="CO15" s="9">
        <f t="shared" si="23"/>
        <v>1551.6699410609035</v>
      </c>
      <c r="CP15">
        <f t="shared" si="63"/>
        <v>715</v>
      </c>
      <c r="CQ15" s="9">
        <f t="shared" si="53"/>
        <v>1549.7536945812806</v>
      </c>
      <c r="CR15">
        <f t="shared" si="68"/>
        <v>708</v>
      </c>
      <c r="CS15" s="9">
        <f t="shared" si="64"/>
        <v>1545.2380952380952</v>
      </c>
      <c r="CT15">
        <f t="shared" si="72"/>
        <v>715</v>
      </c>
      <c r="CU15" s="9">
        <f t="shared" si="69"/>
        <v>1549.7536945812806</v>
      </c>
      <c r="CV15">
        <f t="shared" ref="CV15:CV30" si="73">SUM(CV14,-8)</f>
        <v>742</v>
      </c>
      <c r="CW15" s="9">
        <f t="shared" si="70"/>
        <v>1566.602687140115</v>
      </c>
    </row>
    <row r="16" spans="1:101" x14ac:dyDescent="0.25">
      <c r="A16" s="4">
        <f>SUM(A14+500)</f>
        <v>2500</v>
      </c>
      <c r="B16">
        <v>0</v>
      </c>
      <c r="C16" s="9">
        <f t="shared" si="0"/>
        <v>0</v>
      </c>
      <c r="D16">
        <v>0</v>
      </c>
      <c r="E16" s="9">
        <f t="shared" si="1"/>
        <v>0</v>
      </c>
      <c r="F16">
        <v>0</v>
      </c>
      <c r="G16" s="9">
        <f t="shared" si="16"/>
        <v>0</v>
      </c>
      <c r="H16">
        <v>0</v>
      </c>
      <c r="I16" s="9">
        <v>0</v>
      </c>
      <c r="J16">
        <v>0</v>
      </c>
      <c r="K16" s="9">
        <v>0</v>
      </c>
      <c r="M16" s="4">
        <f>SUM(M14+500)</f>
        <v>2500</v>
      </c>
      <c r="N16">
        <f t="shared" si="27"/>
        <v>678</v>
      </c>
      <c r="O16" s="9">
        <f t="shared" si="2"/>
        <v>1733.1288343558283</v>
      </c>
      <c r="P16">
        <f t="shared" si="28"/>
        <v>667</v>
      </c>
      <c r="Q16" s="9">
        <f t="shared" si="3"/>
        <v>1724.4053774560498</v>
      </c>
      <c r="R16">
        <f t="shared" si="29"/>
        <v>660</v>
      </c>
      <c r="S16" s="9">
        <f t="shared" si="17"/>
        <v>1718.75</v>
      </c>
      <c r="T16">
        <v>0</v>
      </c>
      <c r="U16" s="9">
        <f t="shared" si="30"/>
        <v>0</v>
      </c>
      <c r="V16">
        <v>0</v>
      </c>
      <c r="W16" s="9">
        <v>0</v>
      </c>
      <c r="Y16" s="4">
        <f>SUM(Y14+500)</f>
        <v>2500</v>
      </c>
      <c r="Z16">
        <f t="shared" si="31"/>
        <v>728</v>
      </c>
      <c r="AA16" s="9">
        <f t="shared" si="4"/>
        <v>1770.4280155642023</v>
      </c>
      <c r="AB16">
        <f t="shared" si="32"/>
        <v>717</v>
      </c>
      <c r="AC16" s="9">
        <f t="shared" si="5"/>
        <v>1762.5368731563424</v>
      </c>
      <c r="AD16">
        <f t="shared" si="33"/>
        <v>710</v>
      </c>
      <c r="AE16" s="9">
        <f t="shared" si="18"/>
        <v>1757.4257425742574</v>
      </c>
      <c r="AF16">
        <v>0</v>
      </c>
      <c r="AG16" s="9">
        <f t="shared" si="34"/>
        <v>0</v>
      </c>
      <c r="AH16">
        <v>0</v>
      </c>
      <c r="AI16" s="9">
        <v>0</v>
      </c>
      <c r="AK16" s="4">
        <f>SUM(AK14+500)</f>
        <v>2500</v>
      </c>
      <c r="AL16">
        <f t="shared" si="35"/>
        <v>778</v>
      </c>
      <c r="AM16" s="9">
        <f t="shared" si="6"/>
        <v>1804.2671614100186</v>
      </c>
      <c r="AN16">
        <f t="shared" si="36"/>
        <v>767</v>
      </c>
      <c r="AO16" s="9">
        <f t="shared" si="7"/>
        <v>1797.0946579194003</v>
      </c>
      <c r="AP16">
        <f t="shared" si="37"/>
        <v>760</v>
      </c>
      <c r="AQ16" s="9">
        <f t="shared" si="19"/>
        <v>1792.4528301886792</v>
      </c>
      <c r="AR16">
        <f t="shared" si="56"/>
        <v>755</v>
      </c>
      <c r="AS16" s="9">
        <f t="shared" si="38"/>
        <v>1789.0995260663508</v>
      </c>
      <c r="AT16">
        <v>0</v>
      </c>
      <c r="AU16" s="9">
        <v>0</v>
      </c>
      <c r="AW16" s="4">
        <f>SUM(AW14+500)</f>
        <v>2500</v>
      </c>
      <c r="AX16">
        <f t="shared" si="39"/>
        <v>678</v>
      </c>
      <c r="AY16" s="9">
        <f t="shared" si="8"/>
        <v>1733.1288343558283</v>
      </c>
      <c r="AZ16">
        <f t="shared" si="40"/>
        <v>667</v>
      </c>
      <c r="BA16" s="9">
        <f t="shared" si="9"/>
        <v>1724.4053774560498</v>
      </c>
      <c r="BB16">
        <f t="shared" si="41"/>
        <v>660</v>
      </c>
      <c r="BC16" s="9">
        <f t="shared" si="20"/>
        <v>1718.75</v>
      </c>
      <c r="BD16">
        <f t="shared" si="57"/>
        <v>655</v>
      </c>
      <c r="BE16" s="9">
        <f t="shared" si="42"/>
        <v>1714.6596858638745</v>
      </c>
      <c r="BF16">
        <v>0</v>
      </c>
      <c r="BG16" s="9">
        <f t="shared" si="61"/>
        <v>0</v>
      </c>
      <c r="BI16" s="4">
        <f>SUM(BI14+500)</f>
        <v>2500</v>
      </c>
      <c r="BJ16">
        <f t="shared" si="43"/>
        <v>728</v>
      </c>
      <c r="BK16" s="9">
        <f t="shared" si="10"/>
        <v>1770.4280155642023</v>
      </c>
      <c r="BL16">
        <f t="shared" si="44"/>
        <v>717</v>
      </c>
      <c r="BM16" s="9">
        <f t="shared" si="11"/>
        <v>1762.5368731563424</v>
      </c>
      <c r="BN16">
        <f t="shared" si="45"/>
        <v>710</v>
      </c>
      <c r="BO16" s="9">
        <f t="shared" si="21"/>
        <v>1757.4257425742574</v>
      </c>
      <c r="BP16">
        <v>0</v>
      </c>
      <c r="BQ16" s="9">
        <f t="shared" si="46"/>
        <v>0</v>
      </c>
      <c r="BR16">
        <v>0</v>
      </c>
      <c r="BS16" s="9">
        <v>0</v>
      </c>
      <c r="BU16" s="4">
        <f>SUM(BU14+500)</f>
        <v>2500</v>
      </c>
      <c r="BV16">
        <f t="shared" si="47"/>
        <v>778</v>
      </c>
      <c r="BW16" s="9">
        <f t="shared" si="12"/>
        <v>1804.2671614100186</v>
      </c>
      <c r="BX16">
        <f t="shared" si="48"/>
        <v>767</v>
      </c>
      <c r="BY16" s="9">
        <f t="shared" si="13"/>
        <v>1797.0946579194003</v>
      </c>
      <c r="BZ16">
        <f t="shared" si="49"/>
        <v>760</v>
      </c>
      <c r="CA16" s="9">
        <f t="shared" si="22"/>
        <v>1792.4528301886792</v>
      </c>
      <c r="CB16">
        <f t="shared" si="59"/>
        <v>755</v>
      </c>
      <c r="CC16" s="9">
        <f t="shared" si="50"/>
        <v>1789.0995260663508</v>
      </c>
      <c r="CD16">
        <f t="shared" si="66"/>
        <v>752</v>
      </c>
      <c r="CE16" s="9">
        <f t="shared" si="62"/>
        <v>1787.0722433460076</v>
      </c>
      <c r="CF16">
        <f t="shared" si="71"/>
        <v>751</v>
      </c>
      <c r="CG16" s="9">
        <f t="shared" si="67"/>
        <v>1786.3939105613701</v>
      </c>
      <c r="CI16" s="4">
        <f>SUM(CI14+500)</f>
        <v>2500</v>
      </c>
      <c r="CJ16">
        <f t="shared" si="51"/>
        <v>728</v>
      </c>
      <c r="CK16" s="9">
        <f t="shared" si="14"/>
        <v>1770.4280155642023</v>
      </c>
      <c r="CL16">
        <f t="shared" si="52"/>
        <v>720</v>
      </c>
      <c r="CM16" s="9">
        <f t="shared" si="15"/>
        <v>1764.7058823529412</v>
      </c>
      <c r="CN16">
        <f t="shared" si="60"/>
        <v>714</v>
      </c>
      <c r="CO16" s="9">
        <f t="shared" si="23"/>
        <v>1760.355029585799</v>
      </c>
      <c r="CP16">
        <f t="shared" si="63"/>
        <v>710</v>
      </c>
      <c r="CQ16" s="9">
        <f t="shared" si="53"/>
        <v>1757.4257425742574</v>
      </c>
      <c r="CR16">
        <f t="shared" si="68"/>
        <v>702</v>
      </c>
      <c r="CS16" s="9">
        <f t="shared" si="64"/>
        <v>1751.4970059880238</v>
      </c>
      <c r="CT16">
        <f t="shared" si="72"/>
        <v>708</v>
      </c>
      <c r="CU16" s="9">
        <f t="shared" si="69"/>
        <v>1755.952380952381</v>
      </c>
      <c r="CV16">
        <f t="shared" si="73"/>
        <v>734</v>
      </c>
      <c r="CW16" s="9">
        <f t="shared" si="70"/>
        <v>1774.6615087040618</v>
      </c>
    </row>
    <row r="17" spans="1:101" x14ac:dyDescent="0.25">
      <c r="A17" s="4">
        <f t="shared" ref="A17:A18" si="74">SUM(A16+500)</f>
        <v>3000</v>
      </c>
      <c r="B17">
        <v>0</v>
      </c>
      <c r="C17" s="9">
        <f t="shared" si="0"/>
        <v>0</v>
      </c>
      <c r="D17">
        <v>0</v>
      </c>
      <c r="E17" s="9">
        <f t="shared" si="1"/>
        <v>0</v>
      </c>
      <c r="F17">
        <v>0</v>
      </c>
      <c r="G17" s="9">
        <f t="shared" si="16"/>
        <v>0</v>
      </c>
      <c r="H17">
        <v>0</v>
      </c>
      <c r="I17" s="9">
        <v>0</v>
      </c>
      <c r="J17">
        <v>0</v>
      </c>
      <c r="K17" s="9">
        <v>0</v>
      </c>
      <c r="M17" s="4">
        <f t="shared" ref="M17:M18" si="75">SUM(M16+500)</f>
        <v>3000</v>
      </c>
      <c r="N17">
        <f t="shared" si="27"/>
        <v>676</v>
      </c>
      <c r="O17" s="9">
        <f t="shared" si="2"/>
        <v>2077.8688524590166</v>
      </c>
      <c r="P17">
        <f t="shared" si="28"/>
        <v>664</v>
      </c>
      <c r="Q17" s="9">
        <f t="shared" si="3"/>
        <v>2066.3900414937762</v>
      </c>
      <c r="R17">
        <f t="shared" si="29"/>
        <v>656</v>
      </c>
      <c r="S17" s="9">
        <f t="shared" si="17"/>
        <v>2058.5774058577404</v>
      </c>
      <c r="T17">
        <v>0</v>
      </c>
      <c r="U17" s="9">
        <f t="shared" si="30"/>
        <v>0</v>
      </c>
      <c r="V17">
        <v>0</v>
      </c>
      <c r="W17" s="9">
        <v>0</v>
      </c>
      <c r="Y17" s="4">
        <f t="shared" ref="Y17:Y18" si="76">SUM(Y16+500)</f>
        <v>3000</v>
      </c>
      <c r="Z17">
        <f t="shared" si="31"/>
        <v>726</v>
      </c>
      <c r="AA17" s="9">
        <f t="shared" si="4"/>
        <v>2122.8070175438597</v>
      </c>
      <c r="AB17">
        <f t="shared" si="32"/>
        <v>714</v>
      </c>
      <c r="AC17" s="9">
        <f t="shared" si="5"/>
        <v>2112.4260355029587</v>
      </c>
      <c r="AD17">
        <f t="shared" si="33"/>
        <v>706</v>
      </c>
      <c r="AE17" s="9">
        <f t="shared" si="18"/>
        <v>2105.3677932405562</v>
      </c>
      <c r="AF17">
        <v>0</v>
      </c>
      <c r="AG17" s="9">
        <f t="shared" si="34"/>
        <v>0</v>
      </c>
      <c r="AH17">
        <v>0</v>
      </c>
      <c r="AI17" s="9">
        <v>0</v>
      </c>
      <c r="AK17" s="4">
        <f t="shared" ref="AK17:AK18" si="77">SUM(AK16+500)</f>
        <v>3000</v>
      </c>
      <c r="AL17">
        <f t="shared" si="35"/>
        <v>776</v>
      </c>
      <c r="AM17" s="9">
        <f t="shared" si="6"/>
        <v>2163.5687732342008</v>
      </c>
      <c r="AN17">
        <f t="shared" si="36"/>
        <v>764</v>
      </c>
      <c r="AO17" s="9">
        <f t="shared" si="7"/>
        <v>2154.1353383458645</v>
      </c>
      <c r="AP17">
        <f t="shared" si="37"/>
        <v>756</v>
      </c>
      <c r="AQ17" s="9">
        <f t="shared" si="19"/>
        <v>2147.727272727273</v>
      </c>
      <c r="AR17">
        <f t="shared" si="56"/>
        <v>750</v>
      </c>
      <c r="AS17" s="9">
        <f t="shared" si="38"/>
        <v>2142.8571428571427</v>
      </c>
      <c r="AT17">
        <v>0</v>
      </c>
      <c r="AU17" s="9">
        <v>0</v>
      </c>
      <c r="AW17" s="4">
        <f t="shared" ref="AW17:AW18" si="78">SUM(AW16+500)</f>
        <v>3000</v>
      </c>
      <c r="AX17">
        <f t="shared" si="39"/>
        <v>676</v>
      </c>
      <c r="AY17" s="9">
        <f t="shared" si="8"/>
        <v>2077.8688524590166</v>
      </c>
      <c r="AZ17">
        <f t="shared" si="40"/>
        <v>664</v>
      </c>
      <c r="BA17" s="9">
        <f t="shared" si="9"/>
        <v>2066.3900414937762</v>
      </c>
      <c r="BB17">
        <f t="shared" si="41"/>
        <v>656</v>
      </c>
      <c r="BC17" s="9">
        <f t="shared" si="20"/>
        <v>2058.5774058577404</v>
      </c>
      <c r="BD17">
        <f t="shared" si="57"/>
        <v>650</v>
      </c>
      <c r="BE17" s="9">
        <f t="shared" si="42"/>
        <v>2052.6315789473683</v>
      </c>
      <c r="BF17">
        <v>0</v>
      </c>
      <c r="BG17" s="9">
        <f t="shared" si="61"/>
        <v>0</v>
      </c>
      <c r="BI17" s="4">
        <f t="shared" ref="BI17:BI18" si="79">SUM(BI16+500)</f>
        <v>3000</v>
      </c>
      <c r="BJ17">
        <f t="shared" si="43"/>
        <v>726</v>
      </c>
      <c r="BK17" s="9">
        <f t="shared" si="10"/>
        <v>2122.8070175438597</v>
      </c>
      <c r="BL17">
        <f t="shared" si="44"/>
        <v>714</v>
      </c>
      <c r="BM17" s="9">
        <f t="shared" si="11"/>
        <v>2112.4260355029587</v>
      </c>
      <c r="BN17">
        <f t="shared" si="45"/>
        <v>706</v>
      </c>
      <c r="BO17" s="9">
        <f t="shared" si="21"/>
        <v>2105.3677932405562</v>
      </c>
      <c r="BP17">
        <v>0</v>
      </c>
      <c r="BQ17" s="9">
        <f t="shared" si="46"/>
        <v>0</v>
      </c>
      <c r="BR17">
        <v>0</v>
      </c>
      <c r="BS17" s="9">
        <v>0</v>
      </c>
      <c r="BU17" s="4">
        <f t="shared" ref="BU17:BU18" si="80">SUM(BU16+500)</f>
        <v>3000</v>
      </c>
      <c r="BV17">
        <f t="shared" si="47"/>
        <v>776</v>
      </c>
      <c r="BW17" s="9">
        <f t="shared" si="12"/>
        <v>2163.5687732342008</v>
      </c>
      <c r="BX17">
        <f t="shared" si="48"/>
        <v>764</v>
      </c>
      <c r="BY17" s="9">
        <f t="shared" si="13"/>
        <v>2154.1353383458645</v>
      </c>
      <c r="BZ17">
        <f t="shared" si="49"/>
        <v>756</v>
      </c>
      <c r="CA17" s="9">
        <f t="shared" si="22"/>
        <v>2147.727272727273</v>
      </c>
      <c r="CB17">
        <f t="shared" si="59"/>
        <v>750</v>
      </c>
      <c r="CC17" s="9">
        <f t="shared" si="50"/>
        <v>2142.8571428571427</v>
      </c>
      <c r="CD17">
        <f t="shared" si="66"/>
        <v>746</v>
      </c>
      <c r="CE17" s="9">
        <f t="shared" si="62"/>
        <v>2139.5793499043975</v>
      </c>
      <c r="CF17">
        <f t="shared" si="71"/>
        <v>744</v>
      </c>
      <c r="CG17" s="9">
        <f t="shared" si="67"/>
        <v>2137.9310344827586</v>
      </c>
      <c r="CI17" s="4">
        <f t="shared" ref="CI17:CI18" si="81">SUM(CI16+500)</f>
        <v>3000</v>
      </c>
      <c r="CJ17">
        <f t="shared" si="51"/>
        <v>726</v>
      </c>
      <c r="CK17" s="9">
        <f t="shared" si="14"/>
        <v>2122.8070175438597</v>
      </c>
      <c r="CL17">
        <f t="shared" si="52"/>
        <v>717</v>
      </c>
      <c r="CM17" s="9">
        <f t="shared" si="15"/>
        <v>2115.0442477876109</v>
      </c>
      <c r="CN17">
        <f t="shared" si="60"/>
        <v>710</v>
      </c>
      <c r="CO17" s="9">
        <f t="shared" si="23"/>
        <v>2108.9108910891091</v>
      </c>
      <c r="CP17">
        <f t="shared" si="63"/>
        <v>705</v>
      </c>
      <c r="CQ17" s="9">
        <f t="shared" si="53"/>
        <v>2104.4776119402982</v>
      </c>
      <c r="CR17">
        <f t="shared" si="68"/>
        <v>696</v>
      </c>
      <c r="CS17" s="9">
        <f t="shared" si="64"/>
        <v>2096.3855421686744</v>
      </c>
      <c r="CT17">
        <f t="shared" si="72"/>
        <v>701</v>
      </c>
      <c r="CU17" s="9">
        <f t="shared" si="69"/>
        <v>2100.8991008991011</v>
      </c>
      <c r="CV17">
        <f t="shared" si="73"/>
        <v>726</v>
      </c>
      <c r="CW17" s="9">
        <f t="shared" si="70"/>
        <v>2122.8070175438597</v>
      </c>
    </row>
    <row r="18" spans="1:101" x14ac:dyDescent="0.25">
      <c r="A18" s="4">
        <f t="shared" si="74"/>
        <v>3500</v>
      </c>
      <c r="B18">
        <v>0</v>
      </c>
      <c r="C18" s="9">
        <f t="shared" si="0"/>
        <v>0</v>
      </c>
      <c r="D18">
        <v>0</v>
      </c>
      <c r="E18" s="9">
        <f t="shared" si="1"/>
        <v>0</v>
      </c>
      <c r="F18">
        <v>0</v>
      </c>
      <c r="G18" s="9">
        <f t="shared" si="16"/>
        <v>0</v>
      </c>
      <c r="H18">
        <v>0</v>
      </c>
      <c r="I18" s="9">
        <v>0</v>
      </c>
      <c r="J18">
        <v>0</v>
      </c>
      <c r="K18" s="9">
        <v>0</v>
      </c>
      <c r="M18" s="4">
        <f t="shared" si="75"/>
        <v>3500</v>
      </c>
      <c r="N18">
        <f t="shared" si="27"/>
        <v>674</v>
      </c>
      <c r="O18" s="9">
        <f t="shared" si="2"/>
        <v>2421.9712525667351</v>
      </c>
      <c r="P18">
        <f t="shared" si="28"/>
        <v>661</v>
      </c>
      <c r="Q18" s="9">
        <f t="shared" si="3"/>
        <v>2407.3881373569202</v>
      </c>
      <c r="R18">
        <v>0</v>
      </c>
      <c r="S18" s="9">
        <f t="shared" si="17"/>
        <v>0</v>
      </c>
      <c r="T18">
        <v>0</v>
      </c>
      <c r="U18" s="9">
        <v>0</v>
      </c>
      <c r="V18">
        <v>0</v>
      </c>
      <c r="W18" s="9">
        <v>0</v>
      </c>
      <c r="Y18" s="4">
        <f t="shared" si="76"/>
        <v>3500</v>
      </c>
      <c r="Z18">
        <f t="shared" si="31"/>
        <v>724</v>
      </c>
      <c r="AA18" s="9">
        <f t="shared" si="4"/>
        <v>2474.609375</v>
      </c>
      <c r="AB18">
        <f t="shared" si="32"/>
        <v>711</v>
      </c>
      <c r="AC18" s="9">
        <f t="shared" si="5"/>
        <v>2461.4243323442138</v>
      </c>
      <c r="AD18">
        <v>0</v>
      </c>
      <c r="AE18" s="9">
        <f t="shared" si="18"/>
        <v>0</v>
      </c>
      <c r="AF18">
        <v>0</v>
      </c>
      <c r="AG18" s="9">
        <v>0</v>
      </c>
      <c r="AH18">
        <v>0</v>
      </c>
      <c r="AI18" s="9">
        <v>0</v>
      </c>
      <c r="AK18" s="4">
        <f t="shared" si="77"/>
        <v>3500</v>
      </c>
      <c r="AL18">
        <f t="shared" si="35"/>
        <v>774</v>
      </c>
      <c r="AM18" s="9">
        <f t="shared" si="6"/>
        <v>2522.3463687150838</v>
      </c>
      <c r="AN18">
        <f t="shared" si="36"/>
        <v>761</v>
      </c>
      <c r="AO18" s="9">
        <f t="shared" si="7"/>
        <v>2510.3675777568333</v>
      </c>
      <c r="AP18">
        <f t="shared" si="37"/>
        <v>752</v>
      </c>
      <c r="AQ18" s="9">
        <f t="shared" si="19"/>
        <v>2501.9011406844106</v>
      </c>
      <c r="AR18">
        <v>0</v>
      </c>
      <c r="AS18" s="9">
        <f t="shared" si="38"/>
        <v>0</v>
      </c>
      <c r="AT18">
        <v>0</v>
      </c>
      <c r="AU18" s="9">
        <v>0</v>
      </c>
      <c r="AW18" s="4">
        <f t="shared" si="78"/>
        <v>3500</v>
      </c>
      <c r="AX18">
        <f t="shared" si="39"/>
        <v>674</v>
      </c>
      <c r="AY18" s="9">
        <f t="shared" si="8"/>
        <v>2421.9712525667351</v>
      </c>
      <c r="AZ18">
        <f t="shared" si="40"/>
        <v>661</v>
      </c>
      <c r="BA18" s="9">
        <f t="shared" si="9"/>
        <v>2407.3881373569202</v>
      </c>
      <c r="BB18">
        <f t="shared" si="41"/>
        <v>652</v>
      </c>
      <c r="BC18" s="9">
        <f t="shared" si="20"/>
        <v>2397.0588235294117</v>
      </c>
      <c r="BD18">
        <f t="shared" si="57"/>
        <v>645</v>
      </c>
      <c r="BE18" s="9">
        <f t="shared" si="42"/>
        <v>2388.8888888888891</v>
      </c>
      <c r="BF18">
        <v>0</v>
      </c>
      <c r="BG18" s="9">
        <f t="shared" si="61"/>
        <v>0</v>
      </c>
      <c r="BI18" s="4">
        <f t="shared" si="79"/>
        <v>3500</v>
      </c>
      <c r="BJ18">
        <f t="shared" si="43"/>
        <v>724</v>
      </c>
      <c r="BK18" s="9">
        <f t="shared" si="10"/>
        <v>2474.609375</v>
      </c>
      <c r="BL18">
        <f t="shared" si="44"/>
        <v>711</v>
      </c>
      <c r="BM18" s="9">
        <f t="shared" si="11"/>
        <v>2461.4243323442138</v>
      </c>
      <c r="BN18">
        <v>0</v>
      </c>
      <c r="BO18" s="9">
        <f t="shared" si="21"/>
        <v>0</v>
      </c>
      <c r="BP18">
        <v>0</v>
      </c>
      <c r="BQ18" s="9">
        <v>0</v>
      </c>
      <c r="BR18">
        <v>0</v>
      </c>
      <c r="BS18" s="9">
        <v>0</v>
      </c>
      <c r="BU18" s="4">
        <f t="shared" si="80"/>
        <v>3500</v>
      </c>
      <c r="BV18">
        <f t="shared" si="47"/>
        <v>774</v>
      </c>
      <c r="BW18" s="9">
        <f t="shared" si="12"/>
        <v>2522.3463687150838</v>
      </c>
      <c r="BX18">
        <f t="shared" si="48"/>
        <v>761</v>
      </c>
      <c r="BY18" s="9">
        <f t="shared" si="13"/>
        <v>2510.3675777568333</v>
      </c>
      <c r="BZ18">
        <f t="shared" si="49"/>
        <v>752</v>
      </c>
      <c r="CA18" s="9">
        <f t="shared" si="22"/>
        <v>2501.9011406844106</v>
      </c>
      <c r="CB18">
        <f t="shared" si="59"/>
        <v>745</v>
      </c>
      <c r="CC18" s="9">
        <f t="shared" si="50"/>
        <v>2495.2153110047848</v>
      </c>
      <c r="CD18">
        <f t="shared" si="66"/>
        <v>740</v>
      </c>
      <c r="CE18" s="9">
        <f t="shared" si="62"/>
        <v>2490.3846153846157</v>
      </c>
      <c r="CF18">
        <v>0</v>
      </c>
      <c r="CG18" s="9">
        <f t="shared" si="67"/>
        <v>0</v>
      </c>
      <c r="CI18" s="4">
        <f t="shared" si="81"/>
        <v>3500</v>
      </c>
      <c r="CJ18">
        <f t="shared" si="51"/>
        <v>724</v>
      </c>
      <c r="CK18" s="9">
        <f t="shared" si="14"/>
        <v>2474.609375</v>
      </c>
      <c r="CL18">
        <f t="shared" si="52"/>
        <v>714</v>
      </c>
      <c r="CM18" s="9">
        <f t="shared" si="15"/>
        <v>2464.4970414201184</v>
      </c>
      <c r="CN18">
        <f t="shared" si="60"/>
        <v>706</v>
      </c>
      <c r="CO18" s="9">
        <f t="shared" si="23"/>
        <v>2456.2624254473158</v>
      </c>
      <c r="CP18">
        <f t="shared" si="63"/>
        <v>700</v>
      </c>
      <c r="CQ18" s="9">
        <f t="shared" si="53"/>
        <v>2450</v>
      </c>
      <c r="CR18">
        <f t="shared" si="68"/>
        <v>690</v>
      </c>
      <c r="CS18" s="9">
        <f t="shared" si="64"/>
        <v>2439.3939393939395</v>
      </c>
      <c r="CT18">
        <f t="shared" si="72"/>
        <v>694</v>
      </c>
      <c r="CU18" s="9">
        <f t="shared" si="69"/>
        <v>2443.6619718309862</v>
      </c>
      <c r="CV18">
        <f t="shared" si="73"/>
        <v>718</v>
      </c>
      <c r="CW18" s="9">
        <f t="shared" si="70"/>
        <v>2468.5658153241648</v>
      </c>
    </row>
    <row r="19" spans="1:101" x14ac:dyDescent="0.25">
      <c r="A19">
        <v>4000</v>
      </c>
      <c r="B19">
        <v>0</v>
      </c>
      <c r="C19" s="9">
        <f t="shared" si="0"/>
        <v>0</v>
      </c>
      <c r="D19">
        <v>0</v>
      </c>
      <c r="E19">
        <v>0</v>
      </c>
      <c r="F19">
        <v>0</v>
      </c>
      <c r="G19">
        <v>0</v>
      </c>
      <c r="H19">
        <v>0</v>
      </c>
      <c r="I19" s="9">
        <v>0</v>
      </c>
      <c r="J19">
        <v>0</v>
      </c>
      <c r="K19" s="9">
        <v>0</v>
      </c>
      <c r="M19">
        <v>4000</v>
      </c>
      <c r="N19">
        <v>0</v>
      </c>
      <c r="O19" s="9">
        <f t="shared" si="2"/>
        <v>0</v>
      </c>
      <c r="P19">
        <v>0</v>
      </c>
      <c r="Q19">
        <v>0</v>
      </c>
      <c r="R19">
        <v>0</v>
      </c>
      <c r="S19">
        <v>0</v>
      </c>
      <c r="T19">
        <v>0</v>
      </c>
      <c r="U19" s="9">
        <v>0</v>
      </c>
      <c r="V19">
        <v>0</v>
      </c>
      <c r="W19" s="9">
        <v>0</v>
      </c>
      <c r="Y19">
        <v>4000</v>
      </c>
      <c r="Z19">
        <v>0</v>
      </c>
      <c r="AA19" s="9">
        <f t="shared" si="4"/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9">
        <v>0</v>
      </c>
      <c r="AH19">
        <v>0</v>
      </c>
      <c r="AI19" s="9">
        <v>0</v>
      </c>
      <c r="AK19">
        <v>4000</v>
      </c>
      <c r="AL19">
        <f t="shared" si="35"/>
        <v>772</v>
      </c>
      <c r="AM19" s="9">
        <f t="shared" si="6"/>
        <v>2880.5970149253731</v>
      </c>
      <c r="AN19">
        <f t="shared" si="36"/>
        <v>758</v>
      </c>
      <c r="AO19" s="9">
        <f t="shared" si="7"/>
        <v>2865.7844990548206</v>
      </c>
      <c r="AP19">
        <f t="shared" si="37"/>
        <v>748</v>
      </c>
      <c r="AQ19" s="9">
        <f t="shared" si="19"/>
        <v>2854.9618320610684</v>
      </c>
      <c r="AR19">
        <v>0</v>
      </c>
      <c r="AS19" s="9">
        <v>0</v>
      </c>
      <c r="AT19">
        <v>0</v>
      </c>
      <c r="AU19" s="9">
        <v>0</v>
      </c>
      <c r="AW19">
        <v>4000</v>
      </c>
      <c r="AX19">
        <f t="shared" si="39"/>
        <v>672</v>
      </c>
      <c r="AY19" s="9">
        <f t="shared" si="8"/>
        <v>2765.4320987654323</v>
      </c>
      <c r="AZ19">
        <f t="shared" si="40"/>
        <v>658</v>
      </c>
      <c r="BA19" s="9">
        <f t="shared" si="9"/>
        <v>2747.3903966597077</v>
      </c>
      <c r="BB19">
        <f t="shared" si="41"/>
        <v>648</v>
      </c>
      <c r="BC19" s="9">
        <f t="shared" si="20"/>
        <v>2734.1772151898731</v>
      </c>
      <c r="BD19">
        <f t="shared" si="57"/>
        <v>640</v>
      </c>
      <c r="BE19" s="9">
        <f t="shared" si="42"/>
        <v>2723.4042553191489</v>
      </c>
      <c r="BF19">
        <v>0</v>
      </c>
      <c r="BG19" s="9">
        <f t="shared" si="61"/>
        <v>0</v>
      </c>
      <c r="BI19">
        <v>4000</v>
      </c>
      <c r="BJ19">
        <v>0</v>
      </c>
      <c r="BK19" s="9">
        <f t="shared" si="10"/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 s="9">
        <v>0</v>
      </c>
      <c r="BR19">
        <v>0</v>
      </c>
      <c r="BS19" s="9">
        <v>0</v>
      </c>
      <c r="BU19">
        <v>4000</v>
      </c>
      <c r="BV19">
        <f t="shared" si="47"/>
        <v>772</v>
      </c>
      <c r="BW19" s="9">
        <f t="shared" si="12"/>
        <v>2880.5970149253731</v>
      </c>
      <c r="BX19">
        <f t="shared" si="48"/>
        <v>758</v>
      </c>
      <c r="BY19" s="9">
        <f t="shared" si="13"/>
        <v>2865.7844990548206</v>
      </c>
      <c r="BZ19">
        <f t="shared" si="49"/>
        <v>748</v>
      </c>
      <c r="CA19" s="9">
        <f t="shared" si="22"/>
        <v>2854.9618320610684</v>
      </c>
      <c r="CB19">
        <f t="shared" si="59"/>
        <v>740</v>
      </c>
      <c r="CC19" s="9">
        <f t="shared" si="50"/>
        <v>2846.1538461538462</v>
      </c>
      <c r="CD19">
        <f t="shared" si="66"/>
        <v>734</v>
      </c>
      <c r="CE19" s="9">
        <f t="shared" si="62"/>
        <v>2839.4584139264989</v>
      </c>
      <c r="CF19">
        <v>0</v>
      </c>
      <c r="CG19" s="9">
        <f t="shared" si="67"/>
        <v>0</v>
      </c>
      <c r="CI19">
        <v>4000</v>
      </c>
      <c r="CJ19">
        <f t="shared" si="51"/>
        <v>722</v>
      </c>
      <c r="CK19" s="9">
        <f t="shared" si="14"/>
        <v>2825.831702544031</v>
      </c>
      <c r="CL19">
        <f t="shared" si="52"/>
        <v>711</v>
      </c>
      <c r="CM19" s="9">
        <f t="shared" si="15"/>
        <v>2813.0563798219582</v>
      </c>
      <c r="CN19">
        <f t="shared" si="60"/>
        <v>702</v>
      </c>
      <c r="CO19" s="9">
        <f t="shared" si="23"/>
        <v>2802.3952095808381</v>
      </c>
      <c r="CP19">
        <f t="shared" si="63"/>
        <v>695</v>
      </c>
      <c r="CQ19" s="9">
        <f t="shared" si="53"/>
        <v>2793.9698492462317</v>
      </c>
      <c r="CR19">
        <f t="shared" si="68"/>
        <v>684</v>
      </c>
      <c r="CS19" s="9">
        <f t="shared" si="64"/>
        <v>2780.4878048780492</v>
      </c>
      <c r="CT19">
        <f t="shared" si="72"/>
        <v>687</v>
      </c>
      <c r="CU19" s="9">
        <f t="shared" si="69"/>
        <v>2784.19452887538</v>
      </c>
      <c r="CV19">
        <f t="shared" si="73"/>
        <v>710</v>
      </c>
      <c r="CW19" s="9">
        <f t="shared" si="70"/>
        <v>2811.8811881188121</v>
      </c>
    </row>
    <row r="20" spans="1:101" x14ac:dyDescent="0.25">
      <c r="A20">
        <v>4500</v>
      </c>
      <c r="B20">
        <v>0</v>
      </c>
      <c r="C20" s="9">
        <f t="shared" si="0"/>
        <v>0</v>
      </c>
      <c r="D20">
        <v>0</v>
      </c>
      <c r="E20">
        <v>0</v>
      </c>
      <c r="F20">
        <v>0</v>
      </c>
      <c r="G20">
        <v>0</v>
      </c>
      <c r="H20">
        <v>0</v>
      </c>
      <c r="I20" s="9">
        <v>0</v>
      </c>
      <c r="J20">
        <v>0</v>
      </c>
      <c r="K20" s="9">
        <v>0</v>
      </c>
      <c r="M20">
        <v>4500</v>
      </c>
      <c r="N20">
        <v>0</v>
      </c>
      <c r="O20" s="9">
        <f t="shared" si="2"/>
        <v>0</v>
      </c>
      <c r="P20">
        <v>0</v>
      </c>
      <c r="Q20">
        <v>0</v>
      </c>
      <c r="R20">
        <v>0</v>
      </c>
      <c r="S20">
        <v>0</v>
      </c>
      <c r="T20">
        <v>0</v>
      </c>
      <c r="U20" s="9">
        <v>0</v>
      </c>
      <c r="V20">
        <v>0</v>
      </c>
      <c r="W20" s="9">
        <v>0</v>
      </c>
      <c r="Y20">
        <v>4500</v>
      </c>
      <c r="Z20">
        <v>0</v>
      </c>
      <c r="AA20" s="9">
        <f t="shared" si="4"/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9">
        <v>0</v>
      </c>
      <c r="AH20">
        <v>0</v>
      </c>
      <c r="AI20" s="9">
        <v>0</v>
      </c>
      <c r="AK20">
        <v>4500</v>
      </c>
      <c r="AL20">
        <f t="shared" si="35"/>
        <v>770</v>
      </c>
      <c r="AM20" s="9">
        <f t="shared" si="6"/>
        <v>3238.3177570093458</v>
      </c>
      <c r="AN20">
        <f t="shared" si="36"/>
        <v>755</v>
      </c>
      <c r="AO20" s="9">
        <f t="shared" si="7"/>
        <v>3220.3791469194316</v>
      </c>
      <c r="AP20">
        <v>0</v>
      </c>
      <c r="AQ20" s="9">
        <f t="shared" si="19"/>
        <v>0</v>
      </c>
      <c r="AR20">
        <v>0</v>
      </c>
      <c r="AS20" s="9">
        <v>0</v>
      </c>
      <c r="AT20">
        <v>0</v>
      </c>
      <c r="AU20" s="9">
        <v>0</v>
      </c>
      <c r="AW20">
        <v>4500</v>
      </c>
      <c r="AX20">
        <f t="shared" si="39"/>
        <v>670</v>
      </c>
      <c r="AY20" s="9">
        <f t="shared" si="8"/>
        <v>3108.2474226804125</v>
      </c>
      <c r="AZ20">
        <f t="shared" si="40"/>
        <v>655</v>
      </c>
      <c r="BA20" s="9">
        <f t="shared" si="9"/>
        <v>3086.3874345549743</v>
      </c>
      <c r="BB20">
        <f t="shared" si="41"/>
        <v>644</v>
      </c>
      <c r="BC20" s="9">
        <f t="shared" si="20"/>
        <v>3069.9152542372881</v>
      </c>
      <c r="BD20">
        <f t="shared" si="57"/>
        <v>635</v>
      </c>
      <c r="BE20" s="9">
        <f t="shared" si="42"/>
        <v>3056.1497326203207</v>
      </c>
      <c r="BF20">
        <v>0</v>
      </c>
      <c r="BG20" s="9">
        <f t="shared" si="61"/>
        <v>0</v>
      </c>
      <c r="BI20">
        <v>4500</v>
      </c>
      <c r="BJ20">
        <v>0</v>
      </c>
      <c r="BK20" s="9">
        <f t="shared" si="10"/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 s="9">
        <v>0</v>
      </c>
      <c r="BR20">
        <v>0</v>
      </c>
      <c r="BS20" s="9">
        <v>0</v>
      </c>
      <c r="BU20">
        <v>4500</v>
      </c>
      <c r="BV20">
        <f t="shared" si="47"/>
        <v>770</v>
      </c>
      <c r="BW20" s="9">
        <f t="shared" si="12"/>
        <v>3238.3177570093458</v>
      </c>
      <c r="BX20">
        <f t="shared" si="48"/>
        <v>755</v>
      </c>
      <c r="BY20" s="9">
        <f t="shared" si="13"/>
        <v>3220.3791469194316</v>
      </c>
      <c r="BZ20">
        <f t="shared" si="49"/>
        <v>744</v>
      </c>
      <c r="CA20" s="9">
        <f t="shared" si="22"/>
        <v>3206.8965517241377</v>
      </c>
      <c r="CB20">
        <f t="shared" si="59"/>
        <v>735</v>
      </c>
      <c r="CC20" s="9">
        <f t="shared" si="50"/>
        <v>3195.6521739130435</v>
      </c>
      <c r="CD20">
        <f t="shared" si="66"/>
        <v>728</v>
      </c>
      <c r="CE20" s="9">
        <f t="shared" si="62"/>
        <v>3186.7704280155644</v>
      </c>
      <c r="CF20">
        <v>0</v>
      </c>
      <c r="CG20" s="9">
        <f t="shared" si="67"/>
        <v>0</v>
      </c>
      <c r="CI20">
        <v>4500</v>
      </c>
      <c r="CJ20">
        <f t="shared" si="51"/>
        <v>720</v>
      </c>
      <c r="CK20" s="9">
        <f t="shared" si="14"/>
        <v>3176.4705882352941</v>
      </c>
      <c r="CL20">
        <f t="shared" si="52"/>
        <v>708</v>
      </c>
      <c r="CM20" s="9">
        <f t="shared" si="15"/>
        <v>3160.7142857142853</v>
      </c>
      <c r="CN20">
        <f t="shared" si="60"/>
        <v>698</v>
      </c>
      <c r="CO20" s="9">
        <f t="shared" si="23"/>
        <v>3147.2945891783565</v>
      </c>
      <c r="CP20">
        <f t="shared" si="63"/>
        <v>690</v>
      </c>
      <c r="CQ20" s="9">
        <f t="shared" si="53"/>
        <v>3136.3636363636365</v>
      </c>
      <c r="CR20">
        <f t="shared" si="68"/>
        <v>678</v>
      </c>
      <c r="CS20" s="9">
        <f t="shared" si="64"/>
        <v>3119.6319018404911</v>
      </c>
      <c r="CT20">
        <f t="shared" si="72"/>
        <v>680</v>
      </c>
      <c r="CU20" s="9">
        <f t="shared" si="69"/>
        <v>3122.4489795918371</v>
      </c>
      <c r="CV20">
        <f t="shared" si="73"/>
        <v>702</v>
      </c>
      <c r="CW20" s="9">
        <f t="shared" si="70"/>
        <v>3152.6946107784429</v>
      </c>
    </row>
    <row r="21" spans="1:101" x14ac:dyDescent="0.25">
      <c r="A21">
        <v>5000</v>
      </c>
      <c r="B21">
        <v>0</v>
      </c>
      <c r="C21" s="9">
        <f t="shared" si="0"/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9">
        <v>0</v>
      </c>
      <c r="J21">
        <v>0</v>
      </c>
      <c r="K21" s="9">
        <v>0</v>
      </c>
      <c r="M21">
        <v>5000</v>
      </c>
      <c r="N21">
        <v>0</v>
      </c>
      <c r="O21" s="9">
        <f t="shared" si="2"/>
        <v>0</v>
      </c>
      <c r="P21">
        <v>0</v>
      </c>
      <c r="Q21">
        <v>0</v>
      </c>
      <c r="R21">
        <v>0</v>
      </c>
      <c r="S21">
        <v>0</v>
      </c>
      <c r="T21">
        <v>0</v>
      </c>
      <c r="U21" s="9">
        <v>0</v>
      </c>
      <c r="V21">
        <v>0</v>
      </c>
      <c r="W21" s="9">
        <v>0</v>
      </c>
      <c r="Y21">
        <v>5000</v>
      </c>
      <c r="Z21">
        <v>0</v>
      </c>
      <c r="AA21" s="9">
        <f t="shared" si="4"/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9">
        <v>0</v>
      </c>
      <c r="AH21">
        <v>0</v>
      </c>
      <c r="AI21" s="9">
        <v>0</v>
      </c>
      <c r="AK21">
        <v>5000</v>
      </c>
      <c r="AL21">
        <v>0</v>
      </c>
      <c r="AM21" s="9">
        <f t="shared" si="6"/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s="9">
        <v>0</v>
      </c>
      <c r="AT21">
        <v>0</v>
      </c>
      <c r="AU21" s="9">
        <v>0</v>
      </c>
      <c r="AW21">
        <v>5000</v>
      </c>
      <c r="AX21">
        <f t="shared" si="39"/>
        <v>668</v>
      </c>
      <c r="AY21" s="9">
        <f t="shared" si="8"/>
        <v>3450.413223140496</v>
      </c>
      <c r="AZ21">
        <f t="shared" si="40"/>
        <v>652</v>
      </c>
      <c r="BA21" s="9">
        <f t="shared" si="9"/>
        <v>3424.3697478991594</v>
      </c>
      <c r="BB21">
        <f t="shared" si="41"/>
        <v>640</v>
      </c>
      <c r="BC21" s="9">
        <f t="shared" si="20"/>
        <v>3404.2553191489365</v>
      </c>
      <c r="BD21">
        <f t="shared" si="57"/>
        <v>630</v>
      </c>
      <c r="BE21" s="9">
        <f t="shared" si="42"/>
        <v>3387.0967741935483</v>
      </c>
      <c r="BF21">
        <v>0</v>
      </c>
      <c r="BG21" s="9">
        <v>0</v>
      </c>
      <c r="BI21">
        <v>5000</v>
      </c>
      <c r="BJ21">
        <v>0</v>
      </c>
      <c r="BK21" s="9">
        <f t="shared" si="10"/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 s="9">
        <v>0</v>
      </c>
      <c r="BR21">
        <v>0</v>
      </c>
      <c r="BS21" s="9">
        <v>0</v>
      </c>
      <c r="BU21">
        <v>5000</v>
      </c>
      <c r="BV21">
        <f t="shared" si="47"/>
        <v>768</v>
      </c>
      <c r="BW21" s="9">
        <f t="shared" si="12"/>
        <v>3595.5056179775283</v>
      </c>
      <c r="BX21">
        <f t="shared" si="48"/>
        <v>752</v>
      </c>
      <c r="BY21" s="9">
        <f t="shared" si="13"/>
        <v>3574.1444866920151</v>
      </c>
      <c r="BZ21">
        <f t="shared" si="49"/>
        <v>740</v>
      </c>
      <c r="CA21" s="9">
        <f t="shared" si="22"/>
        <v>3557.6923076923081</v>
      </c>
      <c r="CB21">
        <f t="shared" si="59"/>
        <v>730</v>
      </c>
      <c r="CC21" s="9">
        <f t="shared" si="50"/>
        <v>3543.6893203883492</v>
      </c>
      <c r="CD21">
        <f t="shared" si="66"/>
        <v>722</v>
      </c>
      <c r="CE21" s="9">
        <f t="shared" si="62"/>
        <v>3532.289628180039</v>
      </c>
      <c r="CF21">
        <v>0</v>
      </c>
      <c r="CG21" s="9">
        <f t="shared" si="67"/>
        <v>0</v>
      </c>
      <c r="CI21">
        <v>5000</v>
      </c>
      <c r="CJ21">
        <f t="shared" si="51"/>
        <v>718</v>
      </c>
      <c r="CK21" s="9">
        <f t="shared" si="14"/>
        <v>3526.5225933202355</v>
      </c>
      <c r="CL21">
        <f t="shared" si="52"/>
        <v>705</v>
      </c>
      <c r="CM21" s="9">
        <f t="shared" si="15"/>
        <v>3507.4626865671639</v>
      </c>
      <c r="CN21">
        <f t="shared" si="60"/>
        <v>694</v>
      </c>
      <c r="CO21" s="9">
        <f t="shared" si="23"/>
        <v>3490.9456740442661</v>
      </c>
      <c r="CP21">
        <f t="shared" si="63"/>
        <v>685</v>
      </c>
      <c r="CQ21" s="9">
        <f t="shared" si="53"/>
        <v>3477.1573604060914</v>
      </c>
      <c r="CR21">
        <f t="shared" si="68"/>
        <v>672</v>
      </c>
      <c r="CS21" s="9">
        <f t="shared" si="64"/>
        <v>3456.7901234567903</v>
      </c>
      <c r="CT21">
        <f t="shared" si="72"/>
        <v>673</v>
      </c>
      <c r="CU21" s="9">
        <f t="shared" si="69"/>
        <v>3458.3761562178829</v>
      </c>
      <c r="CV21">
        <f t="shared" si="73"/>
        <v>694</v>
      </c>
      <c r="CW21" s="9">
        <f t="shared" si="70"/>
        <v>3490.9456740442661</v>
      </c>
    </row>
    <row r="22" spans="1:101" x14ac:dyDescent="0.25">
      <c r="A22">
        <v>5500</v>
      </c>
      <c r="B22">
        <v>0</v>
      </c>
      <c r="C22" s="9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9">
        <v>0</v>
      </c>
      <c r="J22">
        <v>0</v>
      </c>
      <c r="K22" s="9">
        <v>0</v>
      </c>
      <c r="M22" s="9">
        <v>5500</v>
      </c>
      <c r="N22">
        <v>0</v>
      </c>
      <c r="O22" s="9">
        <v>0</v>
      </c>
      <c r="P22">
        <v>0</v>
      </c>
      <c r="Q22" s="9">
        <v>0</v>
      </c>
      <c r="R22">
        <v>0</v>
      </c>
      <c r="S22" s="9">
        <v>0</v>
      </c>
      <c r="T22">
        <v>0</v>
      </c>
      <c r="U22" s="9">
        <v>0</v>
      </c>
      <c r="V22">
        <v>0</v>
      </c>
      <c r="W22" s="9">
        <v>0</v>
      </c>
      <c r="Y22" s="9">
        <v>5500</v>
      </c>
      <c r="Z22">
        <v>0</v>
      </c>
      <c r="AA22" s="9">
        <v>0</v>
      </c>
      <c r="AB22">
        <v>0</v>
      </c>
      <c r="AC22" s="9">
        <v>0</v>
      </c>
      <c r="AD22">
        <v>0</v>
      </c>
      <c r="AE22" s="9">
        <v>0</v>
      </c>
      <c r="AF22">
        <v>0</v>
      </c>
      <c r="AG22" s="9">
        <v>0</v>
      </c>
      <c r="AH22">
        <v>0</v>
      </c>
      <c r="AI22" s="9">
        <v>0</v>
      </c>
      <c r="AK22" s="9">
        <v>5500</v>
      </c>
      <c r="AL22">
        <v>0</v>
      </c>
      <c r="AM22" s="9">
        <v>0</v>
      </c>
      <c r="AN22">
        <v>0</v>
      </c>
      <c r="AO22" s="9">
        <v>0</v>
      </c>
      <c r="AP22">
        <v>0</v>
      </c>
      <c r="AQ22" s="9">
        <v>0</v>
      </c>
      <c r="AR22">
        <v>0</v>
      </c>
      <c r="AS22" s="9">
        <v>0</v>
      </c>
      <c r="AT22">
        <v>0</v>
      </c>
      <c r="AU22" s="9">
        <v>0</v>
      </c>
      <c r="AW22" s="9">
        <v>5500</v>
      </c>
      <c r="AX22">
        <f t="shared" si="39"/>
        <v>666</v>
      </c>
      <c r="AY22" s="9">
        <f t="shared" si="8"/>
        <v>3791.9254658385098</v>
      </c>
      <c r="AZ22">
        <f t="shared" si="40"/>
        <v>649</v>
      </c>
      <c r="BA22" s="9">
        <f t="shared" si="9"/>
        <v>3761.3277133825077</v>
      </c>
      <c r="BB22">
        <f t="shared" si="41"/>
        <v>636</v>
      </c>
      <c r="BC22" s="9">
        <f t="shared" si="20"/>
        <v>3737.1794871794878</v>
      </c>
      <c r="BD22">
        <v>0</v>
      </c>
      <c r="BE22" s="9">
        <f t="shared" si="42"/>
        <v>0</v>
      </c>
      <c r="BF22">
        <v>0</v>
      </c>
      <c r="BG22" s="9">
        <v>0</v>
      </c>
      <c r="BI22" s="9">
        <v>5500</v>
      </c>
      <c r="BJ22">
        <v>0</v>
      </c>
      <c r="BK22" s="9">
        <v>0</v>
      </c>
      <c r="BL22">
        <v>0</v>
      </c>
      <c r="BM22" s="9">
        <v>0</v>
      </c>
      <c r="BN22">
        <v>0</v>
      </c>
      <c r="BO22" s="9">
        <v>0</v>
      </c>
      <c r="BP22">
        <v>0</v>
      </c>
      <c r="BQ22" s="9">
        <v>0</v>
      </c>
      <c r="BR22">
        <v>0</v>
      </c>
      <c r="BS22" s="9">
        <v>0</v>
      </c>
      <c r="BU22" s="9">
        <v>5500</v>
      </c>
      <c r="BV22">
        <f t="shared" si="47"/>
        <v>766</v>
      </c>
      <c r="BW22" s="9">
        <f t="shared" si="12"/>
        <v>3952.1575984990618</v>
      </c>
      <c r="BX22">
        <f t="shared" si="48"/>
        <v>749</v>
      </c>
      <c r="BY22" s="9">
        <f t="shared" si="13"/>
        <v>3927.0734032411819</v>
      </c>
      <c r="BZ22">
        <f t="shared" si="49"/>
        <v>736</v>
      </c>
      <c r="CA22" s="9">
        <f t="shared" si="22"/>
        <v>3907.3359073359075</v>
      </c>
      <c r="CB22">
        <f t="shared" si="59"/>
        <v>725</v>
      </c>
      <c r="CC22" s="9">
        <f t="shared" si="50"/>
        <v>3890.2439024390242</v>
      </c>
      <c r="CD22">
        <f t="shared" si="66"/>
        <v>716</v>
      </c>
      <c r="CE22" s="9">
        <f t="shared" si="62"/>
        <v>3875.9842519685039</v>
      </c>
      <c r="CF22">
        <v>0</v>
      </c>
      <c r="CG22" s="9">
        <f t="shared" si="67"/>
        <v>0</v>
      </c>
      <c r="CI22" s="9">
        <v>5500</v>
      </c>
      <c r="CJ22">
        <f t="shared" si="51"/>
        <v>716</v>
      </c>
      <c r="CK22" s="9">
        <f t="shared" si="14"/>
        <v>3875.9842519685039</v>
      </c>
      <c r="CL22">
        <f t="shared" si="52"/>
        <v>702</v>
      </c>
      <c r="CM22" s="9">
        <f t="shared" si="15"/>
        <v>3853.2934131736524</v>
      </c>
      <c r="CN22">
        <f t="shared" si="60"/>
        <v>690</v>
      </c>
      <c r="CO22" s="9">
        <f t="shared" si="23"/>
        <v>3833.3333333333335</v>
      </c>
      <c r="CP22">
        <f t="shared" si="63"/>
        <v>680</v>
      </c>
      <c r="CQ22" s="9">
        <f t="shared" si="53"/>
        <v>3816.3265306122453</v>
      </c>
      <c r="CR22">
        <f t="shared" si="68"/>
        <v>666</v>
      </c>
      <c r="CS22" s="9">
        <f t="shared" si="64"/>
        <v>3791.9254658385098</v>
      </c>
      <c r="CT22">
        <f t="shared" si="72"/>
        <v>666</v>
      </c>
      <c r="CU22" s="9">
        <f t="shared" si="69"/>
        <v>3791.9254658385098</v>
      </c>
      <c r="CV22">
        <f t="shared" si="73"/>
        <v>686</v>
      </c>
      <c r="CW22" s="9">
        <f t="shared" si="70"/>
        <v>3826.5720081135901</v>
      </c>
    </row>
    <row r="23" spans="1:101" x14ac:dyDescent="0.25">
      <c r="A23">
        <v>6000</v>
      </c>
      <c r="B23">
        <v>0</v>
      </c>
      <c r="C23" s="9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9">
        <v>0</v>
      </c>
      <c r="J23">
        <v>0</v>
      </c>
      <c r="K23" s="9">
        <v>0</v>
      </c>
      <c r="M23" s="9">
        <v>6000</v>
      </c>
      <c r="N23">
        <v>0</v>
      </c>
      <c r="O23" s="9">
        <v>0</v>
      </c>
      <c r="P23">
        <v>0</v>
      </c>
      <c r="Q23" s="9">
        <v>0</v>
      </c>
      <c r="R23">
        <v>0</v>
      </c>
      <c r="S23" s="9">
        <v>0</v>
      </c>
      <c r="T23">
        <v>0</v>
      </c>
      <c r="U23" s="9">
        <v>0</v>
      </c>
      <c r="V23">
        <v>0</v>
      </c>
      <c r="W23" s="9">
        <v>0</v>
      </c>
      <c r="Y23" s="9">
        <v>6000</v>
      </c>
      <c r="Z23">
        <v>0</v>
      </c>
      <c r="AA23" s="9">
        <v>0</v>
      </c>
      <c r="AB23">
        <v>0</v>
      </c>
      <c r="AC23" s="9">
        <v>0</v>
      </c>
      <c r="AD23">
        <v>0</v>
      </c>
      <c r="AE23" s="9">
        <v>0</v>
      </c>
      <c r="AF23">
        <v>0</v>
      </c>
      <c r="AG23" s="9">
        <v>0</v>
      </c>
      <c r="AH23">
        <v>0</v>
      </c>
      <c r="AI23" s="9">
        <v>0</v>
      </c>
      <c r="AK23" s="9">
        <v>6000</v>
      </c>
      <c r="AL23">
        <v>0</v>
      </c>
      <c r="AM23" s="9">
        <v>0</v>
      </c>
      <c r="AN23">
        <v>0</v>
      </c>
      <c r="AO23" s="9">
        <v>0</v>
      </c>
      <c r="AP23">
        <v>0</v>
      </c>
      <c r="AQ23" s="9">
        <v>0</v>
      </c>
      <c r="AR23">
        <v>0</v>
      </c>
      <c r="AS23" s="9">
        <v>0</v>
      </c>
      <c r="AT23">
        <v>0</v>
      </c>
      <c r="AU23" s="9">
        <v>0</v>
      </c>
      <c r="AW23" s="9">
        <v>6000</v>
      </c>
      <c r="AX23">
        <v>0</v>
      </c>
      <c r="AY23" s="9">
        <v>0</v>
      </c>
      <c r="AZ23">
        <v>0</v>
      </c>
      <c r="BA23" s="9">
        <v>0</v>
      </c>
      <c r="BB23">
        <v>0</v>
      </c>
      <c r="BC23" s="9">
        <v>0</v>
      </c>
      <c r="BD23">
        <v>0</v>
      </c>
      <c r="BE23" s="9">
        <v>0</v>
      </c>
      <c r="BF23">
        <v>0</v>
      </c>
      <c r="BG23" s="9">
        <v>0</v>
      </c>
      <c r="BI23" s="9">
        <v>6000</v>
      </c>
      <c r="BJ23">
        <v>0</v>
      </c>
      <c r="BK23" s="9">
        <v>0</v>
      </c>
      <c r="BL23">
        <v>0</v>
      </c>
      <c r="BM23" s="9">
        <v>0</v>
      </c>
      <c r="BN23">
        <v>0</v>
      </c>
      <c r="BO23" s="9">
        <v>0</v>
      </c>
      <c r="BP23">
        <v>0</v>
      </c>
      <c r="BQ23" s="9">
        <v>0</v>
      </c>
      <c r="BR23">
        <v>0</v>
      </c>
      <c r="BS23" s="9">
        <v>0</v>
      </c>
      <c r="BU23" s="9">
        <v>6000</v>
      </c>
      <c r="BV23">
        <f t="shared" si="47"/>
        <v>764</v>
      </c>
      <c r="BW23" s="9">
        <f t="shared" si="12"/>
        <v>4308.270676691729</v>
      </c>
      <c r="BX23">
        <f t="shared" si="48"/>
        <v>746</v>
      </c>
      <c r="BY23" s="9">
        <f t="shared" si="13"/>
        <v>4279.1586998087951</v>
      </c>
      <c r="BZ23">
        <f t="shared" si="49"/>
        <v>732</v>
      </c>
      <c r="CA23" s="9">
        <f t="shared" si="22"/>
        <v>4255.8139534883721</v>
      </c>
      <c r="CB23">
        <f t="shared" si="59"/>
        <v>720</v>
      </c>
      <c r="CC23" s="9">
        <f t="shared" si="50"/>
        <v>4235.2941176470586</v>
      </c>
      <c r="CD23">
        <f t="shared" si="66"/>
        <v>710</v>
      </c>
      <c r="CE23" s="9">
        <f t="shared" si="62"/>
        <v>4217.8217821782182</v>
      </c>
      <c r="CF23">
        <v>0</v>
      </c>
      <c r="CG23" s="9">
        <f t="shared" si="67"/>
        <v>0</v>
      </c>
      <c r="CI23" s="9">
        <v>6000</v>
      </c>
      <c r="CJ23">
        <f t="shared" si="51"/>
        <v>714</v>
      </c>
      <c r="CK23" s="9">
        <f t="shared" si="14"/>
        <v>4224.8520710059174</v>
      </c>
      <c r="CL23">
        <f t="shared" si="52"/>
        <v>699</v>
      </c>
      <c r="CM23" s="9">
        <f t="shared" si="15"/>
        <v>4198.198198198198</v>
      </c>
      <c r="CN23">
        <f t="shared" si="60"/>
        <v>686</v>
      </c>
      <c r="CO23" s="9">
        <f t="shared" si="23"/>
        <v>4174.4421906693715</v>
      </c>
      <c r="CP23">
        <f t="shared" si="63"/>
        <v>675</v>
      </c>
      <c r="CQ23" s="9">
        <f t="shared" si="53"/>
        <v>4153.8461538461543</v>
      </c>
      <c r="CR23">
        <f t="shared" si="68"/>
        <v>660</v>
      </c>
      <c r="CS23" s="9">
        <f t="shared" si="64"/>
        <v>4125</v>
      </c>
      <c r="CT23">
        <f t="shared" si="72"/>
        <v>659</v>
      </c>
      <c r="CU23" s="9">
        <f t="shared" si="69"/>
        <v>4123.0448383733055</v>
      </c>
      <c r="CV23">
        <f t="shared" si="73"/>
        <v>678</v>
      </c>
      <c r="CW23" s="9">
        <f t="shared" si="70"/>
        <v>4159.5092024539881</v>
      </c>
    </row>
    <row r="24" spans="1:101" x14ac:dyDescent="0.25">
      <c r="A24">
        <v>6500</v>
      </c>
      <c r="B24">
        <v>0</v>
      </c>
      <c r="C24" s="9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9">
        <v>0</v>
      </c>
      <c r="J24">
        <v>0</v>
      </c>
      <c r="K24" s="9">
        <v>0</v>
      </c>
      <c r="M24" s="9">
        <v>6500</v>
      </c>
      <c r="N24">
        <v>0</v>
      </c>
      <c r="O24" s="9">
        <v>0</v>
      </c>
      <c r="P24">
        <v>0</v>
      </c>
      <c r="Q24" s="9">
        <v>0</v>
      </c>
      <c r="R24">
        <v>0</v>
      </c>
      <c r="S24" s="9">
        <v>0</v>
      </c>
      <c r="T24">
        <v>0</v>
      </c>
      <c r="U24" s="9">
        <v>0</v>
      </c>
      <c r="V24">
        <v>0</v>
      </c>
      <c r="W24" s="9">
        <v>0</v>
      </c>
      <c r="Y24" s="9">
        <v>6500</v>
      </c>
      <c r="Z24">
        <v>0</v>
      </c>
      <c r="AA24" s="9">
        <v>0</v>
      </c>
      <c r="AB24">
        <v>0</v>
      </c>
      <c r="AC24" s="9">
        <v>0</v>
      </c>
      <c r="AD24">
        <v>0</v>
      </c>
      <c r="AE24" s="9">
        <v>0</v>
      </c>
      <c r="AF24">
        <v>0</v>
      </c>
      <c r="AG24" s="9">
        <v>0</v>
      </c>
      <c r="AH24">
        <v>0</v>
      </c>
      <c r="AI24" s="9">
        <v>0</v>
      </c>
      <c r="AK24" s="9">
        <v>6500</v>
      </c>
      <c r="AL24">
        <v>0</v>
      </c>
      <c r="AM24" s="9">
        <v>0</v>
      </c>
      <c r="AN24">
        <v>0</v>
      </c>
      <c r="AO24" s="9">
        <v>0</v>
      </c>
      <c r="AP24">
        <v>0</v>
      </c>
      <c r="AQ24" s="9">
        <v>0</v>
      </c>
      <c r="AR24">
        <v>0</v>
      </c>
      <c r="AS24" s="9">
        <v>0</v>
      </c>
      <c r="AT24">
        <v>0</v>
      </c>
      <c r="AU24" s="9">
        <v>0</v>
      </c>
      <c r="AW24" s="9">
        <v>6500</v>
      </c>
      <c r="AX24">
        <v>0</v>
      </c>
      <c r="AY24" s="9">
        <v>0</v>
      </c>
      <c r="AZ24">
        <v>0</v>
      </c>
      <c r="BA24" s="9">
        <v>0</v>
      </c>
      <c r="BB24">
        <v>0</v>
      </c>
      <c r="BC24" s="9">
        <v>0</v>
      </c>
      <c r="BD24">
        <v>0</v>
      </c>
      <c r="BE24" s="9">
        <v>0</v>
      </c>
      <c r="BF24">
        <v>0</v>
      </c>
      <c r="BG24" s="9">
        <v>0</v>
      </c>
      <c r="BI24" s="9">
        <v>6500</v>
      </c>
      <c r="BJ24">
        <v>0</v>
      </c>
      <c r="BK24" s="9">
        <v>0</v>
      </c>
      <c r="BL24">
        <v>0</v>
      </c>
      <c r="BM24" s="9">
        <v>0</v>
      </c>
      <c r="BN24">
        <v>0</v>
      </c>
      <c r="BO24" s="9">
        <v>0</v>
      </c>
      <c r="BP24">
        <v>0</v>
      </c>
      <c r="BQ24" s="9">
        <v>0</v>
      </c>
      <c r="BR24">
        <v>0</v>
      </c>
      <c r="BS24" s="9">
        <v>0</v>
      </c>
      <c r="BU24" s="9">
        <v>6500</v>
      </c>
      <c r="BV24">
        <f t="shared" si="47"/>
        <v>762</v>
      </c>
      <c r="BW24" s="9">
        <f t="shared" si="12"/>
        <v>4663.8418079096045</v>
      </c>
      <c r="BX24">
        <f t="shared" si="48"/>
        <v>743</v>
      </c>
      <c r="BY24" s="9">
        <f t="shared" si="13"/>
        <v>4630.3930968360492</v>
      </c>
      <c r="BZ24">
        <f t="shared" si="49"/>
        <v>728</v>
      </c>
      <c r="CA24" s="9">
        <f t="shared" si="22"/>
        <v>4603.1128404669262</v>
      </c>
      <c r="CB24">
        <f t="shared" si="59"/>
        <v>715</v>
      </c>
      <c r="CC24" s="9">
        <f t="shared" si="50"/>
        <v>4578.8177339901476</v>
      </c>
      <c r="CD24">
        <f t="shared" si="66"/>
        <v>704</v>
      </c>
      <c r="CE24" s="9">
        <f t="shared" si="62"/>
        <v>4557.7689243027889</v>
      </c>
      <c r="CF24">
        <v>0</v>
      </c>
      <c r="CG24" s="9">
        <f t="shared" si="67"/>
        <v>0</v>
      </c>
      <c r="CI24" s="9">
        <v>6500</v>
      </c>
      <c r="CJ24">
        <f t="shared" si="51"/>
        <v>712</v>
      </c>
      <c r="CK24" s="9">
        <f t="shared" si="14"/>
        <v>4573.1225296442681</v>
      </c>
      <c r="CL24">
        <f t="shared" si="52"/>
        <v>696</v>
      </c>
      <c r="CM24" s="9">
        <f t="shared" si="15"/>
        <v>4542.1686746987943</v>
      </c>
      <c r="CN24">
        <f t="shared" si="60"/>
        <v>682</v>
      </c>
      <c r="CO24" s="9">
        <f t="shared" si="23"/>
        <v>4514.2566191446022</v>
      </c>
      <c r="CP24">
        <f t="shared" si="63"/>
        <v>670</v>
      </c>
      <c r="CQ24" s="9">
        <f t="shared" si="53"/>
        <v>4489.6907216494847</v>
      </c>
      <c r="CR24">
        <f t="shared" si="68"/>
        <v>654</v>
      </c>
      <c r="CS24" s="9">
        <f t="shared" si="64"/>
        <v>4455.9748427672957</v>
      </c>
      <c r="CT24">
        <f t="shared" si="72"/>
        <v>652</v>
      </c>
      <c r="CU24" s="9">
        <f t="shared" si="69"/>
        <v>4451.6806722689071</v>
      </c>
      <c r="CV24">
        <f t="shared" si="73"/>
        <v>670</v>
      </c>
      <c r="CW24" s="9">
        <f t="shared" si="70"/>
        <v>4489.6907216494847</v>
      </c>
    </row>
    <row r="25" spans="1:101" x14ac:dyDescent="0.25">
      <c r="A25">
        <v>7000</v>
      </c>
      <c r="B25">
        <v>0</v>
      </c>
      <c r="C25" s="9">
        <v>0</v>
      </c>
      <c r="D25">
        <v>0</v>
      </c>
      <c r="E25" s="9">
        <v>0</v>
      </c>
      <c r="F25">
        <v>0</v>
      </c>
      <c r="G25" s="9">
        <v>0</v>
      </c>
      <c r="H25">
        <v>0</v>
      </c>
      <c r="I25" s="9">
        <v>0</v>
      </c>
      <c r="J25">
        <v>0</v>
      </c>
      <c r="K25" s="9">
        <v>0</v>
      </c>
      <c r="M25" s="9">
        <v>7000</v>
      </c>
      <c r="N25">
        <v>0</v>
      </c>
      <c r="O25" s="9">
        <v>0</v>
      </c>
      <c r="P25">
        <v>0</v>
      </c>
      <c r="Q25" s="9">
        <v>0</v>
      </c>
      <c r="R25">
        <v>0</v>
      </c>
      <c r="S25" s="9">
        <v>0</v>
      </c>
      <c r="T25">
        <v>0</v>
      </c>
      <c r="U25" s="9">
        <v>0</v>
      </c>
      <c r="V25">
        <v>0</v>
      </c>
      <c r="W25" s="9">
        <v>0</v>
      </c>
      <c r="Y25" s="9">
        <v>7000</v>
      </c>
      <c r="Z25">
        <v>0</v>
      </c>
      <c r="AA25" s="9">
        <v>0</v>
      </c>
      <c r="AB25">
        <v>0</v>
      </c>
      <c r="AC25" s="9">
        <v>0</v>
      </c>
      <c r="AD25">
        <v>0</v>
      </c>
      <c r="AE25" s="9">
        <v>0</v>
      </c>
      <c r="AF25">
        <v>0</v>
      </c>
      <c r="AG25" s="9">
        <v>0</v>
      </c>
      <c r="AH25">
        <v>0</v>
      </c>
      <c r="AI25" s="9">
        <v>0</v>
      </c>
      <c r="AK25" s="9">
        <v>7000</v>
      </c>
      <c r="AL25">
        <v>0</v>
      </c>
      <c r="AM25" s="9">
        <v>0</v>
      </c>
      <c r="AN25">
        <v>0</v>
      </c>
      <c r="AO25" s="9">
        <v>0</v>
      </c>
      <c r="AP25">
        <v>0</v>
      </c>
      <c r="AQ25" s="9">
        <v>0</v>
      </c>
      <c r="AR25">
        <v>0</v>
      </c>
      <c r="AS25" s="9">
        <v>0</v>
      </c>
      <c r="AT25">
        <v>0</v>
      </c>
      <c r="AU25" s="9">
        <v>0</v>
      </c>
      <c r="AW25" s="9">
        <v>7000</v>
      </c>
      <c r="AX25">
        <v>0</v>
      </c>
      <c r="AY25" s="9">
        <v>0</v>
      </c>
      <c r="AZ25">
        <v>0</v>
      </c>
      <c r="BA25" s="9">
        <v>0</v>
      </c>
      <c r="BB25">
        <v>0</v>
      </c>
      <c r="BC25" s="9">
        <v>0</v>
      </c>
      <c r="BD25">
        <v>0</v>
      </c>
      <c r="BE25" s="9">
        <v>0</v>
      </c>
      <c r="BF25">
        <v>0</v>
      </c>
      <c r="BG25" s="9">
        <v>0</v>
      </c>
      <c r="BI25" s="9">
        <v>7000</v>
      </c>
      <c r="BJ25">
        <v>0</v>
      </c>
      <c r="BK25" s="9">
        <v>0</v>
      </c>
      <c r="BL25">
        <v>0</v>
      </c>
      <c r="BM25" s="9">
        <v>0</v>
      </c>
      <c r="BN25">
        <v>0</v>
      </c>
      <c r="BO25" s="9">
        <v>0</v>
      </c>
      <c r="BP25">
        <v>0</v>
      </c>
      <c r="BQ25" s="9">
        <v>0</v>
      </c>
      <c r="BR25">
        <v>0</v>
      </c>
      <c r="BS25" s="9">
        <v>0</v>
      </c>
      <c r="BU25" s="9">
        <v>7000</v>
      </c>
      <c r="BV25">
        <f t="shared" si="47"/>
        <v>760</v>
      </c>
      <c r="BW25" s="9">
        <f t="shared" si="12"/>
        <v>5018.867924528302</v>
      </c>
      <c r="BX25">
        <f t="shared" si="48"/>
        <v>740</v>
      </c>
      <c r="BY25" s="9">
        <f t="shared" si="13"/>
        <v>4980.7692307692314</v>
      </c>
      <c r="BZ25">
        <f t="shared" si="49"/>
        <v>724</v>
      </c>
      <c r="CA25" s="9">
        <f t="shared" si="22"/>
        <v>4949.21875</v>
      </c>
      <c r="CB25">
        <f t="shared" si="59"/>
        <v>710</v>
      </c>
      <c r="CC25" s="9">
        <f t="shared" si="50"/>
        <v>4920.7920792079212</v>
      </c>
      <c r="CD25">
        <v>0</v>
      </c>
      <c r="CE25" s="9">
        <f t="shared" si="62"/>
        <v>0</v>
      </c>
      <c r="CF25">
        <v>0</v>
      </c>
      <c r="CG25" s="9">
        <f t="shared" si="67"/>
        <v>0</v>
      </c>
      <c r="CI25" s="9">
        <v>7000</v>
      </c>
      <c r="CJ25">
        <f t="shared" si="51"/>
        <v>710</v>
      </c>
      <c r="CK25" s="9">
        <f t="shared" si="14"/>
        <v>4920.7920792079212</v>
      </c>
      <c r="CL25">
        <f t="shared" si="52"/>
        <v>693</v>
      </c>
      <c r="CM25" s="9">
        <f t="shared" si="15"/>
        <v>4885.1963746223564</v>
      </c>
      <c r="CN25">
        <f t="shared" si="60"/>
        <v>678</v>
      </c>
      <c r="CO25" s="9">
        <f t="shared" si="23"/>
        <v>4852.7607361963192</v>
      </c>
      <c r="CP25">
        <f t="shared" si="63"/>
        <v>665</v>
      </c>
      <c r="CQ25" s="9">
        <f t="shared" si="53"/>
        <v>4823.8341968911918</v>
      </c>
      <c r="CR25">
        <f t="shared" si="68"/>
        <v>648</v>
      </c>
      <c r="CS25" s="9">
        <f t="shared" si="64"/>
        <v>4784.8101265822779</v>
      </c>
      <c r="CT25">
        <f t="shared" si="72"/>
        <v>645</v>
      </c>
      <c r="CU25" s="9">
        <f t="shared" si="69"/>
        <v>4777.7777777777783</v>
      </c>
      <c r="CV25">
        <f t="shared" si="73"/>
        <v>662</v>
      </c>
      <c r="CW25" s="9">
        <f t="shared" si="70"/>
        <v>4817.0478170478173</v>
      </c>
    </row>
    <row r="26" spans="1:101" x14ac:dyDescent="0.25">
      <c r="A26">
        <v>7500</v>
      </c>
      <c r="B26">
        <v>0</v>
      </c>
      <c r="C26" s="9">
        <v>0</v>
      </c>
      <c r="D26">
        <v>0</v>
      </c>
      <c r="E26" s="9">
        <v>0</v>
      </c>
      <c r="F26">
        <v>0</v>
      </c>
      <c r="G26" s="9">
        <v>0</v>
      </c>
      <c r="H26">
        <v>0</v>
      </c>
      <c r="I26" s="9">
        <v>0</v>
      </c>
      <c r="J26">
        <v>0</v>
      </c>
      <c r="K26" s="9">
        <v>0</v>
      </c>
      <c r="M26">
        <v>7500</v>
      </c>
      <c r="N26">
        <v>0</v>
      </c>
      <c r="O26" s="9">
        <v>0</v>
      </c>
      <c r="P26">
        <v>0</v>
      </c>
      <c r="Q26" s="9">
        <v>0</v>
      </c>
      <c r="R26">
        <v>0</v>
      </c>
      <c r="S26" s="9">
        <v>0</v>
      </c>
      <c r="T26">
        <v>0</v>
      </c>
      <c r="U26" s="9">
        <v>0</v>
      </c>
      <c r="V26">
        <v>0</v>
      </c>
      <c r="W26" s="9">
        <v>0</v>
      </c>
      <c r="Y26">
        <v>7500</v>
      </c>
      <c r="Z26">
        <v>0</v>
      </c>
      <c r="AA26" s="9">
        <v>0</v>
      </c>
      <c r="AB26">
        <v>0</v>
      </c>
      <c r="AC26" s="9">
        <v>0</v>
      </c>
      <c r="AD26">
        <v>0</v>
      </c>
      <c r="AE26" s="9">
        <v>0</v>
      </c>
      <c r="AF26">
        <v>0</v>
      </c>
      <c r="AG26" s="9">
        <v>0</v>
      </c>
      <c r="AH26">
        <v>0</v>
      </c>
      <c r="AI26" s="9">
        <v>0</v>
      </c>
      <c r="AK26">
        <v>7500</v>
      </c>
      <c r="AL26">
        <v>0</v>
      </c>
      <c r="AM26" s="9">
        <v>0</v>
      </c>
      <c r="AN26">
        <v>0</v>
      </c>
      <c r="AO26" s="9">
        <v>0</v>
      </c>
      <c r="AP26">
        <v>0</v>
      </c>
      <c r="AQ26" s="9">
        <v>0</v>
      </c>
      <c r="AR26">
        <v>0</v>
      </c>
      <c r="AS26" s="9">
        <v>0</v>
      </c>
      <c r="AT26">
        <v>0</v>
      </c>
      <c r="AU26" s="9">
        <v>0</v>
      </c>
      <c r="AW26">
        <v>7500</v>
      </c>
      <c r="AX26">
        <v>0</v>
      </c>
      <c r="AY26" s="9">
        <v>0</v>
      </c>
      <c r="AZ26">
        <v>0</v>
      </c>
      <c r="BA26" s="9">
        <v>0</v>
      </c>
      <c r="BB26">
        <v>0</v>
      </c>
      <c r="BC26" s="9">
        <v>0</v>
      </c>
      <c r="BD26">
        <v>0</v>
      </c>
      <c r="BE26" s="9">
        <v>0</v>
      </c>
      <c r="BF26">
        <v>0</v>
      </c>
      <c r="BG26" s="9">
        <v>0</v>
      </c>
      <c r="BI26">
        <v>7500</v>
      </c>
      <c r="BJ26">
        <v>0</v>
      </c>
      <c r="BK26" s="9">
        <v>0</v>
      </c>
      <c r="BL26">
        <v>0</v>
      </c>
      <c r="BM26" s="9">
        <v>0</v>
      </c>
      <c r="BN26">
        <v>0</v>
      </c>
      <c r="BO26" s="9">
        <v>0</v>
      </c>
      <c r="BP26">
        <v>0</v>
      </c>
      <c r="BQ26" s="9">
        <v>0</v>
      </c>
      <c r="BR26">
        <v>0</v>
      </c>
      <c r="BS26" s="9">
        <v>0</v>
      </c>
      <c r="BU26">
        <v>7500</v>
      </c>
      <c r="BV26">
        <f t="shared" si="47"/>
        <v>758</v>
      </c>
      <c r="BW26" s="9">
        <f t="shared" si="12"/>
        <v>5373.3459357277889</v>
      </c>
      <c r="BX26">
        <f t="shared" si="48"/>
        <v>737</v>
      </c>
      <c r="BY26" s="9">
        <f t="shared" si="13"/>
        <v>5330.2796528447443</v>
      </c>
      <c r="BZ26">
        <f t="shared" si="49"/>
        <v>720</v>
      </c>
      <c r="CA26" s="9">
        <f t="shared" si="22"/>
        <v>5294.1176470588234</v>
      </c>
      <c r="CB26">
        <f t="shared" si="59"/>
        <v>705</v>
      </c>
      <c r="CC26" s="9">
        <f t="shared" si="50"/>
        <v>5261.1940298507461</v>
      </c>
      <c r="CD26">
        <v>0</v>
      </c>
      <c r="CE26" s="9">
        <f t="shared" si="62"/>
        <v>0</v>
      </c>
      <c r="CF26">
        <v>0</v>
      </c>
      <c r="CG26" s="9">
        <f>PRODUCT(BU26,CF26,1/(CF26+300))</f>
        <v>0</v>
      </c>
      <c r="CI26">
        <v>7500</v>
      </c>
      <c r="CJ26">
        <f t="shared" si="51"/>
        <v>708</v>
      </c>
      <c r="CK26" s="9">
        <f t="shared" si="14"/>
        <v>5267.8571428571422</v>
      </c>
      <c r="CL26">
        <f t="shared" si="52"/>
        <v>690</v>
      </c>
      <c r="CM26" s="9">
        <f t="shared" si="15"/>
        <v>5227.272727272727</v>
      </c>
      <c r="CN26">
        <f t="shared" si="60"/>
        <v>674</v>
      </c>
      <c r="CO26" s="9">
        <f t="shared" si="23"/>
        <v>5189.9383983572898</v>
      </c>
      <c r="CP26">
        <f t="shared" si="63"/>
        <v>660</v>
      </c>
      <c r="CQ26" s="9">
        <f t="shared" si="53"/>
        <v>5156.25</v>
      </c>
      <c r="CR26">
        <f t="shared" si="68"/>
        <v>642</v>
      </c>
      <c r="CS26" s="9">
        <f t="shared" si="64"/>
        <v>5111.4649681528663</v>
      </c>
      <c r="CT26">
        <f t="shared" si="72"/>
        <v>638</v>
      </c>
      <c r="CU26" s="9">
        <f t="shared" si="69"/>
        <v>5101.2793176972282</v>
      </c>
      <c r="CV26">
        <f t="shared" si="73"/>
        <v>654</v>
      </c>
      <c r="CW26" s="9">
        <f t="shared" si="70"/>
        <v>5141.5094339622647</v>
      </c>
    </row>
    <row r="27" spans="1:101" x14ac:dyDescent="0.25">
      <c r="A27">
        <v>8000</v>
      </c>
      <c r="B27">
        <v>0</v>
      </c>
      <c r="C27" s="9">
        <v>0</v>
      </c>
      <c r="D27">
        <v>0</v>
      </c>
      <c r="E27" s="9">
        <v>0</v>
      </c>
      <c r="F27">
        <v>0</v>
      </c>
      <c r="G27" s="9">
        <v>0</v>
      </c>
      <c r="H27">
        <v>0</v>
      </c>
      <c r="I27" s="9">
        <v>0</v>
      </c>
      <c r="J27">
        <v>0</v>
      </c>
      <c r="K27" s="9">
        <v>0</v>
      </c>
      <c r="M27">
        <v>8000</v>
      </c>
      <c r="N27">
        <v>0</v>
      </c>
      <c r="O27" s="9">
        <v>0</v>
      </c>
      <c r="P27">
        <v>0</v>
      </c>
      <c r="Q27" s="9">
        <v>0</v>
      </c>
      <c r="R27">
        <v>0</v>
      </c>
      <c r="S27" s="9">
        <v>0</v>
      </c>
      <c r="T27">
        <v>0</v>
      </c>
      <c r="U27" s="9">
        <v>0</v>
      </c>
      <c r="V27">
        <v>0</v>
      </c>
      <c r="W27" s="9">
        <v>0</v>
      </c>
      <c r="Y27">
        <v>8000</v>
      </c>
      <c r="Z27">
        <v>0</v>
      </c>
      <c r="AA27" s="9">
        <v>0</v>
      </c>
      <c r="AB27">
        <v>0</v>
      </c>
      <c r="AC27" s="9">
        <v>0</v>
      </c>
      <c r="AD27">
        <v>0</v>
      </c>
      <c r="AE27" s="9">
        <v>0</v>
      </c>
      <c r="AF27">
        <v>0</v>
      </c>
      <c r="AG27" s="9">
        <v>0</v>
      </c>
      <c r="AH27">
        <v>0</v>
      </c>
      <c r="AI27" s="9">
        <v>0</v>
      </c>
      <c r="AK27">
        <v>8000</v>
      </c>
      <c r="AL27">
        <v>0</v>
      </c>
      <c r="AM27" s="9">
        <v>0</v>
      </c>
      <c r="AN27">
        <v>0</v>
      </c>
      <c r="AO27" s="9">
        <v>0</v>
      </c>
      <c r="AP27">
        <v>0</v>
      </c>
      <c r="AQ27" s="9">
        <v>0</v>
      </c>
      <c r="AR27">
        <v>0</v>
      </c>
      <c r="AS27" s="9">
        <v>0</v>
      </c>
      <c r="AT27">
        <v>0</v>
      </c>
      <c r="AU27" s="9">
        <v>0</v>
      </c>
      <c r="AW27">
        <v>8000</v>
      </c>
      <c r="AX27">
        <v>0</v>
      </c>
      <c r="AY27" s="9">
        <v>0</v>
      </c>
      <c r="AZ27">
        <v>0</v>
      </c>
      <c r="BA27" s="9">
        <v>0</v>
      </c>
      <c r="BB27">
        <v>0</v>
      </c>
      <c r="BC27" s="9">
        <v>0</v>
      </c>
      <c r="BD27">
        <v>0</v>
      </c>
      <c r="BE27" s="9">
        <v>0</v>
      </c>
      <c r="BF27">
        <v>0</v>
      </c>
      <c r="BG27" s="9">
        <v>0</v>
      </c>
      <c r="BI27">
        <v>8000</v>
      </c>
      <c r="BJ27">
        <v>0</v>
      </c>
      <c r="BK27" s="9">
        <v>0</v>
      </c>
      <c r="BL27">
        <v>0</v>
      </c>
      <c r="BM27" s="9">
        <v>0</v>
      </c>
      <c r="BN27">
        <v>0</v>
      </c>
      <c r="BO27" s="9">
        <v>0</v>
      </c>
      <c r="BP27">
        <v>0</v>
      </c>
      <c r="BQ27" s="9">
        <v>0</v>
      </c>
      <c r="BR27">
        <v>0</v>
      </c>
      <c r="BS27" s="9">
        <v>0</v>
      </c>
      <c r="BU27">
        <v>8000</v>
      </c>
      <c r="BV27">
        <f t="shared" si="47"/>
        <v>756</v>
      </c>
      <c r="BW27" s="9">
        <f t="shared" si="12"/>
        <v>5727.272727272727</v>
      </c>
      <c r="BX27">
        <f t="shared" si="48"/>
        <v>734</v>
      </c>
      <c r="BY27" s="9">
        <f t="shared" si="13"/>
        <v>5678.9168278529978</v>
      </c>
      <c r="BZ27">
        <f t="shared" si="49"/>
        <v>716</v>
      </c>
      <c r="CA27" s="9">
        <f t="shared" si="22"/>
        <v>5637.7952755905508</v>
      </c>
      <c r="CB27">
        <f t="shared" si="59"/>
        <v>700</v>
      </c>
      <c r="CC27" s="9">
        <f t="shared" si="50"/>
        <v>5600</v>
      </c>
      <c r="CD27">
        <v>0</v>
      </c>
      <c r="CE27" s="9">
        <f t="shared" si="62"/>
        <v>0</v>
      </c>
      <c r="CF27">
        <v>0</v>
      </c>
      <c r="CG27" s="9">
        <f>PRODUCT(BU27,CF27,1/(CF27+300))</f>
        <v>0</v>
      </c>
      <c r="CI27">
        <v>8000</v>
      </c>
      <c r="CJ27">
        <f t="shared" si="51"/>
        <v>706</v>
      </c>
      <c r="CK27" s="9">
        <f t="shared" si="14"/>
        <v>5614.3141153081506</v>
      </c>
      <c r="CL27">
        <f t="shared" si="52"/>
        <v>687</v>
      </c>
      <c r="CM27" s="9">
        <f t="shared" si="15"/>
        <v>5568.38905775076</v>
      </c>
      <c r="CN27">
        <f t="shared" si="60"/>
        <v>670</v>
      </c>
      <c r="CO27" s="9">
        <f t="shared" si="23"/>
        <v>5525.7731958762888</v>
      </c>
      <c r="CP27">
        <f t="shared" si="63"/>
        <v>655</v>
      </c>
      <c r="CQ27" s="9">
        <f t="shared" si="53"/>
        <v>5486.9109947643983</v>
      </c>
      <c r="CR27">
        <f t="shared" si="68"/>
        <v>636</v>
      </c>
      <c r="CS27" s="9">
        <f t="shared" si="64"/>
        <v>5435.8974358974365</v>
      </c>
      <c r="CT27">
        <f t="shared" si="72"/>
        <v>631</v>
      </c>
      <c r="CU27" s="9">
        <f t="shared" si="69"/>
        <v>5422.1267454350163</v>
      </c>
      <c r="CV27">
        <f t="shared" si="73"/>
        <v>646</v>
      </c>
      <c r="CW27" s="9">
        <f t="shared" si="70"/>
        <v>5463.0021141649049</v>
      </c>
    </row>
    <row r="28" spans="1:101" x14ac:dyDescent="0.25">
      <c r="A28">
        <v>8500</v>
      </c>
      <c r="B28">
        <v>0</v>
      </c>
      <c r="C28" s="9">
        <f t="shared" ref="C28:C34" si="82">PRODUCT(A29,B28,1/(B28+300))</f>
        <v>0</v>
      </c>
      <c r="D28">
        <v>0</v>
      </c>
      <c r="E28" s="9">
        <f t="shared" ref="E28:E34" si="83">PRODUCT(C28,D28,1/(D28+300))</f>
        <v>0</v>
      </c>
      <c r="F28">
        <v>0</v>
      </c>
      <c r="G28" s="9">
        <f t="shared" ref="G28:G34" si="84">PRODUCT(E28,F28,1/(F28+300))</f>
        <v>0</v>
      </c>
      <c r="H28">
        <v>0</v>
      </c>
      <c r="I28" s="9">
        <f t="shared" ref="I28:I34" si="85">PRODUCT(G28,H28,1/(H28+300))</f>
        <v>0</v>
      </c>
      <c r="J28">
        <v>0</v>
      </c>
      <c r="K28" s="9">
        <f t="shared" ref="K28:K34" si="86">PRODUCT(I28,J28,1/(J28+300))</f>
        <v>0</v>
      </c>
      <c r="M28">
        <v>8500</v>
      </c>
      <c r="N28">
        <v>0</v>
      </c>
      <c r="O28" s="9">
        <f t="shared" ref="O28:O34" si="87">PRODUCT(M29,N28,1/(N28+300))</f>
        <v>0</v>
      </c>
      <c r="P28">
        <v>0</v>
      </c>
      <c r="Q28" s="9">
        <f t="shared" ref="Q28:Q34" si="88">PRODUCT(O28,P28,1/(P28+300))</f>
        <v>0</v>
      </c>
      <c r="R28">
        <v>0</v>
      </c>
      <c r="S28" s="9">
        <f t="shared" ref="S28:S34" si="89">PRODUCT(Q28,R28,1/(R28+300))</f>
        <v>0</v>
      </c>
      <c r="T28">
        <v>0</v>
      </c>
      <c r="U28" s="9">
        <f t="shared" ref="U28:U34" si="90">PRODUCT(S28,T28,1/(T28+300))</f>
        <v>0</v>
      </c>
      <c r="V28">
        <v>0</v>
      </c>
      <c r="W28" s="9">
        <f t="shared" ref="W28:W34" si="91">PRODUCT(U28,V28,1/(V28+300))</f>
        <v>0</v>
      </c>
      <c r="Y28">
        <v>8500</v>
      </c>
      <c r="Z28">
        <v>0</v>
      </c>
      <c r="AA28" s="9">
        <f t="shared" ref="AA28:AA34" si="92">PRODUCT(Y29,Z28,1/(Z28+300))</f>
        <v>0</v>
      </c>
      <c r="AB28">
        <v>0</v>
      </c>
      <c r="AC28" s="9">
        <f t="shared" ref="AC28:AC34" si="93">PRODUCT(AA28,AB28,1/(AB28+300))</f>
        <v>0</v>
      </c>
      <c r="AD28">
        <v>0</v>
      </c>
      <c r="AE28" s="9">
        <f t="shared" ref="AE28:AE34" si="94">PRODUCT(AC28,AD28,1/(AD28+300))</f>
        <v>0</v>
      </c>
      <c r="AF28">
        <v>0</v>
      </c>
      <c r="AG28" s="9">
        <f t="shared" ref="AG28:AG34" si="95">PRODUCT(AE28,AF28,1/(AF28+300))</f>
        <v>0</v>
      </c>
      <c r="AH28">
        <v>0</v>
      </c>
      <c r="AI28" s="9">
        <f t="shared" ref="AI28:AI34" si="96">PRODUCT(AG28,AH28,1/(AH28+300))</f>
        <v>0</v>
      </c>
      <c r="AK28">
        <v>8500</v>
      </c>
      <c r="AL28">
        <v>0</v>
      </c>
      <c r="AM28" s="9">
        <f t="shared" ref="AM28:AM34" si="97">PRODUCT(AK29,AL28,1/(AL28+300))</f>
        <v>0</v>
      </c>
      <c r="AN28">
        <v>0</v>
      </c>
      <c r="AO28" s="9">
        <f t="shared" ref="AO28:AO34" si="98">PRODUCT(AM28,AN28,1/(AN28+300))</f>
        <v>0</v>
      </c>
      <c r="AP28">
        <v>0</v>
      </c>
      <c r="AQ28" s="9">
        <f t="shared" ref="AQ28:AQ34" si="99">PRODUCT(AO28,AP28,1/(AP28+300))</f>
        <v>0</v>
      </c>
      <c r="AR28">
        <v>0</v>
      </c>
      <c r="AS28" s="9">
        <f t="shared" ref="AS28:AS34" si="100">PRODUCT(AQ28,AR28,1/(AR28+300))</f>
        <v>0</v>
      </c>
      <c r="AT28">
        <v>0</v>
      </c>
      <c r="AU28" s="9">
        <f t="shared" ref="AU28:AU34" si="101">PRODUCT(AS28,AT28,1/(AT28+300))</f>
        <v>0</v>
      </c>
      <c r="AW28">
        <v>8500</v>
      </c>
      <c r="AX28">
        <v>0</v>
      </c>
      <c r="AY28" s="9">
        <f t="shared" ref="AY28:AY34" si="102">PRODUCT(AW29,AX28,1/(AX28+300))</f>
        <v>0</v>
      </c>
      <c r="AZ28">
        <v>0</v>
      </c>
      <c r="BA28" s="9">
        <f t="shared" ref="BA28:BA34" si="103">PRODUCT(AY28,AZ28,1/(AZ28+300))</f>
        <v>0</v>
      </c>
      <c r="BB28">
        <v>0</v>
      </c>
      <c r="BC28" s="9">
        <f t="shared" ref="BC28:BC34" si="104">PRODUCT(BA28,BB28,1/(BB28+300))</f>
        <v>0</v>
      </c>
      <c r="BD28">
        <v>0</v>
      </c>
      <c r="BE28" s="9">
        <f t="shared" ref="BE28:BE34" si="105">PRODUCT(BC28,BD28,1/(BD28+300))</f>
        <v>0</v>
      </c>
      <c r="BF28">
        <v>0</v>
      </c>
      <c r="BG28" s="9">
        <f t="shared" ref="BG28:BG34" si="106">PRODUCT(BE28,BF28,1/(BF28+300))</f>
        <v>0</v>
      </c>
      <c r="BI28">
        <v>8500</v>
      </c>
      <c r="BJ28">
        <v>0</v>
      </c>
      <c r="BK28" s="9">
        <f t="shared" ref="BK28:BK34" si="107">PRODUCT(BI29,BJ28,1/(BJ28+300))</f>
        <v>0</v>
      </c>
      <c r="BL28">
        <v>0</v>
      </c>
      <c r="BM28" s="9">
        <f t="shared" ref="BM28:BM34" si="108">PRODUCT(BK28,BL28,1/(BL28+300))</f>
        <v>0</v>
      </c>
      <c r="BN28">
        <v>0</v>
      </c>
      <c r="BO28" s="9">
        <f t="shared" ref="BO28:BO34" si="109">PRODUCT(BM28,BN28,1/(BN28+300))</f>
        <v>0</v>
      </c>
      <c r="BP28">
        <v>0</v>
      </c>
      <c r="BQ28" s="9">
        <f t="shared" ref="BQ28:BQ34" si="110">PRODUCT(BO28,BP28,1/(BP28+300))</f>
        <v>0</v>
      </c>
      <c r="BR28">
        <v>0</v>
      </c>
      <c r="BS28" s="9">
        <f t="shared" ref="BS28:BS34" si="111">PRODUCT(BQ28,BR28,1/(BR28+300))</f>
        <v>0</v>
      </c>
      <c r="BU28">
        <v>8500</v>
      </c>
      <c r="BV28">
        <f t="shared" si="47"/>
        <v>754</v>
      </c>
      <c r="BW28" s="9">
        <f t="shared" si="12"/>
        <v>6080.6451612903229</v>
      </c>
      <c r="BX28">
        <f t="shared" si="48"/>
        <v>731</v>
      </c>
      <c r="BY28" s="9">
        <f t="shared" si="13"/>
        <v>6026.6731328806982</v>
      </c>
      <c r="BZ28">
        <f t="shared" si="49"/>
        <v>712</v>
      </c>
      <c r="CA28" s="9">
        <f t="shared" si="22"/>
        <v>5980.2371541501971</v>
      </c>
      <c r="CB28">
        <v>0</v>
      </c>
      <c r="CC28" s="9">
        <f>PRODUCT(BU28,CB28,1/(CB28+300))</f>
        <v>0</v>
      </c>
      <c r="CD28">
        <v>0</v>
      </c>
      <c r="CE28" s="9">
        <v>0</v>
      </c>
      <c r="CF28">
        <v>0</v>
      </c>
      <c r="CG28" s="9">
        <f>PRODUCT(BU28,CF28,1/(CF28+300))</f>
        <v>0</v>
      </c>
      <c r="CI28">
        <v>8500</v>
      </c>
      <c r="CJ28">
        <f t="shared" si="51"/>
        <v>704</v>
      </c>
      <c r="CK28" s="9">
        <f t="shared" si="14"/>
        <v>5960.1593625498008</v>
      </c>
      <c r="CL28">
        <f t="shared" si="52"/>
        <v>684</v>
      </c>
      <c r="CM28" s="9">
        <f t="shared" si="15"/>
        <v>5908.5365853658541</v>
      </c>
      <c r="CN28">
        <f t="shared" si="60"/>
        <v>666</v>
      </c>
      <c r="CO28" s="9">
        <f t="shared" si="23"/>
        <v>5860.2484472049691</v>
      </c>
      <c r="CP28">
        <f t="shared" si="63"/>
        <v>650</v>
      </c>
      <c r="CQ28" s="9">
        <f t="shared" si="53"/>
        <v>5815.78947368421</v>
      </c>
      <c r="CR28">
        <f t="shared" si="68"/>
        <v>630</v>
      </c>
      <c r="CS28" s="9">
        <f t="shared" si="64"/>
        <v>5758.0645161290322</v>
      </c>
      <c r="CT28">
        <f t="shared" si="72"/>
        <v>624</v>
      </c>
      <c r="CU28" s="9">
        <f t="shared" si="69"/>
        <v>5740.2597402597403</v>
      </c>
      <c r="CV28">
        <f t="shared" si="73"/>
        <v>638</v>
      </c>
      <c r="CW28" s="9">
        <f t="shared" si="70"/>
        <v>5781.4498933901914</v>
      </c>
    </row>
    <row r="29" spans="1:101" x14ac:dyDescent="0.25">
      <c r="A29">
        <v>9000</v>
      </c>
      <c r="B29">
        <v>0</v>
      </c>
      <c r="C29" s="9">
        <f t="shared" si="82"/>
        <v>0</v>
      </c>
      <c r="D29">
        <v>0</v>
      </c>
      <c r="E29" s="9">
        <f t="shared" si="83"/>
        <v>0</v>
      </c>
      <c r="F29">
        <v>0</v>
      </c>
      <c r="G29" s="9">
        <f t="shared" si="84"/>
        <v>0</v>
      </c>
      <c r="H29">
        <v>0</v>
      </c>
      <c r="I29" s="9">
        <f t="shared" si="85"/>
        <v>0</v>
      </c>
      <c r="J29">
        <v>0</v>
      </c>
      <c r="K29" s="9">
        <f t="shared" si="86"/>
        <v>0</v>
      </c>
      <c r="M29">
        <v>9000</v>
      </c>
      <c r="N29">
        <v>0</v>
      </c>
      <c r="O29" s="9">
        <f t="shared" si="87"/>
        <v>0</v>
      </c>
      <c r="P29">
        <v>0</v>
      </c>
      <c r="Q29" s="9">
        <f t="shared" si="88"/>
        <v>0</v>
      </c>
      <c r="R29">
        <v>0</v>
      </c>
      <c r="S29" s="9">
        <f t="shared" si="89"/>
        <v>0</v>
      </c>
      <c r="T29">
        <v>0</v>
      </c>
      <c r="U29" s="9">
        <f t="shared" si="90"/>
        <v>0</v>
      </c>
      <c r="V29">
        <v>0</v>
      </c>
      <c r="W29" s="9">
        <f t="shared" si="91"/>
        <v>0</v>
      </c>
      <c r="Y29">
        <v>9000</v>
      </c>
      <c r="Z29">
        <v>0</v>
      </c>
      <c r="AA29" s="9">
        <f t="shared" si="92"/>
        <v>0</v>
      </c>
      <c r="AB29">
        <v>0</v>
      </c>
      <c r="AC29" s="9">
        <f t="shared" si="93"/>
        <v>0</v>
      </c>
      <c r="AD29">
        <v>0</v>
      </c>
      <c r="AE29" s="9">
        <f t="shared" si="94"/>
        <v>0</v>
      </c>
      <c r="AF29">
        <v>0</v>
      </c>
      <c r="AG29" s="9">
        <f t="shared" si="95"/>
        <v>0</v>
      </c>
      <c r="AH29">
        <v>0</v>
      </c>
      <c r="AI29" s="9">
        <f t="shared" si="96"/>
        <v>0</v>
      </c>
      <c r="AK29">
        <v>9000</v>
      </c>
      <c r="AL29">
        <v>0</v>
      </c>
      <c r="AM29" s="9">
        <f t="shared" si="97"/>
        <v>0</v>
      </c>
      <c r="AN29">
        <v>0</v>
      </c>
      <c r="AO29" s="9">
        <f t="shared" si="98"/>
        <v>0</v>
      </c>
      <c r="AP29">
        <v>0</v>
      </c>
      <c r="AQ29" s="9">
        <f t="shared" si="99"/>
        <v>0</v>
      </c>
      <c r="AR29">
        <v>0</v>
      </c>
      <c r="AS29" s="9">
        <f t="shared" si="100"/>
        <v>0</v>
      </c>
      <c r="AT29">
        <v>0</v>
      </c>
      <c r="AU29" s="9">
        <f t="shared" si="101"/>
        <v>0</v>
      </c>
      <c r="AW29">
        <v>9000</v>
      </c>
      <c r="AX29">
        <v>0</v>
      </c>
      <c r="AY29" s="9">
        <f t="shared" si="102"/>
        <v>0</v>
      </c>
      <c r="AZ29">
        <v>0</v>
      </c>
      <c r="BA29" s="9">
        <f t="shared" si="103"/>
        <v>0</v>
      </c>
      <c r="BB29">
        <v>0</v>
      </c>
      <c r="BC29" s="9">
        <f t="shared" si="104"/>
        <v>0</v>
      </c>
      <c r="BD29">
        <v>0</v>
      </c>
      <c r="BE29" s="9">
        <f t="shared" si="105"/>
        <v>0</v>
      </c>
      <c r="BF29">
        <v>0</v>
      </c>
      <c r="BG29" s="9">
        <f t="shared" si="106"/>
        <v>0</v>
      </c>
      <c r="BI29">
        <v>9000</v>
      </c>
      <c r="BJ29">
        <v>0</v>
      </c>
      <c r="BK29" s="9">
        <f t="shared" si="107"/>
        <v>0</v>
      </c>
      <c r="BL29">
        <v>0</v>
      </c>
      <c r="BM29" s="9">
        <f t="shared" si="108"/>
        <v>0</v>
      </c>
      <c r="BN29">
        <v>0</v>
      </c>
      <c r="BO29" s="9">
        <f t="shared" si="109"/>
        <v>0</v>
      </c>
      <c r="BP29">
        <v>0</v>
      </c>
      <c r="BQ29" s="9">
        <f t="shared" si="110"/>
        <v>0</v>
      </c>
      <c r="BR29">
        <v>0</v>
      </c>
      <c r="BS29" s="9">
        <f t="shared" si="111"/>
        <v>0</v>
      </c>
      <c r="BU29">
        <v>9000</v>
      </c>
      <c r="BV29">
        <v>0</v>
      </c>
      <c r="BW29" s="9">
        <f t="shared" ref="BW29:BW35" si="112">PRODUCT(BU29,BV29,1/(BV29+300))</f>
        <v>0</v>
      </c>
      <c r="BX29">
        <v>0</v>
      </c>
      <c r="BY29" s="9">
        <f t="shared" ref="BY29:BY35" si="113">PRODUCT(BW29,BX29,1/(BX29+300))</f>
        <v>0</v>
      </c>
      <c r="BZ29">
        <v>0</v>
      </c>
      <c r="CA29" s="9">
        <f t="shared" ref="CA29:CA35" si="114">PRODUCT(BY29,BZ29,1/(BZ29+300))</f>
        <v>0</v>
      </c>
      <c r="CB29">
        <v>0</v>
      </c>
      <c r="CC29" s="9">
        <f t="shared" ref="CC29:CC35" si="115">PRODUCT(CA29,CB29,1/(CB29+300))</f>
        <v>0</v>
      </c>
      <c r="CD29">
        <v>0</v>
      </c>
      <c r="CE29" s="9">
        <f t="shared" ref="CE29:CE35" si="116">PRODUCT(CC29,CD29,1/(CD29+300))</f>
        <v>0</v>
      </c>
      <c r="CF29">
        <v>0</v>
      </c>
      <c r="CG29" s="9">
        <f t="shared" ref="CG29:CG35" si="117">PRODUCT(CE29,CF29,1/(CF29+300))</f>
        <v>0</v>
      </c>
      <c r="CI29">
        <v>9000</v>
      </c>
      <c r="CJ29">
        <f t="shared" si="51"/>
        <v>702</v>
      </c>
      <c r="CK29" s="9">
        <f t="shared" ref="CK29:CK35" si="118">PRODUCT(CI29,CJ29,1/(CJ29+300))</f>
        <v>6305.3892215568858</v>
      </c>
      <c r="CL29">
        <f t="shared" si="52"/>
        <v>681</v>
      </c>
      <c r="CM29" s="9">
        <f t="shared" si="15"/>
        <v>6247.7064220183493</v>
      </c>
      <c r="CN29">
        <f t="shared" si="60"/>
        <v>662</v>
      </c>
      <c r="CO29" s="9">
        <f t="shared" si="23"/>
        <v>6193.3471933471938</v>
      </c>
      <c r="CP29">
        <f t="shared" si="63"/>
        <v>645</v>
      </c>
      <c r="CQ29" s="9">
        <f t="shared" si="53"/>
        <v>6142.8571428571431</v>
      </c>
      <c r="CR29">
        <f t="shared" si="68"/>
        <v>624</v>
      </c>
      <c r="CS29" s="9">
        <f t="shared" si="64"/>
        <v>6077.9220779220777</v>
      </c>
      <c r="CT29">
        <f t="shared" si="72"/>
        <v>617</v>
      </c>
      <c r="CU29" s="9">
        <f t="shared" si="69"/>
        <v>6055.6161395856052</v>
      </c>
      <c r="CV29">
        <f t="shared" si="73"/>
        <v>630</v>
      </c>
      <c r="CW29" s="9">
        <f t="shared" si="70"/>
        <v>6096.7741935483873</v>
      </c>
    </row>
    <row r="30" spans="1:101" x14ac:dyDescent="0.25">
      <c r="A30">
        <v>9500</v>
      </c>
      <c r="B30">
        <v>0</v>
      </c>
      <c r="C30" s="9">
        <f t="shared" si="82"/>
        <v>0</v>
      </c>
      <c r="D30">
        <v>0</v>
      </c>
      <c r="E30" s="9">
        <f t="shared" si="83"/>
        <v>0</v>
      </c>
      <c r="F30">
        <v>0</v>
      </c>
      <c r="G30" s="9">
        <f t="shared" si="84"/>
        <v>0</v>
      </c>
      <c r="H30">
        <v>0</v>
      </c>
      <c r="I30" s="9">
        <f t="shared" si="85"/>
        <v>0</v>
      </c>
      <c r="J30">
        <v>0</v>
      </c>
      <c r="K30" s="9">
        <f t="shared" si="86"/>
        <v>0</v>
      </c>
      <c r="M30">
        <v>9500</v>
      </c>
      <c r="N30">
        <v>0</v>
      </c>
      <c r="O30" s="9">
        <f t="shared" si="87"/>
        <v>0</v>
      </c>
      <c r="P30">
        <v>0</v>
      </c>
      <c r="Q30" s="9">
        <f t="shared" si="88"/>
        <v>0</v>
      </c>
      <c r="R30">
        <v>0</v>
      </c>
      <c r="S30" s="9">
        <f t="shared" si="89"/>
        <v>0</v>
      </c>
      <c r="T30">
        <v>0</v>
      </c>
      <c r="U30" s="9">
        <f t="shared" si="90"/>
        <v>0</v>
      </c>
      <c r="V30">
        <v>0</v>
      </c>
      <c r="W30" s="9">
        <f t="shared" si="91"/>
        <v>0</v>
      </c>
      <c r="Y30">
        <v>9500</v>
      </c>
      <c r="Z30">
        <v>0</v>
      </c>
      <c r="AA30" s="9">
        <f t="shared" si="92"/>
        <v>0</v>
      </c>
      <c r="AB30">
        <v>0</v>
      </c>
      <c r="AC30" s="9">
        <f t="shared" si="93"/>
        <v>0</v>
      </c>
      <c r="AD30">
        <v>0</v>
      </c>
      <c r="AE30" s="9">
        <f t="shared" si="94"/>
        <v>0</v>
      </c>
      <c r="AF30">
        <v>0</v>
      </c>
      <c r="AG30" s="9">
        <f t="shared" si="95"/>
        <v>0</v>
      </c>
      <c r="AH30">
        <v>0</v>
      </c>
      <c r="AI30" s="9">
        <f t="shared" si="96"/>
        <v>0</v>
      </c>
      <c r="AK30">
        <v>9500</v>
      </c>
      <c r="AL30">
        <v>0</v>
      </c>
      <c r="AM30" s="9">
        <f t="shared" si="97"/>
        <v>0</v>
      </c>
      <c r="AN30">
        <v>0</v>
      </c>
      <c r="AO30" s="9">
        <f t="shared" si="98"/>
        <v>0</v>
      </c>
      <c r="AP30">
        <v>0</v>
      </c>
      <c r="AQ30" s="9">
        <f t="shared" si="99"/>
        <v>0</v>
      </c>
      <c r="AR30">
        <v>0</v>
      </c>
      <c r="AS30" s="9">
        <f t="shared" si="100"/>
        <v>0</v>
      </c>
      <c r="AT30">
        <v>0</v>
      </c>
      <c r="AU30" s="9">
        <f t="shared" si="101"/>
        <v>0</v>
      </c>
      <c r="AW30">
        <v>9500</v>
      </c>
      <c r="AX30">
        <v>0</v>
      </c>
      <c r="AY30" s="9">
        <f t="shared" si="102"/>
        <v>0</v>
      </c>
      <c r="AZ30">
        <v>0</v>
      </c>
      <c r="BA30" s="9">
        <f t="shared" si="103"/>
        <v>0</v>
      </c>
      <c r="BB30">
        <v>0</v>
      </c>
      <c r="BC30" s="9">
        <f t="shared" si="104"/>
        <v>0</v>
      </c>
      <c r="BD30">
        <v>0</v>
      </c>
      <c r="BE30" s="9">
        <f t="shared" si="105"/>
        <v>0</v>
      </c>
      <c r="BF30">
        <v>0</v>
      </c>
      <c r="BG30" s="9">
        <f t="shared" si="106"/>
        <v>0</v>
      </c>
      <c r="BI30">
        <v>9500</v>
      </c>
      <c r="BJ30">
        <v>0</v>
      </c>
      <c r="BK30" s="9">
        <f t="shared" si="107"/>
        <v>0</v>
      </c>
      <c r="BL30">
        <v>0</v>
      </c>
      <c r="BM30" s="9">
        <f t="shared" si="108"/>
        <v>0</v>
      </c>
      <c r="BN30">
        <v>0</v>
      </c>
      <c r="BO30" s="9">
        <f t="shared" si="109"/>
        <v>0</v>
      </c>
      <c r="BP30">
        <v>0</v>
      </c>
      <c r="BQ30" s="9">
        <f t="shared" si="110"/>
        <v>0</v>
      </c>
      <c r="BR30">
        <v>0</v>
      </c>
      <c r="BS30" s="9">
        <f t="shared" si="111"/>
        <v>0</v>
      </c>
      <c r="BU30">
        <v>9500</v>
      </c>
      <c r="BV30">
        <v>0</v>
      </c>
      <c r="BW30" s="9">
        <f t="shared" si="112"/>
        <v>0</v>
      </c>
      <c r="BX30">
        <v>0</v>
      </c>
      <c r="BY30" s="9">
        <f t="shared" si="113"/>
        <v>0</v>
      </c>
      <c r="BZ30">
        <v>0</v>
      </c>
      <c r="CA30" s="9">
        <f t="shared" si="114"/>
        <v>0</v>
      </c>
      <c r="CB30">
        <v>0</v>
      </c>
      <c r="CC30" s="9">
        <f t="shared" si="115"/>
        <v>0</v>
      </c>
      <c r="CD30">
        <v>0</v>
      </c>
      <c r="CE30" s="9">
        <f t="shared" si="116"/>
        <v>0</v>
      </c>
      <c r="CF30">
        <v>0</v>
      </c>
      <c r="CG30" s="9">
        <f t="shared" si="117"/>
        <v>0</v>
      </c>
      <c r="CI30">
        <v>9500</v>
      </c>
      <c r="CJ30">
        <f t="shared" si="51"/>
        <v>700</v>
      </c>
      <c r="CK30" s="9">
        <f t="shared" si="118"/>
        <v>6650</v>
      </c>
      <c r="CL30">
        <f t="shared" si="52"/>
        <v>678</v>
      </c>
      <c r="CM30" s="9">
        <f t="shared" si="15"/>
        <v>6585.8895705521481</v>
      </c>
      <c r="CN30">
        <f t="shared" si="60"/>
        <v>658</v>
      </c>
      <c r="CO30" s="9">
        <f t="shared" si="23"/>
        <v>6525.0521920668052</v>
      </c>
      <c r="CP30">
        <f t="shared" si="63"/>
        <v>640</v>
      </c>
      <c r="CQ30" s="9">
        <f t="shared" si="53"/>
        <v>6468.0851063829787</v>
      </c>
      <c r="CR30">
        <f t="shared" si="68"/>
        <v>618</v>
      </c>
      <c r="CS30" s="9">
        <f t="shared" si="64"/>
        <v>6395.424836601308</v>
      </c>
      <c r="CT30">
        <f t="shared" si="72"/>
        <v>610</v>
      </c>
      <c r="CU30" s="9">
        <f t="shared" si="69"/>
        <v>6368.131868131868</v>
      </c>
      <c r="CV30">
        <f t="shared" si="73"/>
        <v>622</v>
      </c>
      <c r="CW30" s="9">
        <f t="shared" si="70"/>
        <v>6408.893709327549</v>
      </c>
    </row>
    <row r="31" spans="1:101" x14ac:dyDescent="0.25">
      <c r="A31">
        <v>10000</v>
      </c>
      <c r="B31">
        <v>0</v>
      </c>
      <c r="C31" s="9">
        <f t="shared" si="82"/>
        <v>0</v>
      </c>
      <c r="D31">
        <v>0</v>
      </c>
      <c r="E31" s="9">
        <f t="shared" si="83"/>
        <v>0</v>
      </c>
      <c r="F31">
        <v>0</v>
      </c>
      <c r="G31" s="9">
        <f t="shared" si="84"/>
        <v>0</v>
      </c>
      <c r="H31">
        <v>0</v>
      </c>
      <c r="I31" s="9">
        <f t="shared" si="85"/>
        <v>0</v>
      </c>
      <c r="J31">
        <v>0</v>
      </c>
      <c r="K31" s="9">
        <f t="shared" si="86"/>
        <v>0</v>
      </c>
      <c r="M31">
        <v>10000</v>
      </c>
      <c r="N31">
        <v>0</v>
      </c>
      <c r="O31" s="9">
        <f t="shared" si="87"/>
        <v>0</v>
      </c>
      <c r="P31">
        <v>0</v>
      </c>
      <c r="Q31" s="9">
        <f t="shared" si="88"/>
        <v>0</v>
      </c>
      <c r="R31">
        <v>0</v>
      </c>
      <c r="S31" s="9">
        <f t="shared" si="89"/>
        <v>0</v>
      </c>
      <c r="T31">
        <v>0</v>
      </c>
      <c r="U31" s="9">
        <f t="shared" si="90"/>
        <v>0</v>
      </c>
      <c r="V31">
        <v>0</v>
      </c>
      <c r="W31" s="9">
        <f t="shared" si="91"/>
        <v>0</v>
      </c>
      <c r="Y31">
        <v>10000</v>
      </c>
      <c r="Z31">
        <v>0</v>
      </c>
      <c r="AA31" s="9">
        <f t="shared" si="92"/>
        <v>0</v>
      </c>
      <c r="AB31">
        <v>0</v>
      </c>
      <c r="AC31" s="9">
        <f t="shared" si="93"/>
        <v>0</v>
      </c>
      <c r="AD31">
        <v>0</v>
      </c>
      <c r="AE31" s="9">
        <f t="shared" si="94"/>
        <v>0</v>
      </c>
      <c r="AF31">
        <v>0</v>
      </c>
      <c r="AG31" s="9">
        <f t="shared" si="95"/>
        <v>0</v>
      </c>
      <c r="AH31">
        <v>0</v>
      </c>
      <c r="AI31" s="9">
        <f t="shared" si="96"/>
        <v>0</v>
      </c>
      <c r="AK31">
        <v>10000</v>
      </c>
      <c r="AL31">
        <v>0</v>
      </c>
      <c r="AM31" s="9">
        <f t="shared" si="97"/>
        <v>0</v>
      </c>
      <c r="AN31">
        <v>0</v>
      </c>
      <c r="AO31" s="9">
        <f t="shared" si="98"/>
        <v>0</v>
      </c>
      <c r="AP31">
        <v>0</v>
      </c>
      <c r="AQ31" s="9">
        <f t="shared" si="99"/>
        <v>0</v>
      </c>
      <c r="AR31">
        <v>0</v>
      </c>
      <c r="AS31" s="9">
        <f t="shared" si="100"/>
        <v>0</v>
      </c>
      <c r="AT31">
        <v>0</v>
      </c>
      <c r="AU31" s="9">
        <f t="shared" si="101"/>
        <v>0</v>
      </c>
      <c r="AW31">
        <v>10000</v>
      </c>
      <c r="AX31">
        <v>0</v>
      </c>
      <c r="AY31" s="9">
        <f t="shared" si="102"/>
        <v>0</v>
      </c>
      <c r="AZ31">
        <v>0</v>
      </c>
      <c r="BA31" s="9">
        <f t="shared" si="103"/>
        <v>0</v>
      </c>
      <c r="BB31">
        <v>0</v>
      </c>
      <c r="BC31" s="9">
        <f t="shared" si="104"/>
        <v>0</v>
      </c>
      <c r="BD31">
        <v>0</v>
      </c>
      <c r="BE31" s="9">
        <f t="shared" si="105"/>
        <v>0</v>
      </c>
      <c r="BF31">
        <v>0</v>
      </c>
      <c r="BG31" s="9">
        <f t="shared" si="106"/>
        <v>0</v>
      </c>
      <c r="BI31">
        <v>10000</v>
      </c>
      <c r="BJ31">
        <v>0</v>
      </c>
      <c r="BK31" s="9">
        <f t="shared" si="107"/>
        <v>0</v>
      </c>
      <c r="BL31">
        <v>0</v>
      </c>
      <c r="BM31" s="9">
        <f t="shared" si="108"/>
        <v>0</v>
      </c>
      <c r="BN31">
        <v>0</v>
      </c>
      <c r="BO31" s="9">
        <f t="shared" si="109"/>
        <v>0</v>
      </c>
      <c r="BP31">
        <v>0</v>
      </c>
      <c r="BQ31" s="9">
        <f t="shared" si="110"/>
        <v>0</v>
      </c>
      <c r="BR31">
        <v>0</v>
      </c>
      <c r="BS31" s="9">
        <f t="shared" si="111"/>
        <v>0</v>
      </c>
      <c r="BU31">
        <v>10000</v>
      </c>
      <c r="BV31">
        <v>0</v>
      </c>
      <c r="BW31" s="9">
        <f t="shared" si="112"/>
        <v>0</v>
      </c>
      <c r="BX31">
        <v>0</v>
      </c>
      <c r="BY31" s="9">
        <f t="shared" si="113"/>
        <v>0</v>
      </c>
      <c r="BZ31">
        <v>0</v>
      </c>
      <c r="CA31" s="9">
        <f t="shared" si="114"/>
        <v>0</v>
      </c>
      <c r="CB31">
        <v>0</v>
      </c>
      <c r="CC31" s="9">
        <f t="shared" si="115"/>
        <v>0</v>
      </c>
      <c r="CD31">
        <v>0</v>
      </c>
      <c r="CE31" s="9">
        <f t="shared" si="116"/>
        <v>0</v>
      </c>
      <c r="CF31">
        <v>0</v>
      </c>
      <c r="CG31" s="9">
        <f t="shared" si="117"/>
        <v>0</v>
      </c>
      <c r="CI31">
        <v>10000</v>
      </c>
      <c r="CJ31">
        <f t="shared" si="51"/>
        <v>698</v>
      </c>
      <c r="CK31" s="9">
        <f t="shared" si="118"/>
        <v>6993.9879759519035</v>
      </c>
      <c r="CL31">
        <f t="shared" si="52"/>
        <v>675</v>
      </c>
      <c r="CM31" s="9">
        <f t="shared" si="15"/>
        <v>6923.0769230769229</v>
      </c>
      <c r="CN31">
        <f t="shared" si="60"/>
        <v>654</v>
      </c>
      <c r="CO31" s="9">
        <f t="shared" si="23"/>
        <v>6855.3459119496856</v>
      </c>
      <c r="CP31">
        <f t="shared" si="63"/>
        <v>635</v>
      </c>
      <c r="CQ31" s="9">
        <f t="shared" si="53"/>
        <v>6791.4438502673802</v>
      </c>
      <c r="CR31">
        <f t="shared" si="68"/>
        <v>612</v>
      </c>
      <c r="CS31" s="9">
        <f t="shared" si="64"/>
        <v>6710.5263157894733</v>
      </c>
      <c r="CT31">
        <f t="shared" si="72"/>
        <v>603</v>
      </c>
      <c r="CU31" s="9">
        <f t="shared" si="69"/>
        <v>6677.740863787375</v>
      </c>
      <c r="CV31">
        <v>0</v>
      </c>
      <c r="CW31" s="9">
        <f t="shared" si="70"/>
        <v>0</v>
      </c>
    </row>
    <row r="32" spans="1:101" x14ac:dyDescent="0.25">
      <c r="A32">
        <v>10500</v>
      </c>
      <c r="B32">
        <v>0</v>
      </c>
      <c r="C32" s="9">
        <f t="shared" si="82"/>
        <v>0</v>
      </c>
      <c r="D32">
        <v>0</v>
      </c>
      <c r="E32" s="9">
        <f t="shared" si="83"/>
        <v>0</v>
      </c>
      <c r="F32">
        <v>0</v>
      </c>
      <c r="G32" s="9">
        <f t="shared" si="84"/>
        <v>0</v>
      </c>
      <c r="H32">
        <v>0</v>
      </c>
      <c r="I32" s="9">
        <f t="shared" si="85"/>
        <v>0</v>
      </c>
      <c r="J32">
        <v>0</v>
      </c>
      <c r="K32" s="9">
        <f t="shared" si="86"/>
        <v>0</v>
      </c>
      <c r="M32">
        <v>10500</v>
      </c>
      <c r="N32">
        <v>0</v>
      </c>
      <c r="O32" s="9">
        <f t="shared" si="87"/>
        <v>0</v>
      </c>
      <c r="P32">
        <v>0</v>
      </c>
      <c r="Q32" s="9">
        <f t="shared" si="88"/>
        <v>0</v>
      </c>
      <c r="R32">
        <v>0</v>
      </c>
      <c r="S32" s="9">
        <f t="shared" si="89"/>
        <v>0</v>
      </c>
      <c r="T32">
        <v>0</v>
      </c>
      <c r="U32" s="9">
        <f t="shared" si="90"/>
        <v>0</v>
      </c>
      <c r="V32">
        <v>0</v>
      </c>
      <c r="W32" s="9">
        <f t="shared" si="91"/>
        <v>0</v>
      </c>
      <c r="Y32">
        <v>10500</v>
      </c>
      <c r="Z32">
        <v>0</v>
      </c>
      <c r="AA32" s="9">
        <f t="shared" si="92"/>
        <v>0</v>
      </c>
      <c r="AB32">
        <v>0</v>
      </c>
      <c r="AC32" s="9">
        <f t="shared" si="93"/>
        <v>0</v>
      </c>
      <c r="AD32">
        <v>0</v>
      </c>
      <c r="AE32" s="9">
        <f t="shared" si="94"/>
        <v>0</v>
      </c>
      <c r="AF32">
        <v>0</v>
      </c>
      <c r="AG32" s="9">
        <f t="shared" si="95"/>
        <v>0</v>
      </c>
      <c r="AH32">
        <v>0</v>
      </c>
      <c r="AI32" s="9">
        <f t="shared" si="96"/>
        <v>0</v>
      </c>
      <c r="AK32">
        <v>10500</v>
      </c>
      <c r="AL32">
        <v>0</v>
      </c>
      <c r="AM32" s="9">
        <f t="shared" si="97"/>
        <v>0</v>
      </c>
      <c r="AN32">
        <v>0</v>
      </c>
      <c r="AO32" s="9">
        <f t="shared" si="98"/>
        <v>0</v>
      </c>
      <c r="AP32">
        <v>0</v>
      </c>
      <c r="AQ32" s="9">
        <f t="shared" si="99"/>
        <v>0</v>
      </c>
      <c r="AR32">
        <v>0</v>
      </c>
      <c r="AS32" s="9">
        <f t="shared" si="100"/>
        <v>0</v>
      </c>
      <c r="AT32">
        <v>0</v>
      </c>
      <c r="AU32" s="9">
        <f t="shared" si="101"/>
        <v>0</v>
      </c>
      <c r="AW32">
        <v>10500</v>
      </c>
      <c r="AX32">
        <v>0</v>
      </c>
      <c r="AY32" s="9">
        <f t="shared" si="102"/>
        <v>0</v>
      </c>
      <c r="AZ32">
        <v>0</v>
      </c>
      <c r="BA32" s="9">
        <f t="shared" si="103"/>
        <v>0</v>
      </c>
      <c r="BB32">
        <v>0</v>
      </c>
      <c r="BC32" s="9">
        <f t="shared" si="104"/>
        <v>0</v>
      </c>
      <c r="BD32">
        <v>0</v>
      </c>
      <c r="BE32" s="9">
        <f t="shared" si="105"/>
        <v>0</v>
      </c>
      <c r="BF32">
        <v>0</v>
      </c>
      <c r="BG32" s="9">
        <f t="shared" si="106"/>
        <v>0</v>
      </c>
      <c r="BI32">
        <v>10500</v>
      </c>
      <c r="BJ32">
        <v>0</v>
      </c>
      <c r="BK32" s="9">
        <f t="shared" si="107"/>
        <v>0</v>
      </c>
      <c r="BL32">
        <v>0</v>
      </c>
      <c r="BM32" s="9">
        <f t="shared" si="108"/>
        <v>0</v>
      </c>
      <c r="BN32">
        <v>0</v>
      </c>
      <c r="BO32" s="9">
        <f t="shared" si="109"/>
        <v>0</v>
      </c>
      <c r="BP32">
        <v>0</v>
      </c>
      <c r="BQ32" s="9">
        <f t="shared" si="110"/>
        <v>0</v>
      </c>
      <c r="BR32">
        <v>0</v>
      </c>
      <c r="BS32" s="9">
        <f t="shared" si="111"/>
        <v>0</v>
      </c>
      <c r="BU32">
        <v>10500</v>
      </c>
      <c r="BV32">
        <v>0</v>
      </c>
      <c r="BW32" s="9">
        <f t="shared" si="112"/>
        <v>0</v>
      </c>
      <c r="BX32">
        <v>0</v>
      </c>
      <c r="BY32" s="9">
        <f t="shared" si="113"/>
        <v>0</v>
      </c>
      <c r="BZ32">
        <v>0</v>
      </c>
      <c r="CA32" s="9">
        <f t="shared" si="114"/>
        <v>0</v>
      </c>
      <c r="CB32">
        <v>0</v>
      </c>
      <c r="CC32" s="9">
        <f t="shared" si="115"/>
        <v>0</v>
      </c>
      <c r="CD32">
        <v>0</v>
      </c>
      <c r="CE32" s="9">
        <f t="shared" si="116"/>
        <v>0</v>
      </c>
      <c r="CF32">
        <v>0</v>
      </c>
      <c r="CG32" s="9">
        <f t="shared" si="117"/>
        <v>0</v>
      </c>
      <c r="CI32">
        <v>10500</v>
      </c>
      <c r="CJ32">
        <f t="shared" si="51"/>
        <v>696</v>
      </c>
      <c r="CK32" s="9">
        <f t="shared" si="118"/>
        <v>7337.3493975903611</v>
      </c>
      <c r="CL32">
        <f t="shared" si="52"/>
        <v>672</v>
      </c>
      <c r="CM32" s="9">
        <f t="shared" si="15"/>
        <v>7259.25925925926</v>
      </c>
      <c r="CN32">
        <f t="shared" si="60"/>
        <v>650</v>
      </c>
      <c r="CO32" s="9">
        <f t="shared" si="23"/>
        <v>7184.2105263157891</v>
      </c>
      <c r="CP32">
        <f t="shared" si="63"/>
        <v>630</v>
      </c>
      <c r="CQ32" s="9">
        <f t="shared" si="53"/>
        <v>7112.9032258064517</v>
      </c>
      <c r="CR32">
        <f t="shared" si="68"/>
        <v>606</v>
      </c>
      <c r="CS32" s="9">
        <f t="shared" si="64"/>
        <v>7023.1788079470198</v>
      </c>
      <c r="CT32">
        <f t="shared" si="72"/>
        <v>596</v>
      </c>
      <c r="CU32" s="9">
        <f t="shared" si="69"/>
        <v>6984.375</v>
      </c>
      <c r="CV32">
        <v>0</v>
      </c>
      <c r="CW32" s="9">
        <f t="shared" si="70"/>
        <v>0</v>
      </c>
    </row>
    <row r="33" spans="1:101" x14ac:dyDescent="0.25">
      <c r="A33">
        <v>11000</v>
      </c>
      <c r="B33">
        <v>0</v>
      </c>
      <c r="C33" s="9">
        <f t="shared" si="82"/>
        <v>0</v>
      </c>
      <c r="D33">
        <v>0</v>
      </c>
      <c r="E33" s="9">
        <f t="shared" si="83"/>
        <v>0</v>
      </c>
      <c r="F33">
        <v>0</v>
      </c>
      <c r="G33" s="9">
        <f t="shared" si="84"/>
        <v>0</v>
      </c>
      <c r="H33">
        <v>0</v>
      </c>
      <c r="I33" s="9">
        <f t="shared" si="85"/>
        <v>0</v>
      </c>
      <c r="J33">
        <v>0</v>
      </c>
      <c r="K33" s="9">
        <f t="shared" si="86"/>
        <v>0</v>
      </c>
      <c r="M33">
        <v>11000</v>
      </c>
      <c r="N33">
        <v>0</v>
      </c>
      <c r="O33" s="9">
        <f t="shared" si="87"/>
        <v>0</v>
      </c>
      <c r="P33">
        <v>0</v>
      </c>
      <c r="Q33" s="9">
        <f t="shared" si="88"/>
        <v>0</v>
      </c>
      <c r="R33">
        <v>0</v>
      </c>
      <c r="S33" s="9">
        <f t="shared" si="89"/>
        <v>0</v>
      </c>
      <c r="T33">
        <v>0</v>
      </c>
      <c r="U33" s="9">
        <f t="shared" si="90"/>
        <v>0</v>
      </c>
      <c r="V33">
        <v>0</v>
      </c>
      <c r="W33" s="9">
        <f t="shared" si="91"/>
        <v>0</v>
      </c>
      <c r="Y33">
        <v>11000</v>
      </c>
      <c r="Z33">
        <v>0</v>
      </c>
      <c r="AA33" s="9">
        <f t="shared" si="92"/>
        <v>0</v>
      </c>
      <c r="AB33">
        <v>0</v>
      </c>
      <c r="AC33" s="9">
        <f t="shared" si="93"/>
        <v>0</v>
      </c>
      <c r="AD33">
        <v>0</v>
      </c>
      <c r="AE33" s="9">
        <f t="shared" si="94"/>
        <v>0</v>
      </c>
      <c r="AF33">
        <v>0</v>
      </c>
      <c r="AG33" s="9">
        <f t="shared" si="95"/>
        <v>0</v>
      </c>
      <c r="AH33">
        <v>0</v>
      </c>
      <c r="AI33" s="9">
        <f t="shared" si="96"/>
        <v>0</v>
      </c>
      <c r="AK33">
        <v>11000</v>
      </c>
      <c r="AL33">
        <v>0</v>
      </c>
      <c r="AM33" s="9">
        <f t="shared" si="97"/>
        <v>0</v>
      </c>
      <c r="AN33">
        <v>0</v>
      </c>
      <c r="AO33" s="9">
        <f t="shared" si="98"/>
        <v>0</v>
      </c>
      <c r="AP33">
        <v>0</v>
      </c>
      <c r="AQ33" s="9">
        <f t="shared" si="99"/>
        <v>0</v>
      </c>
      <c r="AR33">
        <v>0</v>
      </c>
      <c r="AS33" s="9">
        <f t="shared" si="100"/>
        <v>0</v>
      </c>
      <c r="AT33">
        <v>0</v>
      </c>
      <c r="AU33" s="9">
        <f t="shared" si="101"/>
        <v>0</v>
      </c>
      <c r="AW33">
        <v>11000</v>
      </c>
      <c r="AX33">
        <v>0</v>
      </c>
      <c r="AY33" s="9">
        <f t="shared" si="102"/>
        <v>0</v>
      </c>
      <c r="AZ33">
        <v>0</v>
      </c>
      <c r="BA33" s="9">
        <f t="shared" si="103"/>
        <v>0</v>
      </c>
      <c r="BB33">
        <v>0</v>
      </c>
      <c r="BC33" s="9">
        <f t="shared" si="104"/>
        <v>0</v>
      </c>
      <c r="BD33">
        <v>0</v>
      </c>
      <c r="BE33" s="9">
        <f t="shared" si="105"/>
        <v>0</v>
      </c>
      <c r="BF33">
        <v>0</v>
      </c>
      <c r="BG33" s="9">
        <f t="shared" si="106"/>
        <v>0</v>
      </c>
      <c r="BI33">
        <v>11000</v>
      </c>
      <c r="BJ33">
        <v>0</v>
      </c>
      <c r="BK33" s="9">
        <f t="shared" si="107"/>
        <v>0</v>
      </c>
      <c r="BL33">
        <v>0</v>
      </c>
      <c r="BM33" s="9">
        <f t="shared" si="108"/>
        <v>0</v>
      </c>
      <c r="BN33">
        <v>0</v>
      </c>
      <c r="BO33" s="9">
        <f t="shared" si="109"/>
        <v>0</v>
      </c>
      <c r="BP33">
        <v>0</v>
      </c>
      <c r="BQ33" s="9">
        <f t="shared" si="110"/>
        <v>0</v>
      </c>
      <c r="BR33">
        <v>0</v>
      </c>
      <c r="BS33" s="9">
        <f t="shared" si="111"/>
        <v>0</v>
      </c>
      <c r="BU33">
        <v>11000</v>
      </c>
      <c r="BV33">
        <v>0</v>
      </c>
      <c r="BW33" s="9">
        <f t="shared" si="112"/>
        <v>0</v>
      </c>
      <c r="BX33">
        <v>0</v>
      </c>
      <c r="BY33" s="9">
        <f t="shared" si="113"/>
        <v>0</v>
      </c>
      <c r="BZ33">
        <v>0</v>
      </c>
      <c r="CA33" s="9">
        <f t="shared" si="114"/>
        <v>0</v>
      </c>
      <c r="CB33">
        <v>0</v>
      </c>
      <c r="CC33" s="9">
        <f t="shared" si="115"/>
        <v>0</v>
      </c>
      <c r="CD33">
        <v>0</v>
      </c>
      <c r="CE33" s="9">
        <f t="shared" si="116"/>
        <v>0</v>
      </c>
      <c r="CF33">
        <v>0</v>
      </c>
      <c r="CG33" s="9">
        <f t="shared" si="117"/>
        <v>0</v>
      </c>
      <c r="CI33">
        <v>11000</v>
      </c>
      <c r="CJ33">
        <f t="shared" si="51"/>
        <v>694</v>
      </c>
      <c r="CK33" s="9">
        <f t="shared" si="118"/>
        <v>7680.0804828973851</v>
      </c>
      <c r="CL33">
        <f t="shared" si="52"/>
        <v>669</v>
      </c>
      <c r="CM33" s="9">
        <f t="shared" si="15"/>
        <v>7594.4272445820425</v>
      </c>
      <c r="CN33">
        <f t="shared" si="60"/>
        <v>646</v>
      </c>
      <c r="CO33" s="9">
        <f t="shared" si="23"/>
        <v>7511.6279069767443</v>
      </c>
      <c r="CP33">
        <f t="shared" si="63"/>
        <v>625</v>
      </c>
      <c r="CQ33" s="9">
        <f t="shared" si="53"/>
        <v>7432.4324324324325</v>
      </c>
      <c r="CR33">
        <f t="shared" si="68"/>
        <v>600</v>
      </c>
      <c r="CS33" s="9">
        <f t="shared" si="64"/>
        <v>7333.333333333333</v>
      </c>
      <c r="CT33">
        <f t="shared" si="72"/>
        <v>589</v>
      </c>
      <c r="CU33" s="9">
        <f t="shared" si="69"/>
        <v>7287.9640044994385</v>
      </c>
      <c r="CV33">
        <v>0</v>
      </c>
      <c r="CW33">
        <v>0</v>
      </c>
    </row>
    <row r="34" spans="1:101" x14ac:dyDescent="0.25">
      <c r="A34">
        <v>11500</v>
      </c>
      <c r="B34">
        <v>0</v>
      </c>
      <c r="C34" s="9">
        <f t="shared" si="82"/>
        <v>0</v>
      </c>
      <c r="D34">
        <v>0</v>
      </c>
      <c r="E34" s="9">
        <f t="shared" si="83"/>
        <v>0</v>
      </c>
      <c r="F34">
        <v>0</v>
      </c>
      <c r="G34" s="9">
        <f t="shared" si="84"/>
        <v>0</v>
      </c>
      <c r="H34">
        <v>0</v>
      </c>
      <c r="I34" s="9">
        <f t="shared" si="85"/>
        <v>0</v>
      </c>
      <c r="J34">
        <v>0</v>
      </c>
      <c r="K34" s="9">
        <f t="shared" si="86"/>
        <v>0</v>
      </c>
      <c r="M34">
        <v>11500</v>
      </c>
      <c r="N34">
        <v>0</v>
      </c>
      <c r="O34" s="9">
        <f t="shared" si="87"/>
        <v>0</v>
      </c>
      <c r="P34">
        <v>0</v>
      </c>
      <c r="Q34" s="9">
        <f t="shared" si="88"/>
        <v>0</v>
      </c>
      <c r="R34">
        <v>0</v>
      </c>
      <c r="S34" s="9">
        <f t="shared" si="89"/>
        <v>0</v>
      </c>
      <c r="T34">
        <v>0</v>
      </c>
      <c r="U34" s="9">
        <f t="shared" si="90"/>
        <v>0</v>
      </c>
      <c r="V34">
        <v>0</v>
      </c>
      <c r="W34" s="9">
        <f t="shared" si="91"/>
        <v>0</v>
      </c>
      <c r="Y34">
        <v>11500</v>
      </c>
      <c r="Z34">
        <v>0</v>
      </c>
      <c r="AA34" s="9">
        <f t="shared" si="92"/>
        <v>0</v>
      </c>
      <c r="AB34">
        <v>0</v>
      </c>
      <c r="AC34" s="9">
        <f t="shared" si="93"/>
        <v>0</v>
      </c>
      <c r="AD34">
        <v>0</v>
      </c>
      <c r="AE34" s="9">
        <f t="shared" si="94"/>
        <v>0</v>
      </c>
      <c r="AF34">
        <v>0</v>
      </c>
      <c r="AG34" s="9">
        <f t="shared" si="95"/>
        <v>0</v>
      </c>
      <c r="AH34">
        <v>0</v>
      </c>
      <c r="AI34" s="9">
        <f t="shared" si="96"/>
        <v>0</v>
      </c>
      <c r="AK34">
        <v>11500</v>
      </c>
      <c r="AL34">
        <v>0</v>
      </c>
      <c r="AM34" s="9">
        <f t="shared" si="97"/>
        <v>0</v>
      </c>
      <c r="AN34">
        <v>0</v>
      </c>
      <c r="AO34" s="9">
        <f t="shared" si="98"/>
        <v>0</v>
      </c>
      <c r="AP34">
        <v>0</v>
      </c>
      <c r="AQ34" s="9">
        <f t="shared" si="99"/>
        <v>0</v>
      </c>
      <c r="AR34">
        <v>0</v>
      </c>
      <c r="AS34" s="9">
        <f t="shared" si="100"/>
        <v>0</v>
      </c>
      <c r="AT34">
        <v>0</v>
      </c>
      <c r="AU34" s="9">
        <f t="shared" si="101"/>
        <v>0</v>
      </c>
      <c r="AW34">
        <v>11500</v>
      </c>
      <c r="AX34">
        <v>0</v>
      </c>
      <c r="AY34" s="9">
        <f t="shared" si="102"/>
        <v>0</v>
      </c>
      <c r="AZ34">
        <v>0</v>
      </c>
      <c r="BA34" s="9">
        <f t="shared" si="103"/>
        <v>0</v>
      </c>
      <c r="BB34">
        <v>0</v>
      </c>
      <c r="BC34" s="9">
        <f t="shared" si="104"/>
        <v>0</v>
      </c>
      <c r="BD34">
        <v>0</v>
      </c>
      <c r="BE34" s="9">
        <f t="shared" si="105"/>
        <v>0</v>
      </c>
      <c r="BF34">
        <v>0</v>
      </c>
      <c r="BG34" s="9">
        <f t="shared" si="106"/>
        <v>0</v>
      </c>
      <c r="BI34">
        <v>11500</v>
      </c>
      <c r="BJ34">
        <v>0</v>
      </c>
      <c r="BK34" s="9">
        <f t="shared" si="107"/>
        <v>0</v>
      </c>
      <c r="BL34">
        <v>0</v>
      </c>
      <c r="BM34" s="9">
        <f t="shared" si="108"/>
        <v>0</v>
      </c>
      <c r="BN34">
        <v>0</v>
      </c>
      <c r="BO34" s="9">
        <f t="shared" si="109"/>
        <v>0</v>
      </c>
      <c r="BP34">
        <v>0</v>
      </c>
      <c r="BQ34" s="9">
        <f t="shared" si="110"/>
        <v>0</v>
      </c>
      <c r="BR34">
        <v>0</v>
      </c>
      <c r="BS34" s="9">
        <f t="shared" si="111"/>
        <v>0</v>
      </c>
      <c r="BU34">
        <v>11500</v>
      </c>
      <c r="BV34">
        <v>0</v>
      </c>
      <c r="BW34" s="9">
        <f t="shared" si="112"/>
        <v>0</v>
      </c>
      <c r="BX34">
        <v>0</v>
      </c>
      <c r="BY34" s="9">
        <f t="shared" si="113"/>
        <v>0</v>
      </c>
      <c r="BZ34">
        <v>0</v>
      </c>
      <c r="CA34" s="9">
        <f t="shared" si="114"/>
        <v>0</v>
      </c>
      <c r="CB34">
        <v>0</v>
      </c>
      <c r="CC34" s="9">
        <f t="shared" si="115"/>
        <v>0</v>
      </c>
      <c r="CD34">
        <v>0</v>
      </c>
      <c r="CE34" s="9">
        <f t="shared" si="116"/>
        <v>0</v>
      </c>
      <c r="CF34">
        <v>0</v>
      </c>
      <c r="CG34" s="9">
        <f t="shared" si="117"/>
        <v>0</v>
      </c>
      <c r="CI34">
        <v>11500</v>
      </c>
      <c r="CJ34">
        <f t="shared" si="51"/>
        <v>692</v>
      </c>
      <c r="CK34" s="9">
        <f t="shared" si="118"/>
        <v>8022.1774193548381</v>
      </c>
      <c r="CL34">
        <f t="shared" si="52"/>
        <v>666</v>
      </c>
      <c r="CM34" s="9">
        <f t="shared" si="15"/>
        <v>7928.5714285714294</v>
      </c>
      <c r="CN34">
        <f t="shared" si="60"/>
        <v>642</v>
      </c>
      <c r="CO34" s="9">
        <f t="shared" si="23"/>
        <v>7837.5796178343944</v>
      </c>
      <c r="CP34">
        <f t="shared" si="63"/>
        <v>620</v>
      </c>
      <c r="CQ34" s="9">
        <f t="shared" si="53"/>
        <v>7750</v>
      </c>
      <c r="CR34">
        <f t="shared" si="68"/>
        <v>594</v>
      </c>
      <c r="CS34" s="9">
        <f t="shared" si="64"/>
        <v>7640.939597315436</v>
      </c>
      <c r="CT34">
        <f t="shared" si="72"/>
        <v>582</v>
      </c>
      <c r="CU34" s="9">
        <f t="shared" si="69"/>
        <v>7588.4353741496598</v>
      </c>
      <c r="CV34">
        <v>0</v>
      </c>
      <c r="CW34">
        <v>0</v>
      </c>
    </row>
    <row r="35" spans="1:101" x14ac:dyDescent="0.25">
      <c r="A35">
        <v>12000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M35">
        <v>12000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Y35">
        <v>12000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K35">
        <v>12000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W35">
        <v>12000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I35">
        <v>12000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U35">
        <v>12000</v>
      </c>
      <c r="BV35">
        <v>0</v>
      </c>
      <c r="BW35" s="9">
        <f t="shared" si="112"/>
        <v>0</v>
      </c>
      <c r="BX35">
        <v>0</v>
      </c>
      <c r="BY35" s="9">
        <f t="shared" si="113"/>
        <v>0</v>
      </c>
      <c r="BZ35">
        <v>0</v>
      </c>
      <c r="CA35" s="9">
        <f t="shared" si="114"/>
        <v>0</v>
      </c>
      <c r="CB35">
        <v>0</v>
      </c>
      <c r="CC35" s="9">
        <f t="shared" si="115"/>
        <v>0</v>
      </c>
      <c r="CD35">
        <v>0</v>
      </c>
      <c r="CE35" s="9">
        <f t="shared" si="116"/>
        <v>0</v>
      </c>
      <c r="CF35">
        <v>0</v>
      </c>
      <c r="CG35" s="9">
        <f t="shared" si="117"/>
        <v>0</v>
      </c>
      <c r="CI35">
        <v>12000</v>
      </c>
      <c r="CJ35">
        <f t="shared" si="51"/>
        <v>690</v>
      </c>
      <c r="CK35" s="9">
        <f t="shared" si="118"/>
        <v>8363.636363636364</v>
      </c>
      <c r="CL35">
        <f t="shared" si="52"/>
        <v>663</v>
      </c>
      <c r="CM35" s="9">
        <f t="shared" si="15"/>
        <v>8261.6822429906533</v>
      </c>
      <c r="CN35">
        <f t="shared" si="60"/>
        <v>638</v>
      </c>
      <c r="CO35" s="9">
        <f t="shared" si="23"/>
        <v>8162.0469083155649</v>
      </c>
      <c r="CP35">
        <f t="shared" si="63"/>
        <v>615</v>
      </c>
      <c r="CQ35" s="9">
        <f t="shared" si="53"/>
        <v>8065.5737704918029</v>
      </c>
      <c r="CR35">
        <f t="shared" si="68"/>
        <v>588</v>
      </c>
      <c r="CS35" s="9">
        <f t="shared" si="64"/>
        <v>7945.9459459459458</v>
      </c>
      <c r="CT35">
        <f t="shared" si="72"/>
        <v>575</v>
      </c>
      <c r="CU35" s="9">
        <f t="shared" si="69"/>
        <v>7885.7142857142862</v>
      </c>
      <c r="CV35">
        <v>0</v>
      </c>
      <c r="CW35">
        <v>0</v>
      </c>
    </row>
    <row r="36" spans="1:101" x14ac:dyDescent="0.25">
      <c r="A36">
        <v>12500</v>
      </c>
      <c r="B36">
        <v>0</v>
      </c>
      <c r="C36" s="9">
        <v>0</v>
      </c>
      <c r="D36">
        <v>0</v>
      </c>
      <c r="E36" s="9">
        <v>0</v>
      </c>
      <c r="F36">
        <v>0</v>
      </c>
      <c r="G36" s="9">
        <v>0</v>
      </c>
      <c r="H36">
        <v>0</v>
      </c>
      <c r="I36" s="9">
        <v>0</v>
      </c>
      <c r="J36">
        <v>0</v>
      </c>
      <c r="K36" s="9">
        <v>0</v>
      </c>
      <c r="M36">
        <v>12500</v>
      </c>
      <c r="N36">
        <v>0</v>
      </c>
      <c r="O36" s="9">
        <v>0</v>
      </c>
      <c r="P36">
        <v>0</v>
      </c>
      <c r="Q36" s="9">
        <v>0</v>
      </c>
      <c r="R36">
        <v>0</v>
      </c>
      <c r="S36" s="9">
        <v>0</v>
      </c>
      <c r="T36">
        <v>0</v>
      </c>
      <c r="U36" s="9">
        <v>0</v>
      </c>
      <c r="V36">
        <v>0</v>
      </c>
      <c r="W36" s="9">
        <v>0</v>
      </c>
      <c r="Y36">
        <v>12500</v>
      </c>
      <c r="Z36">
        <v>0</v>
      </c>
      <c r="AA36" s="9">
        <v>0</v>
      </c>
      <c r="AB36">
        <v>0</v>
      </c>
      <c r="AC36" s="9">
        <v>0</v>
      </c>
      <c r="AD36">
        <v>0</v>
      </c>
      <c r="AE36" s="9">
        <v>0</v>
      </c>
      <c r="AF36">
        <v>0</v>
      </c>
      <c r="AG36" s="9">
        <v>0</v>
      </c>
      <c r="AH36">
        <v>0</v>
      </c>
      <c r="AI36" s="9">
        <v>0</v>
      </c>
      <c r="AK36">
        <v>12500</v>
      </c>
      <c r="AL36">
        <v>0</v>
      </c>
      <c r="AM36" s="9">
        <v>0</v>
      </c>
      <c r="AN36">
        <v>0</v>
      </c>
      <c r="AO36" s="9">
        <v>0</v>
      </c>
      <c r="AP36">
        <v>0</v>
      </c>
      <c r="AQ36" s="9">
        <v>0</v>
      </c>
      <c r="AR36">
        <v>0</v>
      </c>
      <c r="AS36" s="9">
        <v>0</v>
      </c>
      <c r="AT36">
        <v>0</v>
      </c>
      <c r="AU36" s="9">
        <v>0</v>
      </c>
      <c r="AW36">
        <v>12500</v>
      </c>
      <c r="AX36">
        <v>0</v>
      </c>
      <c r="AY36" s="9">
        <v>0</v>
      </c>
      <c r="AZ36">
        <v>0</v>
      </c>
      <c r="BA36" s="9">
        <v>0</v>
      </c>
      <c r="BB36">
        <v>0</v>
      </c>
      <c r="BC36" s="9">
        <v>0</v>
      </c>
      <c r="BD36">
        <v>0</v>
      </c>
      <c r="BE36" s="9">
        <v>0</v>
      </c>
      <c r="BF36">
        <v>0</v>
      </c>
      <c r="BG36" s="9">
        <v>0</v>
      </c>
      <c r="BI36">
        <v>12500</v>
      </c>
      <c r="BJ36">
        <v>0</v>
      </c>
      <c r="BK36" s="9">
        <v>0</v>
      </c>
      <c r="BL36">
        <v>0</v>
      </c>
      <c r="BM36" s="9">
        <v>0</v>
      </c>
      <c r="BN36">
        <v>0</v>
      </c>
      <c r="BO36" s="9">
        <v>0</v>
      </c>
      <c r="BP36">
        <v>0</v>
      </c>
      <c r="BQ36" s="9">
        <v>0</v>
      </c>
      <c r="BR36">
        <v>0</v>
      </c>
      <c r="BS36" s="9">
        <v>0</v>
      </c>
      <c r="BU36">
        <v>12500</v>
      </c>
      <c r="BV36">
        <v>0</v>
      </c>
      <c r="BW36" s="9">
        <v>0</v>
      </c>
      <c r="BX36">
        <v>0</v>
      </c>
      <c r="BY36" s="9">
        <v>0</v>
      </c>
      <c r="BZ36">
        <v>0</v>
      </c>
      <c r="CA36" s="9">
        <v>0</v>
      </c>
      <c r="CB36">
        <v>0</v>
      </c>
      <c r="CC36" s="9">
        <v>0</v>
      </c>
      <c r="CD36">
        <v>0</v>
      </c>
      <c r="CE36" s="9">
        <v>0</v>
      </c>
      <c r="CF36">
        <v>0</v>
      </c>
      <c r="CG36" s="9">
        <v>0</v>
      </c>
      <c r="CI36">
        <v>12500</v>
      </c>
      <c r="CJ36">
        <f t="shared" si="51"/>
        <v>688</v>
      </c>
      <c r="CK36" s="9">
        <f t="shared" ref="CK36:CK46" si="119">PRODUCT(CI36,CJ36,1/(CJ36+300))</f>
        <v>8704.4534412955472</v>
      </c>
      <c r="CL36">
        <f t="shared" si="52"/>
        <v>660</v>
      </c>
      <c r="CM36" s="9">
        <f t="shared" si="15"/>
        <v>8593.75</v>
      </c>
      <c r="CN36">
        <f t="shared" si="60"/>
        <v>634</v>
      </c>
      <c r="CO36" s="9">
        <f t="shared" si="23"/>
        <v>8485.010706638117</v>
      </c>
      <c r="CP36">
        <f t="shared" si="63"/>
        <v>610</v>
      </c>
      <c r="CQ36" s="9">
        <f t="shared" si="53"/>
        <v>8379.1208791208792</v>
      </c>
      <c r="CR36">
        <f t="shared" si="68"/>
        <v>582</v>
      </c>
      <c r="CS36" s="9">
        <f t="shared" si="64"/>
        <v>8248.299319727892</v>
      </c>
      <c r="CT36">
        <f t="shared" si="72"/>
        <v>568</v>
      </c>
      <c r="CU36" s="9">
        <f t="shared" si="69"/>
        <v>8179.7235023041476</v>
      </c>
      <c r="CV36">
        <v>0</v>
      </c>
      <c r="CW36">
        <v>0</v>
      </c>
    </row>
    <row r="37" spans="1:101" x14ac:dyDescent="0.25">
      <c r="A37">
        <v>13000</v>
      </c>
      <c r="B37">
        <v>0</v>
      </c>
      <c r="C37" s="9">
        <v>0</v>
      </c>
      <c r="D37">
        <v>0</v>
      </c>
      <c r="E37" s="9">
        <v>0</v>
      </c>
      <c r="F37">
        <v>0</v>
      </c>
      <c r="G37" s="9">
        <v>0</v>
      </c>
      <c r="H37">
        <v>0</v>
      </c>
      <c r="I37" s="9">
        <v>0</v>
      </c>
      <c r="J37">
        <v>0</v>
      </c>
      <c r="K37" s="9">
        <v>0</v>
      </c>
      <c r="M37">
        <v>13000</v>
      </c>
      <c r="N37">
        <v>0</v>
      </c>
      <c r="O37" s="9">
        <v>0</v>
      </c>
      <c r="P37">
        <v>0</v>
      </c>
      <c r="Q37" s="9">
        <v>0</v>
      </c>
      <c r="R37">
        <v>0</v>
      </c>
      <c r="S37" s="9">
        <v>0</v>
      </c>
      <c r="T37">
        <v>0</v>
      </c>
      <c r="U37" s="9">
        <v>0</v>
      </c>
      <c r="V37">
        <v>0</v>
      </c>
      <c r="W37" s="9">
        <v>0</v>
      </c>
      <c r="Y37">
        <v>13000</v>
      </c>
      <c r="Z37">
        <v>0</v>
      </c>
      <c r="AA37" s="9">
        <v>0</v>
      </c>
      <c r="AB37">
        <v>0</v>
      </c>
      <c r="AC37" s="9">
        <v>0</v>
      </c>
      <c r="AD37">
        <v>0</v>
      </c>
      <c r="AE37" s="9">
        <v>0</v>
      </c>
      <c r="AF37">
        <v>0</v>
      </c>
      <c r="AG37" s="9">
        <v>0</v>
      </c>
      <c r="AH37">
        <v>0</v>
      </c>
      <c r="AI37" s="9">
        <v>0</v>
      </c>
      <c r="AK37">
        <v>13000</v>
      </c>
      <c r="AL37">
        <v>0</v>
      </c>
      <c r="AM37" s="9">
        <v>0</v>
      </c>
      <c r="AN37">
        <v>0</v>
      </c>
      <c r="AO37" s="9">
        <v>0</v>
      </c>
      <c r="AP37">
        <v>0</v>
      </c>
      <c r="AQ37" s="9">
        <v>0</v>
      </c>
      <c r="AR37">
        <v>0</v>
      </c>
      <c r="AS37" s="9">
        <v>0</v>
      </c>
      <c r="AT37">
        <v>0</v>
      </c>
      <c r="AU37" s="9">
        <v>0</v>
      </c>
      <c r="AW37">
        <v>13000</v>
      </c>
      <c r="AX37">
        <v>0</v>
      </c>
      <c r="AY37" s="9">
        <v>0</v>
      </c>
      <c r="AZ37">
        <v>0</v>
      </c>
      <c r="BA37" s="9">
        <v>0</v>
      </c>
      <c r="BB37">
        <v>0</v>
      </c>
      <c r="BC37" s="9">
        <v>0</v>
      </c>
      <c r="BD37">
        <v>0</v>
      </c>
      <c r="BE37" s="9">
        <v>0</v>
      </c>
      <c r="BF37">
        <v>0</v>
      </c>
      <c r="BG37" s="9">
        <v>0</v>
      </c>
      <c r="BI37">
        <v>13000</v>
      </c>
      <c r="BJ37">
        <v>0</v>
      </c>
      <c r="BK37" s="9">
        <v>0</v>
      </c>
      <c r="BL37">
        <v>0</v>
      </c>
      <c r="BM37" s="9">
        <v>0</v>
      </c>
      <c r="BN37">
        <v>0</v>
      </c>
      <c r="BO37" s="9">
        <v>0</v>
      </c>
      <c r="BP37">
        <v>0</v>
      </c>
      <c r="BQ37" s="9">
        <v>0</v>
      </c>
      <c r="BR37">
        <v>0</v>
      </c>
      <c r="BS37" s="9">
        <v>0</v>
      </c>
      <c r="BU37">
        <v>13000</v>
      </c>
      <c r="BV37">
        <v>0</v>
      </c>
      <c r="BW37" s="9">
        <v>0</v>
      </c>
      <c r="BX37">
        <v>0</v>
      </c>
      <c r="BY37" s="9">
        <v>0</v>
      </c>
      <c r="BZ37">
        <v>0</v>
      </c>
      <c r="CA37" s="9">
        <v>0</v>
      </c>
      <c r="CB37">
        <v>0</v>
      </c>
      <c r="CC37" s="9">
        <v>0</v>
      </c>
      <c r="CD37">
        <v>0</v>
      </c>
      <c r="CE37" s="9">
        <v>0</v>
      </c>
      <c r="CF37">
        <v>0</v>
      </c>
      <c r="CG37" s="9">
        <v>0</v>
      </c>
      <c r="CI37">
        <v>13000</v>
      </c>
      <c r="CJ37">
        <f t="shared" si="51"/>
        <v>686</v>
      </c>
      <c r="CK37" s="9">
        <f t="shared" si="119"/>
        <v>9044.6247464503049</v>
      </c>
      <c r="CL37">
        <f t="shared" si="52"/>
        <v>657</v>
      </c>
      <c r="CM37" s="9">
        <f t="shared" si="15"/>
        <v>8924.7648902821329</v>
      </c>
      <c r="CN37">
        <f t="shared" si="60"/>
        <v>630</v>
      </c>
      <c r="CO37" s="9">
        <f t="shared" si="23"/>
        <v>8806.4516129032254</v>
      </c>
      <c r="CP37">
        <f t="shared" si="63"/>
        <v>605</v>
      </c>
      <c r="CQ37" s="9">
        <f t="shared" si="53"/>
        <v>8690.6077348066301</v>
      </c>
      <c r="CR37">
        <f t="shared" si="68"/>
        <v>576</v>
      </c>
      <c r="CS37" s="9">
        <f t="shared" si="64"/>
        <v>8547.945205479451</v>
      </c>
      <c r="CT37">
        <f t="shared" si="72"/>
        <v>561</v>
      </c>
      <c r="CU37" s="9">
        <f t="shared" si="69"/>
        <v>8470.3832752613234</v>
      </c>
      <c r="CV37">
        <v>0</v>
      </c>
      <c r="CW37">
        <v>0</v>
      </c>
    </row>
    <row r="38" spans="1:101" x14ac:dyDescent="0.25">
      <c r="A38">
        <v>13500</v>
      </c>
      <c r="B38">
        <v>0</v>
      </c>
      <c r="C38" s="9">
        <f t="shared" ref="C38:C44" si="120">PRODUCT(A39,B38,1/(B38+300))</f>
        <v>0</v>
      </c>
      <c r="D38">
        <v>0</v>
      </c>
      <c r="E38" s="9">
        <f t="shared" ref="E38:E44" si="121">PRODUCT(C38,D38,1/(D38+300))</f>
        <v>0</v>
      </c>
      <c r="F38">
        <v>0</v>
      </c>
      <c r="G38" s="9">
        <f t="shared" ref="G38:G44" si="122">PRODUCT(E38,F38,1/(F38+300))</f>
        <v>0</v>
      </c>
      <c r="H38">
        <v>0</v>
      </c>
      <c r="I38" s="9">
        <f t="shared" ref="I38:I44" si="123">PRODUCT(G38,H38,1/(H38+300))</f>
        <v>0</v>
      </c>
      <c r="J38">
        <v>0</v>
      </c>
      <c r="K38" s="9">
        <f t="shared" ref="K38:K44" si="124">PRODUCT(I38,J38,1/(J38+300))</f>
        <v>0</v>
      </c>
      <c r="M38">
        <v>13500</v>
      </c>
      <c r="N38">
        <v>0</v>
      </c>
      <c r="O38" s="9">
        <f t="shared" ref="O38:O44" si="125">PRODUCT(M39,N38,1/(N38+300))</f>
        <v>0</v>
      </c>
      <c r="P38">
        <v>0</v>
      </c>
      <c r="Q38" s="9">
        <f t="shared" ref="Q38:Q44" si="126">PRODUCT(O38,P38,1/(P38+300))</f>
        <v>0</v>
      </c>
      <c r="R38">
        <v>0</v>
      </c>
      <c r="S38" s="9">
        <f t="shared" ref="S38:S44" si="127">PRODUCT(Q38,R38,1/(R38+300))</f>
        <v>0</v>
      </c>
      <c r="T38">
        <v>0</v>
      </c>
      <c r="U38" s="9">
        <f t="shared" ref="U38:U44" si="128">PRODUCT(S38,T38,1/(T38+300))</f>
        <v>0</v>
      </c>
      <c r="V38">
        <v>0</v>
      </c>
      <c r="W38" s="9">
        <f t="shared" ref="W38:W44" si="129">PRODUCT(U38,V38,1/(V38+300))</f>
        <v>0</v>
      </c>
      <c r="Y38">
        <v>13500</v>
      </c>
      <c r="Z38">
        <v>0</v>
      </c>
      <c r="AA38" s="9">
        <f t="shared" ref="AA38:AA44" si="130">PRODUCT(Y39,Z38,1/(Z38+300))</f>
        <v>0</v>
      </c>
      <c r="AB38">
        <v>0</v>
      </c>
      <c r="AC38" s="9">
        <f t="shared" ref="AC38:AC44" si="131">PRODUCT(AA38,AB38,1/(AB38+300))</f>
        <v>0</v>
      </c>
      <c r="AD38">
        <v>0</v>
      </c>
      <c r="AE38" s="9">
        <f t="shared" ref="AE38:AE44" si="132">PRODUCT(AC38,AD38,1/(AD38+300))</f>
        <v>0</v>
      </c>
      <c r="AF38">
        <v>0</v>
      </c>
      <c r="AG38" s="9">
        <f t="shared" ref="AG38:AG44" si="133">PRODUCT(AE38,AF38,1/(AF38+300))</f>
        <v>0</v>
      </c>
      <c r="AH38">
        <v>0</v>
      </c>
      <c r="AI38" s="9">
        <f t="shared" ref="AI38:AI44" si="134">PRODUCT(AG38,AH38,1/(AH38+300))</f>
        <v>0</v>
      </c>
      <c r="AK38">
        <v>13500</v>
      </c>
      <c r="AL38">
        <v>0</v>
      </c>
      <c r="AM38" s="9">
        <f t="shared" ref="AM38:AM44" si="135">PRODUCT(AK39,AL38,1/(AL38+300))</f>
        <v>0</v>
      </c>
      <c r="AN38">
        <v>0</v>
      </c>
      <c r="AO38" s="9">
        <f t="shared" ref="AO38:AO44" si="136">PRODUCT(AM38,AN38,1/(AN38+300))</f>
        <v>0</v>
      </c>
      <c r="AP38">
        <v>0</v>
      </c>
      <c r="AQ38" s="9">
        <f t="shared" ref="AQ38:AQ44" si="137">PRODUCT(AO38,AP38,1/(AP38+300))</f>
        <v>0</v>
      </c>
      <c r="AR38">
        <v>0</v>
      </c>
      <c r="AS38" s="9">
        <f t="shared" ref="AS38:AS44" si="138">PRODUCT(AQ38,AR38,1/(AR38+300))</f>
        <v>0</v>
      </c>
      <c r="AT38">
        <v>0</v>
      </c>
      <c r="AU38" s="9">
        <f t="shared" ref="AU38:AU44" si="139">PRODUCT(AS38,AT38,1/(AT38+300))</f>
        <v>0</v>
      </c>
      <c r="AW38">
        <v>13500</v>
      </c>
      <c r="AX38">
        <v>0</v>
      </c>
      <c r="AY38" s="9">
        <f t="shared" ref="AY38:AY44" si="140">PRODUCT(AW39,AX38,1/(AX38+300))</f>
        <v>0</v>
      </c>
      <c r="AZ38">
        <v>0</v>
      </c>
      <c r="BA38" s="9">
        <f t="shared" ref="BA38:BA44" si="141">PRODUCT(AY38,AZ38,1/(AZ38+300))</f>
        <v>0</v>
      </c>
      <c r="BB38">
        <v>0</v>
      </c>
      <c r="BC38" s="9">
        <f t="shared" ref="BC38:BC44" si="142">PRODUCT(BA38,BB38,1/(BB38+300))</f>
        <v>0</v>
      </c>
      <c r="BD38">
        <v>0</v>
      </c>
      <c r="BE38" s="9">
        <f t="shared" ref="BE38:BE44" si="143">PRODUCT(BC38,BD38,1/(BD38+300))</f>
        <v>0</v>
      </c>
      <c r="BF38">
        <v>0</v>
      </c>
      <c r="BG38" s="9">
        <f t="shared" ref="BG38:BG44" si="144">PRODUCT(BE38,BF38,1/(BF38+300))</f>
        <v>0</v>
      </c>
      <c r="BI38">
        <v>13500</v>
      </c>
      <c r="BJ38">
        <v>0</v>
      </c>
      <c r="BK38" s="9">
        <f t="shared" ref="BK38:BK44" si="145">PRODUCT(BI39,BJ38,1/(BJ38+300))</f>
        <v>0</v>
      </c>
      <c r="BL38">
        <v>0</v>
      </c>
      <c r="BM38" s="9">
        <f t="shared" ref="BM38:BM44" si="146">PRODUCT(BK38,BL38,1/(BL38+300))</f>
        <v>0</v>
      </c>
      <c r="BN38">
        <v>0</v>
      </c>
      <c r="BO38" s="9">
        <f t="shared" ref="BO38:BO44" si="147">PRODUCT(BM38,BN38,1/(BN38+300))</f>
        <v>0</v>
      </c>
      <c r="BP38">
        <v>0</v>
      </c>
      <c r="BQ38" s="9">
        <f t="shared" ref="BQ38:BQ44" si="148">PRODUCT(BO38,BP38,1/(BP38+300))</f>
        <v>0</v>
      </c>
      <c r="BR38">
        <v>0</v>
      </c>
      <c r="BS38" s="9">
        <f t="shared" ref="BS38:BS44" si="149">PRODUCT(BQ38,BR38,1/(BR38+300))</f>
        <v>0</v>
      </c>
      <c r="BU38">
        <v>13500</v>
      </c>
      <c r="BV38">
        <v>0</v>
      </c>
      <c r="BW38" s="9">
        <f t="shared" ref="BW38:BW44" si="150">PRODUCT(BU39,BV38,1/(BV38+300))</f>
        <v>0</v>
      </c>
      <c r="BX38">
        <v>0</v>
      </c>
      <c r="BY38" s="9">
        <f t="shared" ref="BY38:BY44" si="151">PRODUCT(BW38,BX38,1/(BX38+300))</f>
        <v>0</v>
      </c>
      <c r="BZ38">
        <v>0</v>
      </c>
      <c r="CA38" s="9">
        <f t="shared" ref="CA38:CA44" si="152">PRODUCT(BY38,BZ38,1/(BZ38+300))</f>
        <v>0</v>
      </c>
      <c r="CB38">
        <v>0</v>
      </c>
      <c r="CC38" s="9">
        <f t="shared" ref="CC38:CC44" si="153">PRODUCT(CA38,CB38,1/(CB38+300))</f>
        <v>0</v>
      </c>
      <c r="CD38">
        <v>0</v>
      </c>
      <c r="CE38" s="9">
        <f t="shared" ref="CE38:CE44" si="154">PRODUCT(CC38,CD38,1/(CD38+300))</f>
        <v>0</v>
      </c>
      <c r="CF38">
        <v>0</v>
      </c>
      <c r="CG38" s="9">
        <v>0</v>
      </c>
      <c r="CI38">
        <v>13500</v>
      </c>
      <c r="CJ38">
        <f t="shared" si="51"/>
        <v>684</v>
      </c>
      <c r="CK38" s="9">
        <f t="shared" si="119"/>
        <v>9384.1463414634163</v>
      </c>
      <c r="CL38">
        <f t="shared" si="52"/>
        <v>654</v>
      </c>
      <c r="CM38" s="9">
        <f t="shared" si="15"/>
        <v>9254.7169811320764</v>
      </c>
      <c r="CN38">
        <f t="shared" si="60"/>
        <v>626</v>
      </c>
      <c r="CO38" s="9">
        <f t="shared" si="23"/>
        <v>9126.3498920086404</v>
      </c>
      <c r="CP38">
        <f t="shared" si="63"/>
        <v>600</v>
      </c>
      <c r="CQ38" s="9">
        <f t="shared" si="53"/>
        <v>9000</v>
      </c>
      <c r="CR38">
        <f t="shared" si="68"/>
        <v>570</v>
      </c>
      <c r="CS38" s="9">
        <f t="shared" si="64"/>
        <v>8844.8275862068967</v>
      </c>
      <c r="CT38">
        <f t="shared" si="72"/>
        <v>554</v>
      </c>
      <c r="CU38" s="9">
        <f t="shared" si="69"/>
        <v>8757.611241217799</v>
      </c>
      <c r="CV38">
        <v>0</v>
      </c>
      <c r="CW38">
        <v>0</v>
      </c>
    </row>
    <row r="39" spans="1:101" x14ac:dyDescent="0.25">
      <c r="A39">
        <v>14000</v>
      </c>
      <c r="B39">
        <v>0</v>
      </c>
      <c r="C39" s="9">
        <f t="shared" si="120"/>
        <v>0</v>
      </c>
      <c r="D39">
        <v>0</v>
      </c>
      <c r="E39" s="9">
        <f t="shared" si="121"/>
        <v>0</v>
      </c>
      <c r="F39">
        <v>0</v>
      </c>
      <c r="G39" s="9">
        <f t="shared" si="122"/>
        <v>0</v>
      </c>
      <c r="H39">
        <v>0</v>
      </c>
      <c r="I39" s="9">
        <f t="shared" si="123"/>
        <v>0</v>
      </c>
      <c r="J39">
        <v>0</v>
      </c>
      <c r="K39" s="9">
        <f t="shared" si="124"/>
        <v>0</v>
      </c>
      <c r="M39">
        <v>14000</v>
      </c>
      <c r="N39">
        <v>0</v>
      </c>
      <c r="O39" s="9">
        <f t="shared" si="125"/>
        <v>0</v>
      </c>
      <c r="P39">
        <v>0</v>
      </c>
      <c r="Q39" s="9">
        <f t="shared" si="126"/>
        <v>0</v>
      </c>
      <c r="R39">
        <v>0</v>
      </c>
      <c r="S39" s="9">
        <f t="shared" si="127"/>
        <v>0</v>
      </c>
      <c r="T39">
        <v>0</v>
      </c>
      <c r="U39" s="9">
        <f t="shared" si="128"/>
        <v>0</v>
      </c>
      <c r="V39">
        <v>0</v>
      </c>
      <c r="W39" s="9">
        <f t="shared" si="129"/>
        <v>0</v>
      </c>
      <c r="Y39">
        <v>14000</v>
      </c>
      <c r="Z39">
        <v>0</v>
      </c>
      <c r="AA39" s="9">
        <f t="shared" si="130"/>
        <v>0</v>
      </c>
      <c r="AB39">
        <v>0</v>
      </c>
      <c r="AC39" s="9">
        <f t="shared" si="131"/>
        <v>0</v>
      </c>
      <c r="AD39">
        <v>0</v>
      </c>
      <c r="AE39" s="9">
        <f t="shared" si="132"/>
        <v>0</v>
      </c>
      <c r="AF39">
        <v>0</v>
      </c>
      <c r="AG39" s="9">
        <f t="shared" si="133"/>
        <v>0</v>
      </c>
      <c r="AH39">
        <v>0</v>
      </c>
      <c r="AI39" s="9">
        <f t="shared" si="134"/>
        <v>0</v>
      </c>
      <c r="AK39">
        <v>14000</v>
      </c>
      <c r="AL39">
        <v>0</v>
      </c>
      <c r="AM39" s="9">
        <f t="shared" si="135"/>
        <v>0</v>
      </c>
      <c r="AN39">
        <v>0</v>
      </c>
      <c r="AO39" s="9">
        <f t="shared" si="136"/>
        <v>0</v>
      </c>
      <c r="AP39">
        <v>0</v>
      </c>
      <c r="AQ39" s="9">
        <f t="shared" si="137"/>
        <v>0</v>
      </c>
      <c r="AR39">
        <v>0</v>
      </c>
      <c r="AS39" s="9">
        <f t="shared" si="138"/>
        <v>0</v>
      </c>
      <c r="AT39">
        <v>0</v>
      </c>
      <c r="AU39" s="9">
        <f t="shared" si="139"/>
        <v>0</v>
      </c>
      <c r="AW39">
        <v>14000</v>
      </c>
      <c r="AX39">
        <v>0</v>
      </c>
      <c r="AY39" s="9">
        <f t="shared" si="140"/>
        <v>0</v>
      </c>
      <c r="AZ39">
        <v>0</v>
      </c>
      <c r="BA39" s="9">
        <f t="shared" si="141"/>
        <v>0</v>
      </c>
      <c r="BB39">
        <v>0</v>
      </c>
      <c r="BC39" s="9">
        <f t="shared" si="142"/>
        <v>0</v>
      </c>
      <c r="BD39">
        <v>0</v>
      </c>
      <c r="BE39" s="9">
        <f t="shared" si="143"/>
        <v>0</v>
      </c>
      <c r="BF39">
        <v>0</v>
      </c>
      <c r="BG39" s="9">
        <f t="shared" si="144"/>
        <v>0</v>
      </c>
      <c r="BI39">
        <v>14000</v>
      </c>
      <c r="BJ39">
        <v>0</v>
      </c>
      <c r="BK39" s="9">
        <f t="shared" si="145"/>
        <v>0</v>
      </c>
      <c r="BL39">
        <v>0</v>
      </c>
      <c r="BM39" s="9">
        <f t="shared" si="146"/>
        <v>0</v>
      </c>
      <c r="BN39">
        <v>0</v>
      </c>
      <c r="BO39" s="9">
        <f t="shared" si="147"/>
        <v>0</v>
      </c>
      <c r="BP39">
        <v>0</v>
      </c>
      <c r="BQ39" s="9">
        <f t="shared" si="148"/>
        <v>0</v>
      </c>
      <c r="BR39">
        <v>0</v>
      </c>
      <c r="BS39" s="9">
        <f t="shared" si="149"/>
        <v>0</v>
      </c>
      <c r="BU39">
        <v>14000</v>
      </c>
      <c r="BV39">
        <v>0</v>
      </c>
      <c r="BW39" s="9">
        <f t="shared" si="150"/>
        <v>0</v>
      </c>
      <c r="BX39">
        <v>0</v>
      </c>
      <c r="BY39" s="9">
        <f t="shared" si="151"/>
        <v>0</v>
      </c>
      <c r="BZ39">
        <v>0</v>
      </c>
      <c r="CA39" s="9">
        <f t="shared" si="152"/>
        <v>0</v>
      </c>
      <c r="CB39">
        <v>0</v>
      </c>
      <c r="CC39" s="9">
        <f t="shared" si="153"/>
        <v>0</v>
      </c>
      <c r="CD39">
        <v>0</v>
      </c>
      <c r="CE39" s="9">
        <f t="shared" si="154"/>
        <v>0</v>
      </c>
      <c r="CF39">
        <v>0</v>
      </c>
      <c r="CG39" s="9">
        <v>0</v>
      </c>
      <c r="CI39">
        <v>14000</v>
      </c>
      <c r="CJ39">
        <f t="shared" si="51"/>
        <v>682</v>
      </c>
      <c r="CK39" s="9">
        <f t="shared" si="119"/>
        <v>9723.0142566191444</v>
      </c>
      <c r="CL39">
        <f t="shared" si="52"/>
        <v>651</v>
      </c>
      <c r="CM39" s="9">
        <f t="shared" si="15"/>
        <v>9583.5962145110407</v>
      </c>
      <c r="CN39">
        <f t="shared" si="60"/>
        <v>622</v>
      </c>
      <c r="CO39" s="9">
        <f t="shared" si="23"/>
        <v>9444.6854663774411</v>
      </c>
      <c r="CP39">
        <f t="shared" si="63"/>
        <v>595</v>
      </c>
      <c r="CQ39" s="9">
        <f t="shared" si="53"/>
        <v>9307.2625698324009</v>
      </c>
      <c r="CR39">
        <f t="shared" si="68"/>
        <v>564</v>
      </c>
      <c r="CS39" s="9">
        <f t="shared" si="64"/>
        <v>9138.8888888888887</v>
      </c>
      <c r="CT39">
        <f t="shared" si="72"/>
        <v>547</v>
      </c>
      <c r="CU39" s="9">
        <f t="shared" si="69"/>
        <v>9041.3223140495866</v>
      </c>
      <c r="CV39">
        <v>0</v>
      </c>
      <c r="CW39">
        <v>0</v>
      </c>
    </row>
    <row r="40" spans="1:101" x14ac:dyDescent="0.25">
      <c r="A40">
        <v>14500</v>
      </c>
      <c r="B40">
        <v>0</v>
      </c>
      <c r="C40" s="9">
        <f t="shared" si="120"/>
        <v>0</v>
      </c>
      <c r="D40">
        <v>0</v>
      </c>
      <c r="E40" s="9">
        <f t="shared" si="121"/>
        <v>0</v>
      </c>
      <c r="F40">
        <v>0</v>
      </c>
      <c r="G40" s="9">
        <f t="shared" si="122"/>
        <v>0</v>
      </c>
      <c r="H40">
        <v>0</v>
      </c>
      <c r="I40" s="9">
        <f t="shared" si="123"/>
        <v>0</v>
      </c>
      <c r="J40">
        <v>0</v>
      </c>
      <c r="K40" s="9">
        <f t="shared" si="124"/>
        <v>0</v>
      </c>
      <c r="M40">
        <v>14500</v>
      </c>
      <c r="N40">
        <v>0</v>
      </c>
      <c r="O40" s="9">
        <f t="shared" si="125"/>
        <v>0</v>
      </c>
      <c r="P40">
        <v>0</v>
      </c>
      <c r="Q40" s="9">
        <f t="shared" si="126"/>
        <v>0</v>
      </c>
      <c r="R40">
        <v>0</v>
      </c>
      <c r="S40" s="9">
        <f t="shared" si="127"/>
        <v>0</v>
      </c>
      <c r="T40">
        <v>0</v>
      </c>
      <c r="U40" s="9">
        <f t="shared" si="128"/>
        <v>0</v>
      </c>
      <c r="V40">
        <v>0</v>
      </c>
      <c r="W40" s="9">
        <f t="shared" si="129"/>
        <v>0</v>
      </c>
      <c r="Y40">
        <v>14500</v>
      </c>
      <c r="Z40">
        <v>0</v>
      </c>
      <c r="AA40" s="9">
        <f t="shared" si="130"/>
        <v>0</v>
      </c>
      <c r="AB40">
        <v>0</v>
      </c>
      <c r="AC40" s="9">
        <f t="shared" si="131"/>
        <v>0</v>
      </c>
      <c r="AD40">
        <v>0</v>
      </c>
      <c r="AE40" s="9">
        <f t="shared" si="132"/>
        <v>0</v>
      </c>
      <c r="AF40">
        <v>0</v>
      </c>
      <c r="AG40" s="9">
        <f t="shared" si="133"/>
        <v>0</v>
      </c>
      <c r="AH40">
        <v>0</v>
      </c>
      <c r="AI40" s="9">
        <f t="shared" si="134"/>
        <v>0</v>
      </c>
      <c r="AK40">
        <v>14500</v>
      </c>
      <c r="AL40">
        <v>0</v>
      </c>
      <c r="AM40" s="9">
        <f t="shared" si="135"/>
        <v>0</v>
      </c>
      <c r="AN40">
        <v>0</v>
      </c>
      <c r="AO40" s="9">
        <f t="shared" si="136"/>
        <v>0</v>
      </c>
      <c r="AP40">
        <v>0</v>
      </c>
      <c r="AQ40" s="9">
        <f t="shared" si="137"/>
        <v>0</v>
      </c>
      <c r="AR40">
        <v>0</v>
      </c>
      <c r="AS40" s="9">
        <f t="shared" si="138"/>
        <v>0</v>
      </c>
      <c r="AT40">
        <v>0</v>
      </c>
      <c r="AU40" s="9">
        <f t="shared" si="139"/>
        <v>0</v>
      </c>
      <c r="AW40">
        <v>14500</v>
      </c>
      <c r="AX40">
        <v>0</v>
      </c>
      <c r="AY40" s="9">
        <f t="shared" si="140"/>
        <v>0</v>
      </c>
      <c r="AZ40">
        <v>0</v>
      </c>
      <c r="BA40" s="9">
        <f t="shared" si="141"/>
        <v>0</v>
      </c>
      <c r="BB40">
        <v>0</v>
      </c>
      <c r="BC40" s="9">
        <f t="shared" si="142"/>
        <v>0</v>
      </c>
      <c r="BD40">
        <v>0</v>
      </c>
      <c r="BE40" s="9">
        <f t="shared" si="143"/>
        <v>0</v>
      </c>
      <c r="BF40">
        <v>0</v>
      </c>
      <c r="BG40" s="9">
        <f t="shared" si="144"/>
        <v>0</v>
      </c>
      <c r="BI40">
        <v>14500</v>
      </c>
      <c r="BJ40">
        <v>0</v>
      </c>
      <c r="BK40" s="9">
        <f t="shared" si="145"/>
        <v>0</v>
      </c>
      <c r="BL40">
        <v>0</v>
      </c>
      <c r="BM40" s="9">
        <f t="shared" si="146"/>
        <v>0</v>
      </c>
      <c r="BN40">
        <v>0</v>
      </c>
      <c r="BO40" s="9">
        <f t="shared" si="147"/>
        <v>0</v>
      </c>
      <c r="BP40">
        <v>0</v>
      </c>
      <c r="BQ40" s="9">
        <f t="shared" si="148"/>
        <v>0</v>
      </c>
      <c r="BR40">
        <v>0</v>
      </c>
      <c r="BS40" s="9">
        <f t="shared" si="149"/>
        <v>0</v>
      </c>
      <c r="BU40">
        <v>14500</v>
      </c>
      <c r="BV40">
        <v>0</v>
      </c>
      <c r="BW40" s="9">
        <f t="shared" si="150"/>
        <v>0</v>
      </c>
      <c r="BX40">
        <v>0</v>
      </c>
      <c r="BY40" s="9">
        <f t="shared" si="151"/>
        <v>0</v>
      </c>
      <c r="BZ40">
        <v>0</v>
      </c>
      <c r="CA40" s="9">
        <f t="shared" si="152"/>
        <v>0</v>
      </c>
      <c r="CB40">
        <v>0</v>
      </c>
      <c r="CC40" s="9">
        <f t="shared" si="153"/>
        <v>0</v>
      </c>
      <c r="CD40">
        <v>0</v>
      </c>
      <c r="CE40" s="9">
        <f t="shared" si="154"/>
        <v>0</v>
      </c>
      <c r="CF40">
        <v>0</v>
      </c>
      <c r="CG40" s="9">
        <v>0</v>
      </c>
      <c r="CI40">
        <v>14500</v>
      </c>
      <c r="CJ40">
        <f t="shared" si="51"/>
        <v>680</v>
      </c>
      <c r="CK40" s="9">
        <f t="shared" si="119"/>
        <v>10061.224489795919</v>
      </c>
      <c r="CL40">
        <f t="shared" si="52"/>
        <v>648</v>
      </c>
      <c r="CM40" s="9">
        <f t="shared" si="15"/>
        <v>9911.3924050632904</v>
      </c>
      <c r="CN40">
        <f t="shared" si="60"/>
        <v>618</v>
      </c>
      <c r="CO40" s="9">
        <f t="shared" si="23"/>
        <v>9761.4379084967331</v>
      </c>
      <c r="CP40">
        <f t="shared" si="63"/>
        <v>590</v>
      </c>
      <c r="CQ40" s="9">
        <f t="shared" si="53"/>
        <v>9612.3595505617977</v>
      </c>
      <c r="CR40">
        <f t="shared" si="68"/>
        <v>558</v>
      </c>
      <c r="CS40" s="9">
        <f t="shared" si="64"/>
        <v>9430.0699300699307</v>
      </c>
      <c r="CT40">
        <f t="shared" si="72"/>
        <v>540</v>
      </c>
      <c r="CU40" s="9">
        <f t="shared" si="69"/>
        <v>9321.4285714285725</v>
      </c>
      <c r="CV40">
        <v>0</v>
      </c>
      <c r="CW40">
        <v>0</v>
      </c>
    </row>
    <row r="41" spans="1:101" x14ac:dyDescent="0.25">
      <c r="A41">
        <v>15000</v>
      </c>
      <c r="B41">
        <v>0</v>
      </c>
      <c r="C41" s="9">
        <f t="shared" si="120"/>
        <v>0</v>
      </c>
      <c r="D41">
        <v>0</v>
      </c>
      <c r="E41" s="9">
        <f t="shared" si="121"/>
        <v>0</v>
      </c>
      <c r="F41">
        <v>0</v>
      </c>
      <c r="G41" s="9">
        <f t="shared" si="122"/>
        <v>0</v>
      </c>
      <c r="H41">
        <v>0</v>
      </c>
      <c r="I41" s="9">
        <f t="shared" si="123"/>
        <v>0</v>
      </c>
      <c r="J41">
        <v>0</v>
      </c>
      <c r="K41" s="9">
        <f t="shared" si="124"/>
        <v>0</v>
      </c>
      <c r="M41">
        <v>15000</v>
      </c>
      <c r="N41">
        <v>0</v>
      </c>
      <c r="O41" s="9">
        <f t="shared" si="125"/>
        <v>0</v>
      </c>
      <c r="P41">
        <v>0</v>
      </c>
      <c r="Q41" s="9">
        <f t="shared" si="126"/>
        <v>0</v>
      </c>
      <c r="R41">
        <v>0</v>
      </c>
      <c r="S41" s="9">
        <f t="shared" si="127"/>
        <v>0</v>
      </c>
      <c r="T41">
        <v>0</v>
      </c>
      <c r="U41" s="9">
        <f t="shared" si="128"/>
        <v>0</v>
      </c>
      <c r="V41">
        <v>0</v>
      </c>
      <c r="W41" s="9">
        <f t="shared" si="129"/>
        <v>0</v>
      </c>
      <c r="Y41">
        <v>15000</v>
      </c>
      <c r="Z41">
        <v>0</v>
      </c>
      <c r="AA41" s="9">
        <f t="shared" si="130"/>
        <v>0</v>
      </c>
      <c r="AB41">
        <v>0</v>
      </c>
      <c r="AC41" s="9">
        <f t="shared" si="131"/>
        <v>0</v>
      </c>
      <c r="AD41">
        <v>0</v>
      </c>
      <c r="AE41" s="9">
        <f t="shared" si="132"/>
        <v>0</v>
      </c>
      <c r="AF41">
        <v>0</v>
      </c>
      <c r="AG41" s="9">
        <f t="shared" si="133"/>
        <v>0</v>
      </c>
      <c r="AH41">
        <v>0</v>
      </c>
      <c r="AI41" s="9">
        <f t="shared" si="134"/>
        <v>0</v>
      </c>
      <c r="AK41">
        <v>15000</v>
      </c>
      <c r="AL41">
        <v>0</v>
      </c>
      <c r="AM41" s="9">
        <f t="shared" si="135"/>
        <v>0</v>
      </c>
      <c r="AN41">
        <v>0</v>
      </c>
      <c r="AO41" s="9">
        <f t="shared" si="136"/>
        <v>0</v>
      </c>
      <c r="AP41">
        <v>0</v>
      </c>
      <c r="AQ41" s="9">
        <f t="shared" si="137"/>
        <v>0</v>
      </c>
      <c r="AR41">
        <v>0</v>
      </c>
      <c r="AS41" s="9">
        <f t="shared" si="138"/>
        <v>0</v>
      </c>
      <c r="AT41">
        <v>0</v>
      </c>
      <c r="AU41" s="9">
        <f t="shared" si="139"/>
        <v>0</v>
      </c>
      <c r="AW41">
        <v>15000</v>
      </c>
      <c r="AX41">
        <v>0</v>
      </c>
      <c r="AY41" s="9">
        <f t="shared" si="140"/>
        <v>0</v>
      </c>
      <c r="AZ41">
        <v>0</v>
      </c>
      <c r="BA41" s="9">
        <f t="shared" si="141"/>
        <v>0</v>
      </c>
      <c r="BB41">
        <v>0</v>
      </c>
      <c r="BC41" s="9">
        <f t="shared" si="142"/>
        <v>0</v>
      </c>
      <c r="BD41">
        <v>0</v>
      </c>
      <c r="BE41" s="9">
        <f t="shared" si="143"/>
        <v>0</v>
      </c>
      <c r="BF41">
        <v>0</v>
      </c>
      <c r="BG41" s="9">
        <f t="shared" si="144"/>
        <v>0</v>
      </c>
      <c r="BI41">
        <v>15000</v>
      </c>
      <c r="BJ41">
        <v>0</v>
      </c>
      <c r="BK41" s="9">
        <f t="shared" si="145"/>
        <v>0</v>
      </c>
      <c r="BL41">
        <v>0</v>
      </c>
      <c r="BM41" s="9">
        <f t="shared" si="146"/>
        <v>0</v>
      </c>
      <c r="BN41">
        <v>0</v>
      </c>
      <c r="BO41" s="9">
        <f t="shared" si="147"/>
        <v>0</v>
      </c>
      <c r="BP41">
        <v>0</v>
      </c>
      <c r="BQ41" s="9">
        <f t="shared" si="148"/>
        <v>0</v>
      </c>
      <c r="BR41">
        <v>0</v>
      </c>
      <c r="BS41" s="9">
        <f t="shared" si="149"/>
        <v>0</v>
      </c>
      <c r="BU41">
        <v>15000</v>
      </c>
      <c r="BV41">
        <v>0</v>
      </c>
      <c r="BW41" s="9">
        <f t="shared" si="150"/>
        <v>0</v>
      </c>
      <c r="BX41">
        <v>0</v>
      </c>
      <c r="BY41" s="9">
        <f t="shared" si="151"/>
        <v>0</v>
      </c>
      <c r="BZ41">
        <v>0</v>
      </c>
      <c r="CA41" s="9">
        <f t="shared" si="152"/>
        <v>0</v>
      </c>
      <c r="CB41">
        <v>0</v>
      </c>
      <c r="CC41" s="9">
        <f t="shared" si="153"/>
        <v>0</v>
      </c>
      <c r="CD41">
        <v>0</v>
      </c>
      <c r="CE41" s="9">
        <f t="shared" si="154"/>
        <v>0</v>
      </c>
      <c r="CF41">
        <v>0</v>
      </c>
      <c r="CG41" s="9">
        <v>0</v>
      </c>
      <c r="CI41">
        <v>15000</v>
      </c>
      <c r="CJ41">
        <f t="shared" si="51"/>
        <v>678</v>
      </c>
      <c r="CK41" s="9">
        <f t="shared" si="119"/>
        <v>10398.77300613497</v>
      </c>
      <c r="CL41">
        <f t="shared" si="52"/>
        <v>645</v>
      </c>
      <c r="CM41" s="9">
        <f t="shared" si="15"/>
        <v>10238.095238095239</v>
      </c>
      <c r="CN41">
        <f t="shared" si="60"/>
        <v>614</v>
      </c>
      <c r="CO41" s="9">
        <f t="shared" si="23"/>
        <v>10076.586433260394</v>
      </c>
      <c r="CP41">
        <f t="shared" si="63"/>
        <v>585</v>
      </c>
      <c r="CQ41" s="9">
        <f t="shared" si="53"/>
        <v>9915.2542372881362</v>
      </c>
      <c r="CR41">
        <f t="shared" si="68"/>
        <v>552</v>
      </c>
      <c r="CS41" s="9">
        <f t="shared" si="64"/>
        <v>9718.3098591549297</v>
      </c>
      <c r="CT41">
        <f t="shared" si="72"/>
        <v>533</v>
      </c>
      <c r="CU41" s="9">
        <f t="shared" si="69"/>
        <v>9597.8391356542616</v>
      </c>
      <c r="CV41">
        <v>0</v>
      </c>
      <c r="CW41">
        <v>0</v>
      </c>
    </row>
    <row r="42" spans="1:101" x14ac:dyDescent="0.25">
      <c r="A42">
        <v>15500</v>
      </c>
      <c r="B42">
        <v>0</v>
      </c>
      <c r="C42" s="9">
        <f t="shared" si="120"/>
        <v>0</v>
      </c>
      <c r="D42">
        <v>0</v>
      </c>
      <c r="E42" s="9">
        <f t="shared" si="121"/>
        <v>0</v>
      </c>
      <c r="F42">
        <v>0</v>
      </c>
      <c r="G42" s="9">
        <f t="shared" si="122"/>
        <v>0</v>
      </c>
      <c r="H42">
        <v>0</v>
      </c>
      <c r="I42" s="9">
        <f t="shared" si="123"/>
        <v>0</v>
      </c>
      <c r="J42">
        <v>0</v>
      </c>
      <c r="K42" s="9">
        <f t="shared" si="124"/>
        <v>0</v>
      </c>
      <c r="M42">
        <v>15500</v>
      </c>
      <c r="N42">
        <v>0</v>
      </c>
      <c r="O42" s="9">
        <f t="shared" si="125"/>
        <v>0</v>
      </c>
      <c r="P42">
        <v>0</v>
      </c>
      <c r="Q42" s="9">
        <f t="shared" si="126"/>
        <v>0</v>
      </c>
      <c r="R42">
        <v>0</v>
      </c>
      <c r="S42" s="9">
        <f t="shared" si="127"/>
        <v>0</v>
      </c>
      <c r="T42">
        <v>0</v>
      </c>
      <c r="U42" s="9">
        <f t="shared" si="128"/>
        <v>0</v>
      </c>
      <c r="V42">
        <v>0</v>
      </c>
      <c r="W42" s="9">
        <f t="shared" si="129"/>
        <v>0</v>
      </c>
      <c r="Y42">
        <v>15500</v>
      </c>
      <c r="Z42">
        <v>0</v>
      </c>
      <c r="AA42" s="9">
        <f t="shared" si="130"/>
        <v>0</v>
      </c>
      <c r="AB42">
        <v>0</v>
      </c>
      <c r="AC42" s="9">
        <f t="shared" si="131"/>
        <v>0</v>
      </c>
      <c r="AD42">
        <v>0</v>
      </c>
      <c r="AE42" s="9">
        <f t="shared" si="132"/>
        <v>0</v>
      </c>
      <c r="AF42">
        <v>0</v>
      </c>
      <c r="AG42" s="9">
        <f t="shared" si="133"/>
        <v>0</v>
      </c>
      <c r="AH42">
        <v>0</v>
      </c>
      <c r="AI42" s="9">
        <f t="shared" si="134"/>
        <v>0</v>
      </c>
      <c r="AK42">
        <v>15500</v>
      </c>
      <c r="AL42">
        <v>0</v>
      </c>
      <c r="AM42" s="9">
        <f t="shared" si="135"/>
        <v>0</v>
      </c>
      <c r="AN42">
        <v>0</v>
      </c>
      <c r="AO42" s="9">
        <f t="shared" si="136"/>
        <v>0</v>
      </c>
      <c r="AP42">
        <v>0</v>
      </c>
      <c r="AQ42" s="9">
        <f t="shared" si="137"/>
        <v>0</v>
      </c>
      <c r="AR42">
        <v>0</v>
      </c>
      <c r="AS42" s="9">
        <f t="shared" si="138"/>
        <v>0</v>
      </c>
      <c r="AT42">
        <v>0</v>
      </c>
      <c r="AU42" s="9">
        <f t="shared" si="139"/>
        <v>0</v>
      </c>
      <c r="AW42">
        <v>15500</v>
      </c>
      <c r="AX42">
        <v>0</v>
      </c>
      <c r="AY42" s="9">
        <f t="shared" si="140"/>
        <v>0</v>
      </c>
      <c r="AZ42">
        <v>0</v>
      </c>
      <c r="BA42" s="9">
        <f t="shared" si="141"/>
        <v>0</v>
      </c>
      <c r="BB42">
        <v>0</v>
      </c>
      <c r="BC42" s="9">
        <f t="shared" si="142"/>
        <v>0</v>
      </c>
      <c r="BD42">
        <v>0</v>
      </c>
      <c r="BE42" s="9">
        <f t="shared" si="143"/>
        <v>0</v>
      </c>
      <c r="BF42">
        <v>0</v>
      </c>
      <c r="BG42" s="9">
        <f t="shared" si="144"/>
        <v>0</v>
      </c>
      <c r="BI42">
        <v>15500</v>
      </c>
      <c r="BJ42">
        <v>0</v>
      </c>
      <c r="BK42" s="9">
        <f t="shared" si="145"/>
        <v>0</v>
      </c>
      <c r="BL42">
        <v>0</v>
      </c>
      <c r="BM42" s="9">
        <f t="shared" si="146"/>
        <v>0</v>
      </c>
      <c r="BN42">
        <v>0</v>
      </c>
      <c r="BO42" s="9">
        <f t="shared" si="147"/>
        <v>0</v>
      </c>
      <c r="BP42">
        <v>0</v>
      </c>
      <c r="BQ42" s="9">
        <f t="shared" si="148"/>
        <v>0</v>
      </c>
      <c r="BR42">
        <v>0</v>
      </c>
      <c r="BS42" s="9">
        <f t="shared" si="149"/>
        <v>0</v>
      </c>
      <c r="BU42">
        <v>15500</v>
      </c>
      <c r="BV42">
        <v>0</v>
      </c>
      <c r="BW42" s="9">
        <f t="shared" si="150"/>
        <v>0</v>
      </c>
      <c r="BX42">
        <v>0</v>
      </c>
      <c r="BY42" s="9">
        <f t="shared" si="151"/>
        <v>0</v>
      </c>
      <c r="BZ42">
        <v>0</v>
      </c>
      <c r="CA42" s="9">
        <f t="shared" si="152"/>
        <v>0</v>
      </c>
      <c r="CB42">
        <v>0</v>
      </c>
      <c r="CC42" s="9">
        <f t="shared" si="153"/>
        <v>0</v>
      </c>
      <c r="CD42">
        <v>0</v>
      </c>
      <c r="CE42" s="9">
        <f t="shared" si="154"/>
        <v>0</v>
      </c>
      <c r="CF42">
        <v>0</v>
      </c>
      <c r="CG42" s="9">
        <v>0</v>
      </c>
      <c r="CI42">
        <v>15500</v>
      </c>
      <c r="CJ42">
        <f t="shared" si="51"/>
        <v>676</v>
      </c>
      <c r="CK42" s="9">
        <f t="shared" si="119"/>
        <v>10735.655737704919</v>
      </c>
      <c r="CL42">
        <f t="shared" si="52"/>
        <v>642</v>
      </c>
      <c r="CM42" s="9">
        <f t="shared" si="15"/>
        <v>10563.694267515923</v>
      </c>
      <c r="CN42">
        <f t="shared" si="60"/>
        <v>610</v>
      </c>
      <c r="CO42" s="9">
        <f t="shared" si="23"/>
        <v>10390.10989010989</v>
      </c>
      <c r="CP42">
        <f t="shared" si="63"/>
        <v>580</v>
      </c>
      <c r="CQ42" s="9">
        <f t="shared" si="53"/>
        <v>10215.90909090909</v>
      </c>
      <c r="CR42">
        <f t="shared" si="68"/>
        <v>546</v>
      </c>
      <c r="CS42" s="9">
        <f t="shared" si="64"/>
        <v>10003.546099290779</v>
      </c>
      <c r="CT42">
        <f t="shared" si="72"/>
        <v>526</v>
      </c>
      <c r="CU42" s="9">
        <f t="shared" si="69"/>
        <v>9870.46004842615</v>
      </c>
      <c r="CV42">
        <v>0</v>
      </c>
      <c r="CW42">
        <v>0</v>
      </c>
    </row>
    <row r="43" spans="1:101" x14ac:dyDescent="0.25">
      <c r="A43">
        <v>16000</v>
      </c>
      <c r="B43">
        <v>0</v>
      </c>
      <c r="C43" s="9">
        <f t="shared" si="120"/>
        <v>0</v>
      </c>
      <c r="D43">
        <v>0</v>
      </c>
      <c r="E43" s="9">
        <f t="shared" si="121"/>
        <v>0</v>
      </c>
      <c r="F43">
        <v>0</v>
      </c>
      <c r="G43" s="9">
        <f t="shared" si="122"/>
        <v>0</v>
      </c>
      <c r="H43">
        <v>0</v>
      </c>
      <c r="I43" s="9">
        <f t="shared" si="123"/>
        <v>0</v>
      </c>
      <c r="J43">
        <v>0</v>
      </c>
      <c r="K43" s="9">
        <f t="shared" si="124"/>
        <v>0</v>
      </c>
      <c r="M43">
        <v>16000</v>
      </c>
      <c r="N43">
        <v>0</v>
      </c>
      <c r="O43" s="9">
        <f t="shared" si="125"/>
        <v>0</v>
      </c>
      <c r="P43">
        <v>0</v>
      </c>
      <c r="Q43" s="9">
        <f t="shared" si="126"/>
        <v>0</v>
      </c>
      <c r="R43">
        <v>0</v>
      </c>
      <c r="S43" s="9">
        <f t="shared" si="127"/>
        <v>0</v>
      </c>
      <c r="T43">
        <v>0</v>
      </c>
      <c r="U43" s="9">
        <f t="shared" si="128"/>
        <v>0</v>
      </c>
      <c r="V43">
        <v>0</v>
      </c>
      <c r="W43" s="9">
        <f t="shared" si="129"/>
        <v>0</v>
      </c>
      <c r="Y43">
        <v>16000</v>
      </c>
      <c r="Z43">
        <v>0</v>
      </c>
      <c r="AA43" s="9">
        <f t="shared" si="130"/>
        <v>0</v>
      </c>
      <c r="AB43">
        <v>0</v>
      </c>
      <c r="AC43" s="9">
        <f t="shared" si="131"/>
        <v>0</v>
      </c>
      <c r="AD43">
        <v>0</v>
      </c>
      <c r="AE43" s="9">
        <f t="shared" si="132"/>
        <v>0</v>
      </c>
      <c r="AF43">
        <v>0</v>
      </c>
      <c r="AG43" s="9">
        <f t="shared" si="133"/>
        <v>0</v>
      </c>
      <c r="AH43">
        <v>0</v>
      </c>
      <c r="AI43" s="9">
        <f t="shared" si="134"/>
        <v>0</v>
      </c>
      <c r="AK43">
        <v>16000</v>
      </c>
      <c r="AL43">
        <v>0</v>
      </c>
      <c r="AM43" s="9">
        <f t="shared" si="135"/>
        <v>0</v>
      </c>
      <c r="AN43">
        <v>0</v>
      </c>
      <c r="AO43" s="9">
        <f t="shared" si="136"/>
        <v>0</v>
      </c>
      <c r="AP43">
        <v>0</v>
      </c>
      <c r="AQ43" s="9">
        <f t="shared" si="137"/>
        <v>0</v>
      </c>
      <c r="AR43">
        <v>0</v>
      </c>
      <c r="AS43" s="9">
        <f t="shared" si="138"/>
        <v>0</v>
      </c>
      <c r="AT43">
        <v>0</v>
      </c>
      <c r="AU43" s="9">
        <f t="shared" si="139"/>
        <v>0</v>
      </c>
      <c r="AW43">
        <v>16000</v>
      </c>
      <c r="AX43">
        <v>0</v>
      </c>
      <c r="AY43" s="9">
        <f t="shared" si="140"/>
        <v>0</v>
      </c>
      <c r="AZ43">
        <v>0</v>
      </c>
      <c r="BA43" s="9">
        <f t="shared" si="141"/>
        <v>0</v>
      </c>
      <c r="BB43">
        <v>0</v>
      </c>
      <c r="BC43" s="9">
        <f t="shared" si="142"/>
        <v>0</v>
      </c>
      <c r="BD43">
        <v>0</v>
      </c>
      <c r="BE43" s="9">
        <f t="shared" si="143"/>
        <v>0</v>
      </c>
      <c r="BF43">
        <v>0</v>
      </c>
      <c r="BG43" s="9">
        <f t="shared" si="144"/>
        <v>0</v>
      </c>
      <c r="BI43">
        <v>16000</v>
      </c>
      <c r="BJ43">
        <v>0</v>
      </c>
      <c r="BK43" s="9">
        <f t="shared" si="145"/>
        <v>0</v>
      </c>
      <c r="BL43">
        <v>0</v>
      </c>
      <c r="BM43" s="9">
        <f t="shared" si="146"/>
        <v>0</v>
      </c>
      <c r="BN43">
        <v>0</v>
      </c>
      <c r="BO43" s="9">
        <f t="shared" si="147"/>
        <v>0</v>
      </c>
      <c r="BP43">
        <v>0</v>
      </c>
      <c r="BQ43" s="9">
        <f t="shared" si="148"/>
        <v>0</v>
      </c>
      <c r="BR43">
        <v>0</v>
      </c>
      <c r="BS43" s="9">
        <f t="shared" si="149"/>
        <v>0</v>
      </c>
      <c r="BU43">
        <v>16000</v>
      </c>
      <c r="BV43">
        <v>0</v>
      </c>
      <c r="BW43" s="9">
        <f t="shared" si="150"/>
        <v>0</v>
      </c>
      <c r="BX43">
        <v>0</v>
      </c>
      <c r="BY43" s="9">
        <f t="shared" si="151"/>
        <v>0</v>
      </c>
      <c r="BZ43">
        <v>0</v>
      </c>
      <c r="CA43" s="9">
        <f t="shared" si="152"/>
        <v>0</v>
      </c>
      <c r="CB43">
        <v>0</v>
      </c>
      <c r="CC43" s="9">
        <f t="shared" si="153"/>
        <v>0</v>
      </c>
      <c r="CD43">
        <v>0</v>
      </c>
      <c r="CE43" s="9">
        <f t="shared" si="154"/>
        <v>0</v>
      </c>
      <c r="CF43">
        <v>0</v>
      </c>
      <c r="CG43" s="9">
        <v>0</v>
      </c>
      <c r="CI43">
        <v>16000</v>
      </c>
      <c r="CJ43">
        <f t="shared" si="51"/>
        <v>674</v>
      </c>
      <c r="CK43" s="9">
        <f t="shared" si="119"/>
        <v>11071.868583162219</v>
      </c>
      <c r="CL43">
        <f t="shared" si="52"/>
        <v>639</v>
      </c>
      <c r="CM43" s="9">
        <f t="shared" si="15"/>
        <v>10888.17891373802</v>
      </c>
      <c r="CN43">
        <f t="shared" si="60"/>
        <v>606</v>
      </c>
      <c r="CO43" s="9">
        <f t="shared" si="23"/>
        <v>10701.986754966887</v>
      </c>
      <c r="CP43">
        <f t="shared" si="63"/>
        <v>575</v>
      </c>
      <c r="CQ43" s="9">
        <f t="shared" si="53"/>
        <v>10514.285714285716</v>
      </c>
      <c r="CR43">
        <f t="shared" si="68"/>
        <v>540</v>
      </c>
      <c r="CS43" s="9">
        <f t="shared" si="64"/>
        <v>10285.714285714286</v>
      </c>
      <c r="CT43">
        <f t="shared" si="72"/>
        <v>519</v>
      </c>
      <c r="CU43" s="9">
        <f t="shared" si="69"/>
        <v>10139.19413919414</v>
      </c>
      <c r="CV43">
        <v>0</v>
      </c>
      <c r="CW43">
        <v>0</v>
      </c>
    </row>
    <row r="44" spans="1:101" x14ac:dyDescent="0.25">
      <c r="A44">
        <v>16500</v>
      </c>
      <c r="B44">
        <v>0</v>
      </c>
      <c r="C44" s="9">
        <f t="shared" si="120"/>
        <v>0</v>
      </c>
      <c r="D44">
        <v>0</v>
      </c>
      <c r="E44" s="9">
        <f t="shared" si="121"/>
        <v>0</v>
      </c>
      <c r="F44">
        <v>0</v>
      </c>
      <c r="G44" s="9">
        <f t="shared" si="122"/>
        <v>0</v>
      </c>
      <c r="H44">
        <v>0</v>
      </c>
      <c r="I44" s="9">
        <f t="shared" si="123"/>
        <v>0</v>
      </c>
      <c r="J44">
        <v>0</v>
      </c>
      <c r="K44" s="9">
        <f t="shared" si="124"/>
        <v>0</v>
      </c>
      <c r="M44">
        <v>16500</v>
      </c>
      <c r="N44">
        <v>0</v>
      </c>
      <c r="O44" s="9">
        <f t="shared" si="125"/>
        <v>0</v>
      </c>
      <c r="P44">
        <v>0</v>
      </c>
      <c r="Q44" s="9">
        <f t="shared" si="126"/>
        <v>0</v>
      </c>
      <c r="R44">
        <v>0</v>
      </c>
      <c r="S44" s="9">
        <f t="shared" si="127"/>
        <v>0</v>
      </c>
      <c r="T44">
        <v>0</v>
      </c>
      <c r="U44" s="9">
        <f t="shared" si="128"/>
        <v>0</v>
      </c>
      <c r="V44">
        <v>0</v>
      </c>
      <c r="W44" s="9">
        <f t="shared" si="129"/>
        <v>0</v>
      </c>
      <c r="Y44">
        <v>16500</v>
      </c>
      <c r="Z44">
        <v>0</v>
      </c>
      <c r="AA44" s="9">
        <f t="shared" si="130"/>
        <v>0</v>
      </c>
      <c r="AB44">
        <v>0</v>
      </c>
      <c r="AC44" s="9">
        <f t="shared" si="131"/>
        <v>0</v>
      </c>
      <c r="AD44">
        <v>0</v>
      </c>
      <c r="AE44" s="9">
        <f t="shared" si="132"/>
        <v>0</v>
      </c>
      <c r="AF44">
        <v>0</v>
      </c>
      <c r="AG44" s="9">
        <f t="shared" si="133"/>
        <v>0</v>
      </c>
      <c r="AH44">
        <v>0</v>
      </c>
      <c r="AI44" s="9">
        <f t="shared" si="134"/>
        <v>0</v>
      </c>
      <c r="AK44">
        <v>16500</v>
      </c>
      <c r="AL44">
        <v>0</v>
      </c>
      <c r="AM44" s="9">
        <f t="shared" si="135"/>
        <v>0</v>
      </c>
      <c r="AN44">
        <v>0</v>
      </c>
      <c r="AO44" s="9">
        <f t="shared" si="136"/>
        <v>0</v>
      </c>
      <c r="AP44">
        <v>0</v>
      </c>
      <c r="AQ44" s="9">
        <f t="shared" si="137"/>
        <v>0</v>
      </c>
      <c r="AR44">
        <v>0</v>
      </c>
      <c r="AS44" s="9">
        <f t="shared" si="138"/>
        <v>0</v>
      </c>
      <c r="AT44">
        <v>0</v>
      </c>
      <c r="AU44" s="9">
        <f t="shared" si="139"/>
        <v>0</v>
      </c>
      <c r="AW44">
        <v>16500</v>
      </c>
      <c r="AX44">
        <v>0</v>
      </c>
      <c r="AY44" s="9">
        <f t="shared" si="140"/>
        <v>0</v>
      </c>
      <c r="AZ44">
        <v>0</v>
      </c>
      <c r="BA44" s="9">
        <f t="shared" si="141"/>
        <v>0</v>
      </c>
      <c r="BB44">
        <v>0</v>
      </c>
      <c r="BC44" s="9">
        <f t="shared" si="142"/>
        <v>0</v>
      </c>
      <c r="BD44">
        <v>0</v>
      </c>
      <c r="BE44" s="9">
        <f t="shared" si="143"/>
        <v>0</v>
      </c>
      <c r="BF44">
        <v>0</v>
      </c>
      <c r="BG44" s="9">
        <f t="shared" si="144"/>
        <v>0</v>
      </c>
      <c r="BI44">
        <v>16500</v>
      </c>
      <c r="BJ44">
        <v>0</v>
      </c>
      <c r="BK44" s="9">
        <f t="shared" si="145"/>
        <v>0</v>
      </c>
      <c r="BL44">
        <v>0</v>
      </c>
      <c r="BM44" s="9">
        <f t="shared" si="146"/>
        <v>0</v>
      </c>
      <c r="BN44">
        <v>0</v>
      </c>
      <c r="BO44" s="9">
        <f t="shared" si="147"/>
        <v>0</v>
      </c>
      <c r="BP44">
        <v>0</v>
      </c>
      <c r="BQ44" s="9">
        <f t="shared" si="148"/>
        <v>0</v>
      </c>
      <c r="BR44">
        <v>0</v>
      </c>
      <c r="BS44" s="9">
        <f t="shared" si="149"/>
        <v>0</v>
      </c>
      <c r="BU44">
        <v>16500</v>
      </c>
      <c r="BV44">
        <v>0</v>
      </c>
      <c r="BW44" s="9">
        <f t="shared" si="150"/>
        <v>0</v>
      </c>
      <c r="BX44">
        <v>0</v>
      </c>
      <c r="BY44" s="9">
        <f t="shared" si="151"/>
        <v>0</v>
      </c>
      <c r="BZ44">
        <v>0</v>
      </c>
      <c r="CA44" s="9">
        <f t="shared" si="152"/>
        <v>0</v>
      </c>
      <c r="CB44">
        <v>0</v>
      </c>
      <c r="CC44" s="9">
        <f t="shared" si="153"/>
        <v>0</v>
      </c>
      <c r="CD44">
        <v>0</v>
      </c>
      <c r="CE44" s="9">
        <f t="shared" si="154"/>
        <v>0</v>
      </c>
      <c r="CF44">
        <v>0</v>
      </c>
      <c r="CG44" s="9">
        <v>0</v>
      </c>
      <c r="CI44">
        <v>16500</v>
      </c>
      <c r="CJ44">
        <f t="shared" si="51"/>
        <v>672</v>
      </c>
      <c r="CK44" s="9">
        <f t="shared" si="119"/>
        <v>11407.407407407409</v>
      </c>
      <c r="CL44">
        <f t="shared" si="52"/>
        <v>636</v>
      </c>
      <c r="CM44" s="9">
        <f t="shared" si="15"/>
        <v>11211.538461538463</v>
      </c>
      <c r="CN44">
        <f t="shared" si="60"/>
        <v>602</v>
      </c>
      <c r="CO44" s="9">
        <f t="shared" si="23"/>
        <v>11012.195121951219</v>
      </c>
      <c r="CP44">
        <f t="shared" si="63"/>
        <v>570</v>
      </c>
      <c r="CQ44" s="9">
        <f t="shared" si="53"/>
        <v>10810.344827586207</v>
      </c>
      <c r="CR44">
        <f t="shared" si="68"/>
        <v>534</v>
      </c>
      <c r="CS44" s="9">
        <f t="shared" si="64"/>
        <v>10564.748201438848</v>
      </c>
      <c r="CT44">
        <f t="shared" si="72"/>
        <v>512</v>
      </c>
      <c r="CU44" s="9">
        <f t="shared" si="69"/>
        <v>10403.940886699507</v>
      </c>
      <c r="CV44">
        <v>0</v>
      </c>
      <c r="CW44">
        <v>0</v>
      </c>
    </row>
    <row r="45" spans="1:101" x14ac:dyDescent="0.25">
      <c r="A45">
        <v>17000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M45">
        <v>17000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Y45">
        <v>17000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K45">
        <v>17000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W45">
        <v>17000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I45">
        <v>17000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U45">
        <v>17000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 s="9">
        <v>0</v>
      </c>
      <c r="CI45">
        <v>17000</v>
      </c>
      <c r="CJ45">
        <f t="shared" si="51"/>
        <v>670</v>
      </c>
      <c r="CK45" s="9">
        <f t="shared" si="119"/>
        <v>11742.268041237114</v>
      </c>
      <c r="CL45">
        <f t="shared" si="52"/>
        <v>633</v>
      </c>
      <c r="CM45" s="9">
        <f t="shared" si="15"/>
        <v>11533.762057877813</v>
      </c>
      <c r="CN45">
        <f t="shared" si="60"/>
        <v>598</v>
      </c>
      <c r="CO45" s="9">
        <f t="shared" si="23"/>
        <v>11320.712694877506</v>
      </c>
      <c r="CP45">
        <f t="shared" si="63"/>
        <v>565</v>
      </c>
      <c r="CQ45" s="9">
        <f t="shared" si="53"/>
        <v>11104.046242774568</v>
      </c>
      <c r="CR45">
        <f t="shared" si="68"/>
        <v>528</v>
      </c>
      <c r="CS45" s="9">
        <f t="shared" si="64"/>
        <v>10840.579710144926</v>
      </c>
      <c r="CT45">
        <v>0</v>
      </c>
      <c r="CU45" s="9">
        <v>0</v>
      </c>
      <c r="CV45">
        <v>0</v>
      </c>
      <c r="CW45" s="9">
        <v>0</v>
      </c>
    </row>
    <row r="46" spans="1:101" x14ac:dyDescent="0.25">
      <c r="A46">
        <v>17500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M46">
        <v>17500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Y46">
        <v>17500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K46">
        <v>17500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W46">
        <v>17500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I46">
        <v>17500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U46">
        <v>17500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 s="9">
        <v>0</v>
      </c>
      <c r="CI46">
        <v>17500</v>
      </c>
      <c r="CJ46">
        <f t="shared" si="51"/>
        <v>668</v>
      </c>
      <c r="CK46" s="9">
        <f t="shared" si="119"/>
        <v>12076.446280991735</v>
      </c>
      <c r="CL46">
        <f t="shared" si="52"/>
        <v>630</v>
      </c>
      <c r="CM46" s="9">
        <f t="shared" si="15"/>
        <v>11854.838709677419</v>
      </c>
      <c r="CN46">
        <f t="shared" si="60"/>
        <v>594</v>
      </c>
      <c r="CO46" s="9">
        <f t="shared" si="23"/>
        <v>11627.51677852349</v>
      </c>
      <c r="CP46">
        <f t="shared" si="63"/>
        <v>560</v>
      </c>
      <c r="CQ46" s="9">
        <f t="shared" si="53"/>
        <v>11395.348837209302</v>
      </c>
      <c r="CR46">
        <f t="shared" si="68"/>
        <v>522</v>
      </c>
      <c r="CS46" s="9">
        <f t="shared" si="64"/>
        <v>11113.138686131388</v>
      </c>
      <c r="CT46">
        <v>0</v>
      </c>
      <c r="CU46" s="9">
        <v>0</v>
      </c>
      <c r="CV46">
        <v>0</v>
      </c>
      <c r="CW46" s="9">
        <v>0</v>
      </c>
    </row>
    <row r="47" spans="1:101" x14ac:dyDescent="0.25">
      <c r="A47" t="s">
        <v>106</v>
      </c>
      <c r="C47" s="16">
        <v>25</v>
      </c>
      <c r="D47" s="16"/>
      <c r="E47" s="16">
        <v>50</v>
      </c>
      <c r="F47" s="16"/>
      <c r="G47" s="16">
        <v>100</v>
      </c>
      <c r="I47" s="9">
        <v>0</v>
      </c>
      <c r="K47" s="9">
        <v>0</v>
      </c>
      <c r="M47" t="s">
        <v>106</v>
      </c>
      <c r="O47" s="16">
        <v>25</v>
      </c>
      <c r="P47" s="16"/>
      <c r="Q47" s="16">
        <v>50</v>
      </c>
      <c r="R47" s="16"/>
      <c r="S47" s="16">
        <v>100</v>
      </c>
      <c r="U47" s="9">
        <v>200</v>
      </c>
      <c r="W47" s="9">
        <v>0</v>
      </c>
      <c r="Y47" t="s">
        <v>106</v>
      </c>
      <c r="AA47" s="16">
        <v>25</v>
      </c>
      <c r="AB47" s="16"/>
      <c r="AC47" s="16">
        <v>50</v>
      </c>
      <c r="AD47" s="16"/>
      <c r="AE47" s="16">
        <v>100</v>
      </c>
      <c r="AG47" s="9">
        <v>200</v>
      </c>
      <c r="AI47" s="9">
        <v>0</v>
      </c>
      <c r="AK47" t="s">
        <v>106</v>
      </c>
      <c r="AM47" s="16">
        <v>25</v>
      </c>
      <c r="AN47" s="16"/>
      <c r="AO47" s="16">
        <v>50</v>
      </c>
      <c r="AP47" s="16"/>
      <c r="AQ47" s="16">
        <v>100</v>
      </c>
      <c r="AS47" s="9">
        <v>200</v>
      </c>
      <c r="AU47" s="9">
        <v>0</v>
      </c>
      <c r="AW47" t="s">
        <v>106</v>
      </c>
      <c r="AY47" s="16">
        <v>25</v>
      </c>
      <c r="AZ47" s="16"/>
      <c r="BA47" s="16">
        <v>50</v>
      </c>
      <c r="BB47" s="16"/>
      <c r="BC47" s="16">
        <v>100</v>
      </c>
      <c r="BE47" s="9">
        <v>200</v>
      </c>
      <c r="BG47" s="9">
        <v>350</v>
      </c>
      <c r="BI47" t="s">
        <v>106</v>
      </c>
      <c r="BK47" s="16">
        <v>25</v>
      </c>
      <c r="BL47" s="16"/>
      <c r="BM47" s="16">
        <v>50</v>
      </c>
      <c r="BN47" s="16"/>
      <c r="BO47" s="16">
        <v>100</v>
      </c>
      <c r="BQ47" s="9">
        <v>200</v>
      </c>
      <c r="BS47" s="9">
        <v>0</v>
      </c>
      <c r="BU47" t="s">
        <v>106</v>
      </c>
      <c r="BW47" s="16">
        <v>25</v>
      </c>
      <c r="BX47" s="16"/>
      <c r="BY47" s="16">
        <v>50</v>
      </c>
      <c r="BZ47" s="16"/>
      <c r="CA47" s="16">
        <v>100</v>
      </c>
      <c r="CC47" s="9">
        <v>200</v>
      </c>
      <c r="CE47" s="9">
        <v>350</v>
      </c>
      <c r="CG47">
        <v>500</v>
      </c>
      <c r="CI47" t="s">
        <v>106</v>
      </c>
      <c r="CK47" s="16">
        <v>25</v>
      </c>
      <c r="CL47" s="16"/>
      <c r="CM47" s="16">
        <v>80</v>
      </c>
      <c r="CN47" s="16"/>
      <c r="CO47" s="16">
        <v>150</v>
      </c>
      <c r="CQ47" s="9">
        <v>300</v>
      </c>
      <c r="CS47" s="9">
        <v>450</v>
      </c>
      <c r="CU47">
        <v>900</v>
      </c>
      <c r="CW47">
        <v>1900</v>
      </c>
    </row>
    <row r="48" spans="1:101" x14ac:dyDescent="0.25">
      <c r="A48" t="s">
        <v>107</v>
      </c>
      <c r="C48" s="16">
        <v>2200</v>
      </c>
      <c r="D48" s="16"/>
      <c r="E48" s="16">
        <v>2000</v>
      </c>
      <c r="F48" s="16"/>
      <c r="G48" s="16">
        <v>1500</v>
      </c>
      <c r="I48" s="9">
        <v>0</v>
      </c>
      <c r="K48" s="9">
        <v>0</v>
      </c>
      <c r="M48" t="s">
        <v>107</v>
      </c>
      <c r="O48" s="16">
        <v>3500</v>
      </c>
      <c r="P48" s="16"/>
      <c r="Q48" s="16">
        <v>3500</v>
      </c>
      <c r="R48" s="16"/>
      <c r="S48" s="16">
        <v>3300</v>
      </c>
      <c r="U48" s="9">
        <v>2200</v>
      </c>
      <c r="W48" s="9">
        <v>0</v>
      </c>
      <c r="Y48" t="s">
        <v>107</v>
      </c>
      <c r="AA48" s="16">
        <v>3500</v>
      </c>
      <c r="AB48" s="16"/>
      <c r="AC48" s="16">
        <v>3500</v>
      </c>
      <c r="AD48" s="16"/>
      <c r="AE48" s="16">
        <v>3300</v>
      </c>
      <c r="AG48" s="9">
        <v>2200</v>
      </c>
      <c r="AI48" s="9">
        <v>0</v>
      </c>
      <c r="AK48" t="s">
        <v>107</v>
      </c>
      <c r="AM48" s="16">
        <v>4200</v>
      </c>
      <c r="AN48" s="16"/>
      <c r="AO48" s="16">
        <v>4000</v>
      </c>
      <c r="AP48" s="16"/>
      <c r="AQ48" s="16">
        <v>4000</v>
      </c>
      <c r="AS48" s="9">
        <v>3200</v>
      </c>
      <c r="AU48" s="9">
        <v>0</v>
      </c>
      <c r="AW48" t="s">
        <v>107</v>
      </c>
      <c r="AY48" s="16">
        <v>5600</v>
      </c>
      <c r="AZ48" s="16"/>
      <c r="BA48" s="16">
        <v>5600</v>
      </c>
      <c r="BB48" s="16"/>
      <c r="BC48" s="16">
        <v>5500</v>
      </c>
      <c r="BE48" s="9">
        <v>5000</v>
      </c>
      <c r="BG48" s="9">
        <v>2000</v>
      </c>
      <c r="BI48" t="s">
        <v>107</v>
      </c>
      <c r="BK48" s="16">
        <v>3500</v>
      </c>
      <c r="BL48" s="16"/>
      <c r="BM48" s="16">
        <v>3500</v>
      </c>
      <c r="BN48" s="16"/>
      <c r="BO48" s="16">
        <v>3300</v>
      </c>
      <c r="BQ48" s="9">
        <v>2200</v>
      </c>
      <c r="BS48" s="9">
        <v>0</v>
      </c>
      <c r="BU48" t="s">
        <v>107</v>
      </c>
      <c r="BW48" s="16">
        <v>8700</v>
      </c>
      <c r="BX48" s="16"/>
      <c r="BY48" s="16">
        <v>8700</v>
      </c>
      <c r="BZ48" s="16"/>
      <c r="CA48" s="16">
        <v>8500</v>
      </c>
      <c r="CC48" s="9">
        <v>8200</v>
      </c>
      <c r="CE48" s="9">
        <v>6700</v>
      </c>
      <c r="CG48">
        <v>3100</v>
      </c>
      <c r="CI48" t="s">
        <v>107</v>
      </c>
      <c r="CK48" s="16">
        <v>17500</v>
      </c>
      <c r="CL48" s="16"/>
      <c r="CM48" s="16">
        <v>17500</v>
      </c>
      <c r="CN48" s="16"/>
      <c r="CO48" s="16">
        <v>17500</v>
      </c>
      <c r="CQ48" s="9">
        <v>17500</v>
      </c>
      <c r="CS48" s="9">
        <v>17400</v>
      </c>
      <c r="CU48">
        <v>16500</v>
      </c>
      <c r="CW48">
        <v>9700</v>
      </c>
    </row>
    <row r="49" spans="1:101" x14ac:dyDescent="0.25">
      <c r="A49" t="s">
        <v>108</v>
      </c>
      <c r="C49" s="16">
        <v>5</v>
      </c>
      <c r="D49" s="16"/>
      <c r="E49" s="16">
        <v>25</v>
      </c>
      <c r="F49" s="16"/>
      <c r="G49" s="16">
        <v>50</v>
      </c>
      <c r="I49" s="9">
        <v>0</v>
      </c>
      <c r="K49" s="9">
        <v>0</v>
      </c>
      <c r="M49" t="s">
        <v>108</v>
      </c>
      <c r="O49" s="16">
        <v>5</v>
      </c>
      <c r="P49" s="16"/>
      <c r="Q49" s="16">
        <v>25</v>
      </c>
      <c r="R49" s="16"/>
      <c r="S49" s="16">
        <v>50</v>
      </c>
      <c r="U49" s="9">
        <v>100</v>
      </c>
      <c r="W49" s="9">
        <v>0</v>
      </c>
      <c r="Y49" t="s">
        <v>108</v>
      </c>
      <c r="AA49" s="16">
        <v>5</v>
      </c>
      <c r="AB49" s="16"/>
      <c r="AC49" s="16">
        <v>25</v>
      </c>
      <c r="AD49" s="16"/>
      <c r="AE49" s="16">
        <v>50</v>
      </c>
      <c r="AG49" s="9">
        <v>100</v>
      </c>
      <c r="AI49" s="9">
        <v>0</v>
      </c>
      <c r="AK49" t="s">
        <v>108</v>
      </c>
      <c r="AM49" s="16">
        <v>5</v>
      </c>
      <c r="AN49" s="16"/>
      <c r="AO49" s="16">
        <v>25</v>
      </c>
      <c r="AP49" s="16"/>
      <c r="AQ49" s="16">
        <v>50</v>
      </c>
      <c r="AS49" s="9">
        <v>100</v>
      </c>
      <c r="AU49" s="9">
        <v>0</v>
      </c>
      <c r="AW49" t="s">
        <v>108</v>
      </c>
      <c r="AY49" s="16">
        <v>5</v>
      </c>
      <c r="AZ49" s="16"/>
      <c r="BA49" s="16">
        <v>25</v>
      </c>
      <c r="BB49" s="16"/>
      <c r="BC49" s="16">
        <v>50</v>
      </c>
      <c r="BE49" s="9">
        <v>100</v>
      </c>
      <c r="BG49" s="9">
        <v>200</v>
      </c>
      <c r="BI49" t="s">
        <v>108</v>
      </c>
      <c r="BK49" s="16">
        <v>5</v>
      </c>
      <c r="BL49" s="16"/>
      <c r="BM49" s="16">
        <v>25</v>
      </c>
      <c r="BN49" s="16"/>
      <c r="BO49" s="16">
        <v>50</v>
      </c>
      <c r="BQ49" s="9">
        <v>100</v>
      </c>
      <c r="BS49" s="9">
        <v>0</v>
      </c>
      <c r="BU49" t="s">
        <v>108</v>
      </c>
      <c r="BW49" s="16">
        <v>5</v>
      </c>
      <c r="BX49" s="16"/>
      <c r="BY49" s="16">
        <v>25</v>
      </c>
      <c r="BZ49" s="16"/>
      <c r="CA49" s="16">
        <v>50</v>
      </c>
      <c r="CC49" s="9">
        <v>100</v>
      </c>
      <c r="CE49" s="9">
        <v>200</v>
      </c>
      <c r="CG49">
        <v>340</v>
      </c>
      <c r="CI49" t="s">
        <v>108</v>
      </c>
      <c r="CK49" s="16">
        <v>10</v>
      </c>
      <c r="CL49" s="16"/>
      <c r="CM49" s="16">
        <v>50</v>
      </c>
      <c r="CN49" s="16"/>
      <c r="CO49" s="16">
        <v>100</v>
      </c>
      <c r="CQ49" s="9">
        <v>200</v>
      </c>
      <c r="CS49" s="9">
        <v>340</v>
      </c>
      <c r="CU49">
        <v>680</v>
      </c>
      <c r="CW49">
        <v>1300</v>
      </c>
    </row>
    <row r="50" spans="1:101" x14ac:dyDescent="0.25">
      <c r="A50" t="s">
        <v>109</v>
      </c>
      <c r="C50" s="16">
        <v>1500</v>
      </c>
      <c r="D50" s="16"/>
      <c r="E50" s="16">
        <v>1350</v>
      </c>
      <c r="F50" s="16"/>
      <c r="G50" s="16">
        <v>1100</v>
      </c>
      <c r="I50" s="9">
        <v>0</v>
      </c>
      <c r="K50" s="9">
        <v>0</v>
      </c>
      <c r="M50" t="s">
        <v>109</v>
      </c>
      <c r="O50" s="16">
        <v>2500</v>
      </c>
      <c r="P50" s="16"/>
      <c r="Q50" s="16">
        <v>2450</v>
      </c>
      <c r="R50" s="16"/>
      <c r="S50" s="16">
        <v>2300</v>
      </c>
      <c r="U50" s="9">
        <v>1520</v>
      </c>
      <c r="W50" s="9">
        <v>0</v>
      </c>
      <c r="Y50" t="s">
        <v>109</v>
      </c>
      <c r="AA50" s="16">
        <v>2500</v>
      </c>
      <c r="AB50" s="16"/>
      <c r="AC50" s="16">
        <v>2465</v>
      </c>
      <c r="AD50" s="16"/>
      <c r="AE50" s="16">
        <v>2300</v>
      </c>
      <c r="AG50" s="9">
        <v>1550</v>
      </c>
      <c r="AI50" s="9">
        <v>0</v>
      </c>
      <c r="AK50" t="s">
        <v>109</v>
      </c>
      <c r="AM50" s="16">
        <v>3000</v>
      </c>
      <c r="AN50" s="16"/>
      <c r="AO50" s="16">
        <v>2960</v>
      </c>
      <c r="AP50" s="16"/>
      <c r="AQ50" s="16">
        <v>2860</v>
      </c>
      <c r="AS50" s="9">
        <v>2250</v>
      </c>
      <c r="AU50" s="9">
        <v>0</v>
      </c>
      <c r="AW50" t="s">
        <v>109</v>
      </c>
      <c r="AY50" s="16">
        <v>4000</v>
      </c>
      <c r="AZ50" s="16"/>
      <c r="BA50" s="16">
        <v>3970</v>
      </c>
      <c r="BB50" s="16"/>
      <c r="BC50" s="16">
        <v>3880</v>
      </c>
      <c r="BE50" s="9">
        <v>3470</v>
      </c>
      <c r="BG50" s="9">
        <v>1400</v>
      </c>
      <c r="BI50" t="s">
        <v>109</v>
      </c>
      <c r="BK50" s="16">
        <v>2500</v>
      </c>
      <c r="BL50" s="16"/>
      <c r="BM50" s="16">
        <v>2465</v>
      </c>
      <c r="BN50" s="16"/>
      <c r="BO50" s="16">
        <v>2300</v>
      </c>
      <c r="BQ50" s="9">
        <v>1550</v>
      </c>
      <c r="BS50" s="9">
        <v>0</v>
      </c>
      <c r="BU50" t="s">
        <v>109</v>
      </c>
      <c r="BW50" s="16">
        <v>6200</v>
      </c>
      <c r="BX50" s="16"/>
      <c r="BY50" s="16">
        <v>6100</v>
      </c>
      <c r="BZ50" s="16"/>
      <c r="CA50" s="16">
        <v>5990</v>
      </c>
      <c r="CC50" s="9">
        <v>5870</v>
      </c>
      <c r="CE50" s="9">
        <v>4740</v>
      </c>
      <c r="CG50">
        <v>2250</v>
      </c>
      <c r="CI50" t="s">
        <v>109</v>
      </c>
      <c r="CK50" s="16">
        <v>12100</v>
      </c>
      <c r="CL50" s="16"/>
      <c r="CM50" s="16">
        <v>12000</v>
      </c>
      <c r="CN50" s="16"/>
      <c r="CO50" s="16">
        <v>11950</v>
      </c>
      <c r="CQ50" s="9">
        <v>11850</v>
      </c>
      <c r="CS50" s="9">
        <v>11000</v>
      </c>
      <c r="CU50">
        <v>10400</v>
      </c>
      <c r="CW50">
        <v>6650</v>
      </c>
    </row>
    <row r="51" spans="1:101" ht="28.5" customHeight="1" x14ac:dyDescent="0.25">
      <c r="A51" s="25" t="s">
        <v>110</v>
      </c>
      <c r="B51" s="26"/>
      <c r="C51" s="16">
        <v>1525</v>
      </c>
      <c r="D51" s="16"/>
      <c r="E51" s="16">
        <v>1550</v>
      </c>
      <c r="F51" s="16"/>
      <c r="G51" s="16">
        <v>1600</v>
      </c>
      <c r="I51" s="9">
        <v>0</v>
      </c>
      <c r="K51" s="9">
        <v>0</v>
      </c>
      <c r="M51" s="25" t="s">
        <v>110</v>
      </c>
      <c r="N51" s="26"/>
      <c r="O51" s="16">
        <v>1525</v>
      </c>
      <c r="P51" s="16"/>
      <c r="Q51" s="16">
        <v>1550</v>
      </c>
      <c r="R51" s="16"/>
      <c r="S51" s="16">
        <v>1600</v>
      </c>
      <c r="U51" s="9">
        <v>1700</v>
      </c>
      <c r="W51" s="9">
        <v>0</v>
      </c>
      <c r="Y51" s="25" t="s">
        <v>110</v>
      </c>
      <c r="Z51" s="26"/>
      <c r="AA51" s="16">
        <v>1525</v>
      </c>
      <c r="AB51" s="16"/>
      <c r="AC51" s="16">
        <v>1550</v>
      </c>
      <c r="AD51" s="16"/>
      <c r="AE51" s="16">
        <v>1600</v>
      </c>
      <c r="AG51" s="9">
        <v>1700</v>
      </c>
      <c r="AI51" s="9">
        <v>0</v>
      </c>
      <c r="AK51" s="25" t="s">
        <v>110</v>
      </c>
      <c r="AL51" s="26"/>
      <c r="AM51" s="16">
        <v>1525</v>
      </c>
      <c r="AN51" s="16"/>
      <c r="AO51" s="16">
        <v>1550</v>
      </c>
      <c r="AP51" s="16"/>
      <c r="AQ51" s="16">
        <v>1600</v>
      </c>
      <c r="AS51" s="9">
        <v>1700</v>
      </c>
      <c r="AU51" s="9">
        <v>0</v>
      </c>
      <c r="AW51" s="25" t="s">
        <v>110</v>
      </c>
      <c r="AX51" s="26"/>
      <c r="AY51" s="16">
        <v>1525</v>
      </c>
      <c r="AZ51" s="16"/>
      <c r="BA51" s="16">
        <v>1550</v>
      </c>
      <c r="BB51" s="16"/>
      <c r="BC51" s="16">
        <v>1600</v>
      </c>
      <c r="BE51" s="9">
        <v>1700</v>
      </c>
      <c r="BG51" s="9">
        <v>1850</v>
      </c>
      <c r="BI51" s="25" t="s">
        <v>126</v>
      </c>
      <c r="BJ51" s="26"/>
      <c r="BK51" s="16">
        <v>3025</v>
      </c>
      <c r="BL51" s="16"/>
      <c r="BM51" s="16">
        <v>3050</v>
      </c>
      <c r="BN51" s="16"/>
      <c r="BO51" s="16">
        <v>3100</v>
      </c>
      <c r="BQ51" s="9">
        <v>3200</v>
      </c>
      <c r="BS51" s="9">
        <v>0</v>
      </c>
      <c r="BU51" s="25" t="s">
        <v>110</v>
      </c>
      <c r="BV51" s="26"/>
      <c r="BW51" s="16">
        <v>1525</v>
      </c>
      <c r="BX51" s="16"/>
      <c r="BY51" s="16">
        <v>1550</v>
      </c>
      <c r="BZ51" s="16"/>
      <c r="CA51" s="16">
        <v>1600</v>
      </c>
      <c r="CC51" s="9">
        <v>1700</v>
      </c>
      <c r="CE51" s="9">
        <v>1850</v>
      </c>
      <c r="CG51">
        <v>2000</v>
      </c>
      <c r="CI51" s="25" t="s">
        <v>110</v>
      </c>
      <c r="CJ51" s="26"/>
      <c r="CK51" s="16">
        <v>1525</v>
      </c>
      <c r="CL51" s="16"/>
      <c r="CM51" s="16">
        <v>1580</v>
      </c>
      <c r="CN51" s="16"/>
      <c r="CO51" s="16">
        <v>1650</v>
      </c>
      <c r="CQ51" s="9">
        <v>1800</v>
      </c>
      <c r="CS51" s="9">
        <v>1950</v>
      </c>
      <c r="CU51">
        <v>2400</v>
      </c>
      <c r="CW51">
        <v>3400</v>
      </c>
    </row>
    <row r="52" spans="1:101" ht="30" customHeight="1" x14ac:dyDescent="0.25">
      <c r="A52" s="25" t="s">
        <v>111</v>
      </c>
      <c r="B52" s="26"/>
      <c r="C52" s="16">
        <v>625</v>
      </c>
      <c r="D52" s="16"/>
      <c r="E52" s="16">
        <v>650</v>
      </c>
      <c r="F52" s="16"/>
      <c r="G52" s="16">
        <v>700</v>
      </c>
      <c r="I52" s="9">
        <v>0</v>
      </c>
      <c r="K52" s="9">
        <v>0</v>
      </c>
      <c r="M52" s="25" t="s">
        <v>111</v>
      </c>
      <c r="N52" s="26"/>
      <c r="O52" s="16">
        <v>625</v>
      </c>
      <c r="P52" s="16"/>
      <c r="Q52" s="16">
        <v>650</v>
      </c>
      <c r="R52" s="16"/>
      <c r="S52" s="16">
        <v>700</v>
      </c>
      <c r="U52" s="9">
        <v>800</v>
      </c>
      <c r="W52" s="9">
        <v>0</v>
      </c>
      <c r="Y52" s="25" t="s">
        <v>111</v>
      </c>
      <c r="Z52" s="26"/>
      <c r="AA52" s="16">
        <v>625</v>
      </c>
      <c r="AB52" s="16"/>
      <c r="AC52" s="16">
        <v>650</v>
      </c>
      <c r="AD52" s="16"/>
      <c r="AE52" s="16">
        <v>700</v>
      </c>
      <c r="AG52" s="9">
        <v>800</v>
      </c>
      <c r="AI52" s="9">
        <v>0</v>
      </c>
      <c r="AK52" s="25" t="s">
        <v>111</v>
      </c>
      <c r="AL52" s="26"/>
      <c r="AM52" s="16">
        <v>625</v>
      </c>
      <c r="AN52" s="16"/>
      <c r="AO52" s="16">
        <v>650</v>
      </c>
      <c r="AP52" s="16"/>
      <c r="AQ52" s="16">
        <v>700</v>
      </c>
      <c r="AS52" s="9">
        <v>800</v>
      </c>
      <c r="AU52" s="9">
        <v>0</v>
      </c>
      <c r="AW52" s="25" t="s">
        <v>111</v>
      </c>
      <c r="AX52" s="26"/>
      <c r="AY52" s="16">
        <v>625</v>
      </c>
      <c r="AZ52" s="16"/>
      <c r="BA52" s="16">
        <v>650</v>
      </c>
      <c r="BB52" s="16"/>
      <c r="BC52" s="16">
        <v>700</v>
      </c>
      <c r="BE52" s="9">
        <v>800</v>
      </c>
      <c r="BG52" s="9">
        <v>950</v>
      </c>
      <c r="BI52" s="25" t="s">
        <v>111</v>
      </c>
      <c r="BJ52" s="26"/>
      <c r="BK52" s="16">
        <v>625</v>
      </c>
      <c r="BL52" s="16"/>
      <c r="BM52" s="16">
        <v>650</v>
      </c>
      <c r="BN52" s="16"/>
      <c r="BO52" s="16">
        <v>700</v>
      </c>
      <c r="BQ52" s="9">
        <v>800</v>
      </c>
      <c r="BS52" s="9">
        <v>0</v>
      </c>
      <c r="BU52" s="25" t="s">
        <v>111</v>
      </c>
      <c r="BV52" s="26"/>
      <c r="BW52" s="16">
        <v>625</v>
      </c>
      <c r="BX52" s="16"/>
      <c r="BY52" s="16">
        <v>650</v>
      </c>
      <c r="BZ52" s="16"/>
      <c r="CA52" s="16">
        <v>700</v>
      </c>
      <c r="CC52" s="9">
        <v>800</v>
      </c>
      <c r="CE52" s="9">
        <v>950</v>
      </c>
      <c r="CG52">
        <v>1100</v>
      </c>
      <c r="CI52" s="25" t="s">
        <v>111</v>
      </c>
      <c r="CJ52" s="26"/>
      <c r="CK52" s="16">
        <v>625</v>
      </c>
      <c r="CL52" s="16"/>
      <c r="CM52" s="16">
        <v>680</v>
      </c>
      <c r="CN52" s="16"/>
      <c r="CO52" s="16">
        <v>750</v>
      </c>
      <c r="CQ52" s="9">
        <v>1000</v>
      </c>
      <c r="CS52" s="9">
        <v>1050</v>
      </c>
      <c r="CU52">
        <v>1500</v>
      </c>
      <c r="CW52">
        <v>2500</v>
      </c>
    </row>
    <row r="54" spans="1:101" ht="45" customHeight="1" x14ac:dyDescent="0.25">
      <c r="A54" s="25" t="s">
        <v>105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M54" s="25" t="s">
        <v>113</v>
      </c>
      <c r="N54" s="25"/>
      <c r="O54" s="25"/>
      <c r="P54" s="25"/>
      <c r="Q54" s="25"/>
      <c r="R54" s="25"/>
      <c r="S54" s="25"/>
      <c r="T54" s="25"/>
      <c r="U54" s="25"/>
      <c r="V54" s="25"/>
      <c r="W54" s="25"/>
      <c r="Y54" s="25" t="s">
        <v>115</v>
      </c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K54" s="25" t="s">
        <v>117</v>
      </c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W54" s="25" t="s">
        <v>123</v>
      </c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I54" s="25" t="s">
        <v>127</v>
      </c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U54" s="25" t="s">
        <v>131</v>
      </c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I54" s="25" t="s">
        <v>134</v>
      </c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</row>
    <row r="55" spans="1:101" ht="21.75" customHeight="1" x14ac:dyDescent="0.25">
      <c r="A55" s="25" t="s">
        <v>97</v>
      </c>
      <c r="B55" s="24" t="s">
        <v>98</v>
      </c>
      <c r="C55" s="24"/>
      <c r="D55" s="24" t="s">
        <v>100</v>
      </c>
      <c r="E55" s="24"/>
      <c r="F55" s="24" t="s">
        <v>99</v>
      </c>
      <c r="G55" s="24"/>
      <c r="H55" s="24" t="s">
        <v>101</v>
      </c>
      <c r="I55" s="24"/>
      <c r="J55" s="24" t="s">
        <v>104</v>
      </c>
      <c r="K55" s="24"/>
      <c r="M55" s="25" t="s">
        <v>97</v>
      </c>
      <c r="N55" s="24" t="s">
        <v>98</v>
      </c>
      <c r="O55" s="24"/>
      <c r="P55" s="24" t="s">
        <v>100</v>
      </c>
      <c r="Q55" s="24"/>
      <c r="R55" s="24" t="s">
        <v>99</v>
      </c>
      <c r="S55" s="24"/>
      <c r="T55" s="24" t="s">
        <v>101</v>
      </c>
      <c r="U55" s="24"/>
      <c r="V55" s="24" t="s">
        <v>104</v>
      </c>
      <c r="W55" s="24"/>
      <c r="Y55" s="25" t="s">
        <v>97</v>
      </c>
      <c r="Z55" s="24" t="s">
        <v>98</v>
      </c>
      <c r="AA55" s="24"/>
      <c r="AB55" s="24" t="s">
        <v>100</v>
      </c>
      <c r="AC55" s="24"/>
      <c r="AD55" s="24" t="s">
        <v>99</v>
      </c>
      <c r="AE55" s="24"/>
      <c r="AF55" s="24" t="s">
        <v>101</v>
      </c>
      <c r="AG55" s="24"/>
      <c r="AH55" s="24" t="s">
        <v>104</v>
      </c>
      <c r="AI55" s="24"/>
      <c r="AK55" s="25" t="s">
        <v>97</v>
      </c>
      <c r="AL55" s="24" t="s">
        <v>98</v>
      </c>
      <c r="AM55" s="24"/>
      <c r="AN55" s="24" t="s">
        <v>100</v>
      </c>
      <c r="AO55" s="24"/>
      <c r="AP55" s="24" t="s">
        <v>99</v>
      </c>
      <c r="AQ55" s="24"/>
      <c r="AR55" s="24" t="s">
        <v>101</v>
      </c>
      <c r="AS55" s="24"/>
      <c r="AT55" s="24" t="s">
        <v>104</v>
      </c>
      <c r="AU55" s="24"/>
      <c r="AW55" s="25" t="s">
        <v>97</v>
      </c>
      <c r="AX55" s="24" t="s">
        <v>98</v>
      </c>
      <c r="AY55" s="24"/>
      <c r="AZ55" s="24" t="s">
        <v>100</v>
      </c>
      <c r="BA55" s="24"/>
      <c r="BB55" s="24" t="s">
        <v>99</v>
      </c>
      <c r="BC55" s="24"/>
      <c r="BD55" s="24" t="s">
        <v>101</v>
      </c>
      <c r="BE55" s="24"/>
      <c r="BF55" s="24" t="s">
        <v>104</v>
      </c>
      <c r="BG55" s="24"/>
      <c r="BI55" s="25" t="s">
        <v>97</v>
      </c>
      <c r="BJ55" s="24" t="s">
        <v>98</v>
      </c>
      <c r="BK55" s="24"/>
      <c r="BL55" s="24" t="s">
        <v>100</v>
      </c>
      <c r="BM55" s="24"/>
      <c r="BN55" s="24" t="s">
        <v>99</v>
      </c>
      <c r="BO55" s="24"/>
      <c r="BP55" s="24" t="s">
        <v>101</v>
      </c>
      <c r="BQ55" s="24"/>
      <c r="BR55" s="24" t="s">
        <v>104</v>
      </c>
      <c r="BS55" s="24"/>
      <c r="BU55" s="25" t="s">
        <v>97</v>
      </c>
      <c r="BV55" s="24" t="s">
        <v>98</v>
      </c>
      <c r="BW55" s="24"/>
      <c r="BX55" s="24" t="s">
        <v>100</v>
      </c>
      <c r="BY55" s="24"/>
      <c r="BZ55" s="24" t="s">
        <v>99</v>
      </c>
      <c r="CA55" s="24"/>
      <c r="CB55" s="24" t="s">
        <v>101</v>
      </c>
      <c r="CC55" s="24"/>
      <c r="CD55" s="24" t="s">
        <v>104</v>
      </c>
      <c r="CE55" s="24"/>
      <c r="CF55" s="24" t="s">
        <v>130</v>
      </c>
      <c r="CG55" s="24"/>
      <c r="CI55" s="25" t="s">
        <v>97</v>
      </c>
      <c r="CJ55" s="24" t="s">
        <v>98</v>
      </c>
      <c r="CK55" s="24"/>
      <c r="CL55" s="24" t="s">
        <v>100</v>
      </c>
      <c r="CM55" s="24"/>
      <c r="CN55" s="24" t="s">
        <v>99</v>
      </c>
      <c r="CO55" s="24"/>
      <c r="CP55" s="24" t="s">
        <v>101</v>
      </c>
      <c r="CQ55" s="24"/>
      <c r="CR55" s="24" t="s">
        <v>104</v>
      </c>
      <c r="CS55" s="24"/>
      <c r="CT55" s="24" t="s">
        <v>130</v>
      </c>
      <c r="CU55" s="24"/>
      <c r="CV55" s="24" t="s">
        <v>133</v>
      </c>
      <c r="CW55" s="24"/>
    </row>
    <row r="56" spans="1:101" ht="22.5" customHeight="1" x14ac:dyDescent="0.25">
      <c r="A56" s="25"/>
      <c r="B56" t="s">
        <v>102</v>
      </c>
      <c r="C56" t="s">
        <v>103</v>
      </c>
      <c r="D56" t="s">
        <v>102</v>
      </c>
      <c r="E56" t="s">
        <v>103</v>
      </c>
      <c r="F56" t="s">
        <v>102</v>
      </c>
      <c r="G56" t="s">
        <v>103</v>
      </c>
      <c r="H56" t="s">
        <v>102</v>
      </c>
      <c r="I56" t="s">
        <v>103</v>
      </c>
      <c r="J56" t="s">
        <v>102</v>
      </c>
      <c r="K56" t="s">
        <v>103</v>
      </c>
      <c r="M56" s="25"/>
      <c r="N56" t="s">
        <v>102</v>
      </c>
      <c r="O56" t="s">
        <v>103</v>
      </c>
      <c r="P56" t="s">
        <v>102</v>
      </c>
      <c r="Q56" t="s">
        <v>103</v>
      </c>
      <c r="R56" t="s">
        <v>102</v>
      </c>
      <c r="S56" t="s">
        <v>103</v>
      </c>
      <c r="T56" t="s">
        <v>102</v>
      </c>
      <c r="U56" t="s">
        <v>103</v>
      </c>
      <c r="V56" t="s">
        <v>102</v>
      </c>
      <c r="W56" t="s">
        <v>103</v>
      </c>
      <c r="Y56" s="25"/>
      <c r="Z56" t="s">
        <v>102</v>
      </c>
      <c r="AA56" t="s">
        <v>103</v>
      </c>
      <c r="AB56" t="s">
        <v>102</v>
      </c>
      <c r="AC56" t="s">
        <v>103</v>
      </c>
      <c r="AD56" t="s">
        <v>102</v>
      </c>
      <c r="AE56" t="s">
        <v>103</v>
      </c>
      <c r="AF56" t="s">
        <v>102</v>
      </c>
      <c r="AG56" t="s">
        <v>103</v>
      </c>
      <c r="AH56" t="s">
        <v>102</v>
      </c>
      <c r="AI56" t="s">
        <v>103</v>
      </c>
      <c r="AK56" s="25"/>
      <c r="AL56" t="s">
        <v>102</v>
      </c>
      <c r="AM56" t="s">
        <v>103</v>
      </c>
      <c r="AN56" t="s">
        <v>102</v>
      </c>
      <c r="AO56" t="s">
        <v>103</v>
      </c>
      <c r="AP56" t="s">
        <v>102</v>
      </c>
      <c r="AQ56" t="s">
        <v>103</v>
      </c>
      <c r="AR56" t="s">
        <v>102</v>
      </c>
      <c r="AS56" t="s">
        <v>103</v>
      </c>
      <c r="AT56" t="s">
        <v>102</v>
      </c>
      <c r="AU56" t="s">
        <v>103</v>
      </c>
      <c r="AW56" s="25"/>
      <c r="AX56" t="s">
        <v>102</v>
      </c>
      <c r="AY56" t="s">
        <v>103</v>
      </c>
      <c r="AZ56" t="s">
        <v>102</v>
      </c>
      <c r="BA56" t="s">
        <v>103</v>
      </c>
      <c r="BB56" t="s">
        <v>102</v>
      </c>
      <c r="BC56" t="s">
        <v>103</v>
      </c>
      <c r="BD56" t="s">
        <v>102</v>
      </c>
      <c r="BE56" t="s">
        <v>103</v>
      </c>
      <c r="BF56" t="s">
        <v>102</v>
      </c>
      <c r="BG56" t="s">
        <v>103</v>
      </c>
      <c r="BI56" s="25"/>
      <c r="BJ56" t="s">
        <v>102</v>
      </c>
      <c r="BK56" t="s">
        <v>103</v>
      </c>
      <c r="BL56" t="s">
        <v>102</v>
      </c>
      <c r="BM56" t="s">
        <v>103</v>
      </c>
      <c r="BN56" t="s">
        <v>102</v>
      </c>
      <c r="BO56" t="s">
        <v>103</v>
      </c>
      <c r="BP56" t="s">
        <v>102</v>
      </c>
      <c r="BQ56" t="s">
        <v>103</v>
      </c>
      <c r="BR56" t="s">
        <v>102</v>
      </c>
      <c r="BS56" t="s">
        <v>103</v>
      </c>
      <c r="BU56" s="25"/>
      <c r="BV56" t="s">
        <v>102</v>
      </c>
      <c r="BW56" t="s">
        <v>103</v>
      </c>
      <c r="BX56" t="s">
        <v>102</v>
      </c>
      <c r="BY56" t="s">
        <v>103</v>
      </c>
      <c r="BZ56" t="s">
        <v>102</v>
      </c>
      <c r="CA56" t="s">
        <v>103</v>
      </c>
      <c r="CB56" t="s">
        <v>102</v>
      </c>
      <c r="CC56" t="s">
        <v>103</v>
      </c>
      <c r="CD56" t="s">
        <v>102</v>
      </c>
      <c r="CE56" t="s">
        <v>103</v>
      </c>
      <c r="CF56" t="s">
        <v>102</v>
      </c>
      <c r="CG56" t="s">
        <v>103</v>
      </c>
      <c r="CI56" s="25"/>
      <c r="CJ56" t="s">
        <v>102</v>
      </c>
      <c r="CK56" t="s">
        <v>103</v>
      </c>
      <c r="CL56" t="s">
        <v>102</v>
      </c>
      <c r="CM56" t="s">
        <v>103</v>
      </c>
      <c r="CN56" t="s">
        <v>102</v>
      </c>
      <c r="CO56" t="s">
        <v>103</v>
      </c>
      <c r="CP56" t="s">
        <v>102</v>
      </c>
      <c r="CQ56" t="s">
        <v>103</v>
      </c>
      <c r="CR56" t="s">
        <v>102</v>
      </c>
      <c r="CS56" t="s">
        <v>103</v>
      </c>
      <c r="CT56" t="s">
        <v>102</v>
      </c>
      <c r="CU56" t="s">
        <v>103</v>
      </c>
      <c r="CV56" t="s">
        <v>102</v>
      </c>
      <c r="CW56" t="s">
        <v>103</v>
      </c>
    </row>
    <row r="57" spans="1:101" x14ac:dyDescent="0.25">
      <c r="A57" s="4">
        <v>25</v>
      </c>
      <c r="B57">
        <v>650</v>
      </c>
      <c r="C57" s="9">
        <f>PRODUCT(A57,B57,1/(B57+150))</f>
        <v>20.3125</v>
      </c>
      <c r="D57">
        <v>0</v>
      </c>
      <c r="E57" s="9">
        <f>PRODUCT(A57,D57,1/(D57+150))</f>
        <v>0</v>
      </c>
      <c r="M57" s="4">
        <v>25</v>
      </c>
      <c r="N57">
        <v>700</v>
      </c>
      <c r="O57" s="9">
        <f>PRODUCT(M57,N57,1/(N57+150))</f>
        <v>20.588235294117645</v>
      </c>
      <c r="P57">
        <v>0</v>
      </c>
      <c r="Q57" s="9">
        <f>PRODUCT(M57,P57,1/(P57+150))</f>
        <v>0</v>
      </c>
      <c r="Y57" s="4">
        <v>25</v>
      </c>
      <c r="Z57">
        <v>750</v>
      </c>
      <c r="AA57" s="9">
        <f>PRODUCT(Y57,Z57,1/(Z57+150))</f>
        <v>20.833333333333332</v>
      </c>
      <c r="AB57">
        <v>0</v>
      </c>
      <c r="AC57" s="9">
        <f>PRODUCT(Y57,AB57,1/(AB57+150))</f>
        <v>0</v>
      </c>
      <c r="AK57" s="4">
        <v>25</v>
      </c>
      <c r="AL57">
        <v>800</v>
      </c>
      <c r="AM57" s="9">
        <f>PRODUCT(AK57,AL57,1/(AL57+150))</f>
        <v>21.052631578947366</v>
      </c>
      <c r="AN57">
        <v>0</v>
      </c>
      <c r="AO57" s="9">
        <f>PRODUCT(AK57,AN57,1/(AN57+150))</f>
        <v>0</v>
      </c>
      <c r="AW57" s="4">
        <v>25</v>
      </c>
      <c r="AX57">
        <v>700</v>
      </c>
      <c r="AY57" s="9">
        <f>PRODUCT(AW57,AX57,1/(AX57+150))</f>
        <v>20.588235294117645</v>
      </c>
      <c r="AZ57">
        <v>0</v>
      </c>
      <c r="BA57" s="9">
        <f>PRODUCT(AW57,AZ57,1/(AZ57+150))</f>
        <v>0</v>
      </c>
      <c r="BI57" s="4">
        <v>25</v>
      </c>
      <c r="BJ57">
        <v>750</v>
      </c>
      <c r="BK57" s="9">
        <f>PRODUCT(BI57,BJ57,1/(BJ57+150))</f>
        <v>20.833333333333332</v>
      </c>
      <c r="BL57">
        <v>0</v>
      </c>
      <c r="BM57" s="9">
        <f>PRODUCT(BI57,BL57,1/(BL57+150))</f>
        <v>0</v>
      </c>
      <c r="BU57" s="4">
        <v>25</v>
      </c>
      <c r="BV57">
        <v>800</v>
      </c>
      <c r="BW57" s="9">
        <f>PRODUCT(BU57,BV57,1/(BV57+150))</f>
        <v>21.052631578947366</v>
      </c>
      <c r="BX57">
        <v>0</v>
      </c>
      <c r="BY57" s="9">
        <f>PRODUCT(BU57,BX57,1/(BX57+150))</f>
        <v>0</v>
      </c>
      <c r="BZ57">
        <v>0</v>
      </c>
      <c r="CA57" s="9">
        <v>0</v>
      </c>
      <c r="CB57">
        <v>0</v>
      </c>
      <c r="CC57" s="9">
        <v>0</v>
      </c>
      <c r="CD57">
        <v>0</v>
      </c>
      <c r="CE57" s="9">
        <v>0</v>
      </c>
      <c r="CF57">
        <v>0</v>
      </c>
      <c r="CG57" s="9">
        <v>0</v>
      </c>
      <c r="CI57" s="4">
        <v>25</v>
      </c>
      <c r="CJ57">
        <v>750</v>
      </c>
      <c r="CK57" s="9">
        <f>PRODUCT(CI57,CJ57,1/(CJ57+150))</f>
        <v>20.833333333333332</v>
      </c>
      <c r="CL57">
        <v>0</v>
      </c>
      <c r="CM57" s="9">
        <f>PRODUCT(CI57,CL57,1/(CL57+150))</f>
        <v>0</v>
      </c>
      <c r="CN57">
        <v>0</v>
      </c>
      <c r="CO57" s="9">
        <v>0</v>
      </c>
      <c r="CP57">
        <v>0</v>
      </c>
      <c r="CQ57" s="9">
        <v>0</v>
      </c>
      <c r="CR57">
        <v>0</v>
      </c>
      <c r="CS57" s="9">
        <v>0</v>
      </c>
      <c r="CT57">
        <v>0</v>
      </c>
      <c r="CU57" s="9">
        <v>0</v>
      </c>
      <c r="CV57">
        <v>0</v>
      </c>
      <c r="CW57" s="9">
        <v>0</v>
      </c>
    </row>
    <row r="58" spans="1:101" x14ac:dyDescent="0.25">
      <c r="A58" s="4">
        <v>50</v>
      </c>
      <c r="B58">
        <v>650</v>
      </c>
      <c r="C58" s="9">
        <f t="shared" ref="C58:C67" si="155">PRODUCT(A58,B58,1/(B58+150))</f>
        <v>40.625</v>
      </c>
      <c r="D58">
        <v>650</v>
      </c>
      <c r="E58" s="9">
        <f t="shared" ref="E58:E67" si="156">PRODUCT(A58,D58,1/(D58+150))</f>
        <v>40.625</v>
      </c>
      <c r="F58">
        <v>650</v>
      </c>
      <c r="G58" s="9">
        <f>PRODUCT(A58,F58,1/(F58+150))</f>
        <v>40.625</v>
      </c>
      <c r="H58">
        <v>0</v>
      </c>
      <c r="I58" s="9">
        <v>0</v>
      </c>
      <c r="J58">
        <v>0</v>
      </c>
      <c r="K58" s="9">
        <v>0</v>
      </c>
      <c r="M58" s="4">
        <v>50</v>
      </c>
      <c r="N58">
        <v>700</v>
      </c>
      <c r="O58" s="9">
        <f t="shared" ref="O58:O70" si="157">PRODUCT(M58,N58,1/(N58+150))</f>
        <v>41.17647058823529</v>
      </c>
      <c r="P58">
        <v>700</v>
      </c>
      <c r="Q58" s="9">
        <f t="shared" ref="Q58:Q70" si="158">PRODUCT(M58,P58,1/(P58+150))</f>
        <v>41.17647058823529</v>
      </c>
      <c r="R58">
        <v>0</v>
      </c>
      <c r="S58" s="9">
        <f>PRODUCT(M58,R58,1/(R58+150))</f>
        <v>0</v>
      </c>
      <c r="T58">
        <v>0</v>
      </c>
      <c r="U58" s="9">
        <v>0</v>
      </c>
      <c r="V58">
        <v>0</v>
      </c>
      <c r="W58" s="9">
        <v>0</v>
      </c>
      <c r="Y58" s="4">
        <v>50</v>
      </c>
      <c r="Z58">
        <v>750</v>
      </c>
      <c r="AA58" s="9">
        <f t="shared" ref="AA58:AA70" si="159">PRODUCT(Y58,Z58,1/(Z58+150))</f>
        <v>41.666666666666664</v>
      </c>
      <c r="AB58">
        <v>750</v>
      </c>
      <c r="AC58" s="9">
        <f t="shared" ref="AC58:AC70" si="160">PRODUCT(Y58,AB58,1/(AB58+150))</f>
        <v>41.666666666666664</v>
      </c>
      <c r="AD58">
        <v>0</v>
      </c>
      <c r="AE58" s="9">
        <f>PRODUCT(Y58,AD58,1/(AD58+150))</f>
        <v>0</v>
      </c>
      <c r="AF58">
        <v>0</v>
      </c>
      <c r="AG58" s="9">
        <v>0</v>
      </c>
      <c r="AH58">
        <v>0</v>
      </c>
      <c r="AI58" s="9">
        <v>0</v>
      </c>
      <c r="AK58" s="4">
        <v>50</v>
      </c>
      <c r="AL58">
        <v>800</v>
      </c>
      <c r="AM58" s="9">
        <f t="shared" ref="AM58:AM71" si="161">PRODUCT(AK58,AL58,1/(AL58+150))</f>
        <v>42.105263157894733</v>
      </c>
      <c r="AN58">
        <v>800</v>
      </c>
      <c r="AO58" s="9">
        <f t="shared" ref="AO58:AO71" si="162">PRODUCT(AK58,AN58,1/(AN58+150))</f>
        <v>42.105263157894733</v>
      </c>
      <c r="AP58">
        <v>0</v>
      </c>
      <c r="AQ58" s="9">
        <f>PRODUCT(AK58,AP58,1/(AP58+150))</f>
        <v>0</v>
      </c>
      <c r="AR58">
        <v>0</v>
      </c>
      <c r="AS58" s="9">
        <v>0</v>
      </c>
      <c r="AT58">
        <v>0</v>
      </c>
      <c r="AU58" s="9">
        <v>0</v>
      </c>
      <c r="AW58" s="4">
        <v>50</v>
      </c>
      <c r="AX58">
        <v>700</v>
      </c>
      <c r="AY58" s="9">
        <f t="shared" ref="AY58:AY74" si="163">PRODUCT(AW58,AX58,1/(AX58+150))</f>
        <v>41.17647058823529</v>
      </c>
      <c r="AZ58">
        <v>700</v>
      </c>
      <c r="BA58" s="9">
        <f t="shared" ref="BA58:BA74" si="164">PRODUCT(AW58,AZ58,1/(AZ58+150))</f>
        <v>41.17647058823529</v>
      </c>
      <c r="BB58">
        <v>0</v>
      </c>
      <c r="BC58" s="9">
        <f>PRODUCT(AW58,BB58,1/(BB58+150))</f>
        <v>0</v>
      </c>
      <c r="BD58">
        <v>0</v>
      </c>
      <c r="BE58" s="9">
        <v>0</v>
      </c>
      <c r="BF58">
        <v>0</v>
      </c>
      <c r="BG58" s="9">
        <v>0</v>
      </c>
      <c r="BI58" s="4">
        <v>50</v>
      </c>
      <c r="BJ58">
        <v>750</v>
      </c>
      <c r="BK58" s="9">
        <f t="shared" ref="BK58:BK70" si="165">PRODUCT(BI58,BJ58,1/(BJ58+150))</f>
        <v>41.666666666666664</v>
      </c>
      <c r="BL58">
        <v>750</v>
      </c>
      <c r="BM58" s="9">
        <f t="shared" ref="BM58:BM70" si="166">PRODUCT(BI58,BL58,1/(BL58+150))</f>
        <v>41.666666666666664</v>
      </c>
      <c r="BN58">
        <v>0</v>
      </c>
      <c r="BO58" s="9">
        <f>PRODUCT(BI58,BN58,1/(BN58+150))</f>
        <v>0</v>
      </c>
      <c r="BP58">
        <v>0</v>
      </c>
      <c r="BQ58" s="9">
        <v>0</v>
      </c>
      <c r="BR58">
        <v>0</v>
      </c>
      <c r="BS58" s="9">
        <v>0</v>
      </c>
      <c r="BU58" s="4">
        <v>50</v>
      </c>
      <c r="BV58">
        <v>800</v>
      </c>
      <c r="BW58" s="9">
        <f t="shared" ref="BW58:BW79" si="167">PRODUCT(BU58,BV58,1/(BV58+150))</f>
        <v>42.105263157894733</v>
      </c>
      <c r="BX58">
        <v>800</v>
      </c>
      <c r="BY58" s="9">
        <f t="shared" ref="BY58:BY79" si="168">PRODUCT(BU58,BX58,1/(BX58+150))</f>
        <v>42.105263157894733</v>
      </c>
      <c r="BZ58">
        <v>0</v>
      </c>
      <c r="CA58" s="9">
        <f>PRODUCT(BU58,BZ58,1/(BZ58+150))</f>
        <v>0</v>
      </c>
      <c r="CB58">
        <v>0</v>
      </c>
      <c r="CC58" s="9">
        <v>0</v>
      </c>
      <c r="CD58">
        <v>0</v>
      </c>
      <c r="CE58" s="9">
        <v>0</v>
      </c>
      <c r="CF58">
        <v>0</v>
      </c>
      <c r="CG58" s="9">
        <v>0</v>
      </c>
      <c r="CI58" s="4">
        <v>50</v>
      </c>
      <c r="CJ58">
        <v>750</v>
      </c>
      <c r="CK58" s="9">
        <f t="shared" ref="CK58:CK99" si="169">PRODUCT(CI58,CJ58,1/(CJ58+150))</f>
        <v>41.666666666666664</v>
      </c>
      <c r="CL58">
        <v>0</v>
      </c>
      <c r="CM58" s="9">
        <f t="shared" ref="CM58:CM94" si="170">PRODUCT(CI58,CL58,1/(CL58+150))</f>
        <v>0</v>
      </c>
      <c r="CN58">
        <v>0</v>
      </c>
      <c r="CO58" s="9">
        <f>PRODUCT(CI58,CN58,1/(CN58+150))</f>
        <v>0</v>
      </c>
      <c r="CP58">
        <v>0</v>
      </c>
      <c r="CQ58" s="9">
        <v>0</v>
      </c>
      <c r="CR58">
        <v>0</v>
      </c>
      <c r="CS58" s="9">
        <v>0</v>
      </c>
      <c r="CT58">
        <v>0</v>
      </c>
      <c r="CU58" s="9">
        <v>0</v>
      </c>
      <c r="CV58">
        <v>0</v>
      </c>
      <c r="CW58" s="9">
        <v>0</v>
      </c>
    </row>
    <row r="59" spans="1:101" x14ac:dyDescent="0.25">
      <c r="A59" s="4">
        <v>100</v>
      </c>
      <c r="B59">
        <f>SUM(B58,-2)</f>
        <v>648</v>
      </c>
      <c r="C59" s="9">
        <f t="shared" si="155"/>
        <v>81.203007518796994</v>
      </c>
      <c r="D59">
        <f>SUM(D58,-3)</f>
        <v>647</v>
      </c>
      <c r="E59" s="9">
        <f t="shared" si="156"/>
        <v>81.179422835633616</v>
      </c>
      <c r="F59">
        <v>650</v>
      </c>
      <c r="G59" s="9">
        <f t="shared" ref="G59:G66" si="171">PRODUCT(A59,F59,1/(F59+150))</f>
        <v>81.25</v>
      </c>
      <c r="H59">
        <v>0</v>
      </c>
      <c r="I59" s="9">
        <v>0</v>
      </c>
      <c r="J59">
        <v>0</v>
      </c>
      <c r="K59" s="9">
        <v>0</v>
      </c>
      <c r="M59" s="4">
        <v>100</v>
      </c>
      <c r="N59">
        <f>SUM(N58,-2)</f>
        <v>698</v>
      </c>
      <c r="O59" s="9">
        <f t="shared" si="157"/>
        <v>82.311320754716974</v>
      </c>
      <c r="P59">
        <f>SUM(P58,-3)</f>
        <v>697</v>
      </c>
      <c r="Q59" s="9">
        <f t="shared" si="158"/>
        <v>82.290436835891384</v>
      </c>
      <c r="R59">
        <v>700</v>
      </c>
      <c r="S59" s="9">
        <f t="shared" ref="S59:S70" si="172">PRODUCT(M59,R59,1/(R59+150))</f>
        <v>82.35294117647058</v>
      </c>
      <c r="T59">
        <v>0</v>
      </c>
      <c r="U59" s="9">
        <v>0</v>
      </c>
      <c r="V59">
        <v>0</v>
      </c>
      <c r="W59" s="9">
        <v>0</v>
      </c>
      <c r="Y59" s="4">
        <v>100</v>
      </c>
      <c r="Z59">
        <f>SUM(Z58,-2)</f>
        <v>748</v>
      </c>
      <c r="AA59" s="9">
        <f t="shared" si="159"/>
        <v>83.29621380846325</v>
      </c>
      <c r="AB59">
        <f>SUM(AB58,-3)</f>
        <v>747</v>
      </c>
      <c r="AC59" s="9">
        <f t="shared" si="160"/>
        <v>83.277591973244142</v>
      </c>
      <c r="AD59">
        <v>750</v>
      </c>
      <c r="AE59" s="9">
        <f t="shared" ref="AE59:AE70" si="173">PRODUCT(Y59,AD59,1/(AD59+150))</f>
        <v>83.333333333333329</v>
      </c>
      <c r="AF59">
        <v>0</v>
      </c>
      <c r="AG59" s="9">
        <v>0</v>
      </c>
      <c r="AH59">
        <v>0</v>
      </c>
      <c r="AI59" s="9">
        <v>0</v>
      </c>
      <c r="AK59" s="4">
        <v>100</v>
      </c>
      <c r="AL59">
        <f>SUM(AL58,-2)</f>
        <v>798</v>
      </c>
      <c r="AM59" s="9">
        <f t="shared" si="161"/>
        <v>84.177215189873408</v>
      </c>
      <c r="AN59">
        <f>SUM(AN58,-3)</f>
        <v>797</v>
      </c>
      <c r="AO59" s="9">
        <f t="shared" si="162"/>
        <v>84.160506863780356</v>
      </c>
      <c r="AP59">
        <v>800</v>
      </c>
      <c r="AQ59" s="9">
        <f t="shared" ref="AQ59:AQ71" si="174">PRODUCT(AK59,AP59,1/(AP59+150))</f>
        <v>84.210526315789465</v>
      </c>
      <c r="AR59">
        <v>0</v>
      </c>
      <c r="AS59" s="9">
        <v>0</v>
      </c>
      <c r="AT59">
        <v>0</v>
      </c>
      <c r="AU59" s="9">
        <v>0</v>
      </c>
      <c r="AW59" s="4">
        <v>100</v>
      </c>
      <c r="AX59">
        <f>SUM(AX58,-2)</f>
        <v>698</v>
      </c>
      <c r="AY59" s="9">
        <f t="shared" si="163"/>
        <v>82.311320754716974</v>
      </c>
      <c r="AZ59">
        <f>SUM(AZ58,-3)</f>
        <v>697</v>
      </c>
      <c r="BA59" s="9">
        <f t="shared" si="164"/>
        <v>82.290436835891384</v>
      </c>
      <c r="BB59">
        <v>700</v>
      </c>
      <c r="BC59" s="9">
        <f t="shared" ref="BC59:BC73" si="175">PRODUCT(AW59,BB59,1/(BB59+150))</f>
        <v>82.35294117647058</v>
      </c>
      <c r="BD59">
        <v>0</v>
      </c>
      <c r="BE59" s="9">
        <v>0</v>
      </c>
      <c r="BF59">
        <v>0</v>
      </c>
      <c r="BG59" s="9">
        <v>0</v>
      </c>
      <c r="BI59" s="4">
        <v>100</v>
      </c>
      <c r="BJ59">
        <f>SUM(BJ58,-2)</f>
        <v>748</v>
      </c>
      <c r="BK59" s="9">
        <f t="shared" si="165"/>
        <v>83.29621380846325</v>
      </c>
      <c r="BL59">
        <f>SUM(BL58,-3)</f>
        <v>747</v>
      </c>
      <c r="BM59" s="9">
        <f t="shared" si="166"/>
        <v>83.277591973244142</v>
      </c>
      <c r="BN59">
        <v>750</v>
      </c>
      <c r="BO59" s="9">
        <f t="shared" ref="BO59:BO70" si="176">PRODUCT(BI59,BN59,1/(BN59+150))</f>
        <v>83.333333333333329</v>
      </c>
      <c r="BP59">
        <v>0</v>
      </c>
      <c r="BQ59" s="9">
        <v>0</v>
      </c>
      <c r="BR59">
        <v>0</v>
      </c>
      <c r="BS59" s="9">
        <v>0</v>
      </c>
      <c r="BU59" s="4">
        <v>100</v>
      </c>
      <c r="BV59">
        <f>SUM(BV58,-2)</f>
        <v>798</v>
      </c>
      <c r="BW59" s="9">
        <f t="shared" si="167"/>
        <v>84.177215189873408</v>
      </c>
      <c r="BX59">
        <f>SUM(BX58,-3)</f>
        <v>797</v>
      </c>
      <c r="BY59" s="9">
        <f t="shared" si="168"/>
        <v>84.160506863780356</v>
      </c>
      <c r="BZ59">
        <v>800</v>
      </c>
      <c r="CA59" s="9">
        <f t="shared" ref="CA59:CA79" si="177">PRODUCT(BU59,BZ59,1/(BZ59+150))</f>
        <v>84.210526315789465</v>
      </c>
      <c r="CB59">
        <v>0</v>
      </c>
      <c r="CC59" s="9">
        <v>0</v>
      </c>
      <c r="CD59">
        <v>0</v>
      </c>
      <c r="CE59" s="9">
        <v>0</v>
      </c>
      <c r="CF59">
        <v>0</v>
      </c>
      <c r="CG59" s="9">
        <v>0</v>
      </c>
      <c r="CI59" s="4">
        <v>100</v>
      </c>
      <c r="CJ59">
        <f>SUM(CJ58,-2)</f>
        <v>748</v>
      </c>
      <c r="CK59" s="9">
        <f t="shared" si="169"/>
        <v>83.29621380846325</v>
      </c>
      <c r="CL59">
        <v>750</v>
      </c>
      <c r="CM59" s="9">
        <f t="shared" si="170"/>
        <v>83.333333333333329</v>
      </c>
      <c r="CN59">
        <v>0</v>
      </c>
      <c r="CO59" s="9">
        <f t="shared" ref="CO59:CO94" si="178">PRODUCT(CI59,CN59,1/(CN59+150))</f>
        <v>0</v>
      </c>
      <c r="CP59">
        <v>0</v>
      </c>
      <c r="CQ59" s="9">
        <v>0</v>
      </c>
      <c r="CR59">
        <v>0</v>
      </c>
      <c r="CS59" s="9">
        <v>0</v>
      </c>
      <c r="CT59">
        <v>0</v>
      </c>
      <c r="CU59" s="9">
        <v>0</v>
      </c>
      <c r="CV59">
        <v>0</v>
      </c>
      <c r="CW59" s="9">
        <v>0</v>
      </c>
    </row>
    <row r="60" spans="1:101" x14ac:dyDescent="0.25">
      <c r="A60" s="4">
        <v>200</v>
      </c>
      <c r="B60">
        <f t="shared" ref="B60:B66" si="179">SUM(B59,-2)</f>
        <v>646</v>
      </c>
      <c r="C60" s="9">
        <f t="shared" si="155"/>
        <v>162.31155778894473</v>
      </c>
      <c r="D60">
        <f t="shared" ref="D60:D65" si="180">SUM(D59,-3)</f>
        <v>644</v>
      </c>
      <c r="E60" s="9">
        <f t="shared" si="156"/>
        <v>162.21662468513853</v>
      </c>
      <c r="F60">
        <f t="shared" ref="F60:F64" si="181">SUM(F59,-4)</f>
        <v>646</v>
      </c>
      <c r="G60" s="9">
        <f t="shared" si="171"/>
        <v>162.31155778894473</v>
      </c>
      <c r="H60">
        <v>0</v>
      </c>
      <c r="I60" s="9">
        <v>0</v>
      </c>
      <c r="J60">
        <v>0</v>
      </c>
      <c r="K60" s="9">
        <v>0</v>
      </c>
      <c r="M60" s="4">
        <v>200</v>
      </c>
      <c r="N60">
        <f t="shared" ref="N60:N70" si="182">SUM(N59,-2)</f>
        <v>696</v>
      </c>
      <c r="O60" s="9">
        <f t="shared" si="157"/>
        <v>164.53900709219857</v>
      </c>
      <c r="P60">
        <f t="shared" ref="P60:P70" si="183">SUM(P59,-3)</f>
        <v>694</v>
      </c>
      <c r="Q60" s="9">
        <f t="shared" si="158"/>
        <v>164.45497630331755</v>
      </c>
      <c r="R60">
        <f t="shared" ref="R60:R69" si="184">SUM(R59,-4)</f>
        <v>696</v>
      </c>
      <c r="S60" s="9">
        <f t="shared" si="172"/>
        <v>164.53900709219857</v>
      </c>
      <c r="T60">
        <v>700</v>
      </c>
      <c r="U60" s="9">
        <f>PRODUCT(M60,T60,1/(T60+150))</f>
        <v>164.70588235294116</v>
      </c>
      <c r="V60">
        <v>0</v>
      </c>
      <c r="W60" s="9">
        <v>0</v>
      </c>
      <c r="Y60" s="4">
        <v>200</v>
      </c>
      <c r="Z60">
        <f t="shared" ref="Z60:Z70" si="185">SUM(Z59,-2)</f>
        <v>746</v>
      </c>
      <c r="AA60" s="9">
        <f t="shared" si="159"/>
        <v>166.51785714285714</v>
      </c>
      <c r="AB60">
        <f t="shared" ref="AB60:AB70" si="186">SUM(AB59,-3)</f>
        <v>744</v>
      </c>
      <c r="AC60" s="9">
        <f t="shared" si="160"/>
        <v>166.44295302013421</v>
      </c>
      <c r="AD60">
        <f t="shared" ref="AD60:AD69" si="187">SUM(AD59,-4)</f>
        <v>746</v>
      </c>
      <c r="AE60" s="9">
        <f t="shared" si="173"/>
        <v>166.51785714285714</v>
      </c>
      <c r="AF60">
        <v>750</v>
      </c>
      <c r="AG60" s="9">
        <f>PRODUCT(Y60,AF60,1/(AF60+150))</f>
        <v>166.66666666666666</v>
      </c>
      <c r="AH60">
        <v>0</v>
      </c>
      <c r="AI60" s="9">
        <v>0</v>
      </c>
      <c r="AK60" s="4">
        <v>200</v>
      </c>
      <c r="AL60">
        <f t="shared" ref="AL60:AL71" si="188">SUM(AL59,-2)</f>
        <v>796</v>
      </c>
      <c r="AM60" s="9">
        <f t="shared" si="161"/>
        <v>168.28752642706132</v>
      </c>
      <c r="AN60">
        <f t="shared" ref="AN60:AN71" si="189">SUM(AN59,-3)</f>
        <v>794</v>
      </c>
      <c r="AO60" s="9">
        <f t="shared" si="162"/>
        <v>168.22033898305085</v>
      </c>
      <c r="AP60">
        <f t="shared" ref="AP60:AP70" si="190">SUM(AP59,-4)</f>
        <v>796</v>
      </c>
      <c r="AQ60" s="9">
        <f t="shared" si="174"/>
        <v>168.28752642706132</v>
      </c>
      <c r="AR60">
        <v>800</v>
      </c>
      <c r="AS60" s="9">
        <f>PRODUCT(AK60,AR60,1/(AR60+150))</f>
        <v>168.42105263157893</v>
      </c>
      <c r="AT60">
        <v>0</v>
      </c>
      <c r="AU60" s="9">
        <v>0</v>
      </c>
      <c r="AW60" s="4">
        <v>200</v>
      </c>
      <c r="AX60">
        <f t="shared" ref="AX60:AX74" si="191">SUM(AX59,-2)</f>
        <v>696</v>
      </c>
      <c r="AY60" s="9">
        <f t="shared" si="163"/>
        <v>164.53900709219857</v>
      </c>
      <c r="AZ60">
        <f t="shared" ref="AZ60:AZ73" si="192">SUM(AZ59,-3)</f>
        <v>694</v>
      </c>
      <c r="BA60" s="9">
        <f t="shared" si="164"/>
        <v>164.45497630331755</v>
      </c>
      <c r="BB60">
        <f t="shared" ref="BB60:BB73" si="193">SUM(BB59,-4)</f>
        <v>696</v>
      </c>
      <c r="BC60" s="9">
        <f t="shared" si="175"/>
        <v>164.53900709219857</v>
      </c>
      <c r="BD60">
        <v>700</v>
      </c>
      <c r="BE60" s="9">
        <f>PRODUCT(AW60,BD60,1/(BD60+150))</f>
        <v>164.70588235294116</v>
      </c>
      <c r="BF60">
        <v>0</v>
      </c>
      <c r="BG60" s="9">
        <v>0</v>
      </c>
      <c r="BI60" s="4">
        <v>200</v>
      </c>
      <c r="BJ60">
        <f t="shared" ref="BJ60:BJ70" si="194">SUM(BJ59,-2)</f>
        <v>746</v>
      </c>
      <c r="BK60" s="9">
        <f t="shared" si="165"/>
        <v>166.51785714285714</v>
      </c>
      <c r="BL60">
        <f t="shared" ref="BL60:BL70" si="195">SUM(BL59,-3)</f>
        <v>744</v>
      </c>
      <c r="BM60" s="9">
        <f t="shared" si="166"/>
        <v>166.44295302013421</v>
      </c>
      <c r="BN60">
        <f t="shared" ref="BN60:BN69" si="196">SUM(BN59,-4)</f>
        <v>746</v>
      </c>
      <c r="BO60" s="9">
        <f t="shared" si="176"/>
        <v>166.51785714285714</v>
      </c>
      <c r="BP60">
        <v>750</v>
      </c>
      <c r="BQ60" s="9">
        <f>PRODUCT(BI60,BP60,1/(BP60+150))</f>
        <v>166.66666666666666</v>
      </c>
      <c r="BR60">
        <v>0</v>
      </c>
      <c r="BS60" s="9">
        <v>0</v>
      </c>
      <c r="BU60" s="4">
        <v>200</v>
      </c>
      <c r="BV60">
        <f t="shared" ref="BV60:BV79" si="197">SUM(BV59,-2)</f>
        <v>796</v>
      </c>
      <c r="BW60" s="9">
        <f t="shared" si="167"/>
        <v>168.28752642706132</v>
      </c>
      <c r="BX60">
        <f t="shared" ref="BX60:BX78" si="198">SUM(BX59,-3)</f>
        <v>794</v>
      </c>
      <c r="BY60" s="9">
        <f t="shared" si="168"/>
        <v>168.22033898305085</v>
      </c>
      <c r="BZ60">
        <f t="shared" ref="BZ60:BZ78" si="199">SUM(BZ59,-4)</f>
        <v>796</v>
      </c>
      <c r="CA60" s="9">
        <f t="shared" si="177"/>
        <v>168.28752642706132</v>
      </c>
      <c r="CB60">
        <v>800</v>
      </c>
      <c r="CC60" s="9">
        <f>PRODUCT(BU60,CB60,1/(CB60+150))</f>
        <v>168.42105263157893</v>
      </c>
      <c r="CD60">
        <v>0</v>
      </c>
      <c r="CE60" s="9">
        <v>0</v>
      </c>
      <c r="CF60">
        <v>0</v>
      </c>
      <c r="CG60" s="9">
        <v>0</v>
      </c>
      <c r="CI60" s="4">
        <v>200</v>
      </c>
      <c r="CJ60">
        <f t="shared" ref="CJ60:CJ94" si="200">SUM(CJ59,-2)</f>
        <v>746</v>
      </c>
      <c r="CK60" s="9">
        <f t="shared" si="169"/>
        <v>166.51785714285714</v>
      </c>
      <c r="CL60">
        <f t="shared" ref="CL60:CL94" si="201">SUM(CL59,-3)</f>
        <v>747</v>
      </c>
      <c r="CM60" s="9">
        <f t="shared" si="170"/>
        <v>166.55518394648828</v>
      </c>
      <c r="CN60">
        <v>750</v>
      </c>
      <c r="CO60" s="9">
        <f t="shared" si="178"/>
        <v>166.66666666666666</v>
      </c>
      <c r="CP60">
        <v>0</v>
      </c>
      <c r="CQ60" s="9">
        <f>PRODUCT(CI60,CP60,1/(CP60+150))</f>
        <v>0</v>
      </c>
      <c r="CR60">
        <v>0</v>
      </c>
      <c r="CS60" s="9">
        <v>0</v>
      </c>
      <c r="CT60">
        <v>0</v>
      </c>
      <c r="CU60" s="9">
        <v>0</v>
      </c>
      <c r="CV60">
        <v>0</v>
      </c>
      <c r="CW60" s="9">
        <v>0</v>
      </c>
    </row>
    <row r="61" spans="1:101" x14ac:dyDescent="0.25">
      <c r="A61" s="4">
        <v>500</v>
      </c>
      <c r="B61">
        <f t="shared" si="179"/>
        <v>644</v>
      </c>
      <c r="C61" s="9">
        <f t="shared" si="155"/>
        <v>405.54156171284632</v>
      </c>
      <c r="D61">
        <f t="shared" si="180"/>
        <v>641</v>
      </c>
      <c r="E61" s="9">
        <f t="shared" si="156"/>
        <v>405.18331226295834</v>
      </c>
      <c r="F61">
        <f t="shared" si="181"/>
        <v>642</v>
      </c>
      <c r="G61" s="9">
        <f t="shared" si="171"/>
        <v>405.30303030303031</v>
      </c>
      <c r="H61">
        <v>0</v>
      </c>
      <c r="I61" s="9">
        <v>0</v>
      </c>
      <c r="J61">
        <v>0</v>
      </c>
      <c r="K61" s="9">
        <v>0</v>
      </c>
      <c r="M61" s="4">
        <v>500</v>
      </c>
      <c r="N61">
        <f t="shared" si="182"/>
        <v>694</v>
      </c>
      <c r="O61" s="9">
        <f t="shared" si="157"/>
        <v>411.13744075829385</v>
      </c>
      <c r="P61">
        <f t="shared" si="183"/>
        <v>691</v>
      </c>
      <c r="Q61" s="9">
        <f t="shared" si="158"/>
        <v>410.82045184304394</v>
      </c>
      <c r="R61">
        <f t="shared" si="184"/>
        <v>692</v>
      </c>
      <c r="S61" s="9">
        <f t="shared" si="172"/>
        <v>410.92636579572451</v>
      </c>
      <c r="T61">
        <f>SUM(T60,-5)</f>
        <v>695</v>
      </c>
      <c r="U61" s="9">
        <f t="shared" ref="U61:U69" si="202">PRODUCT(M61,T61,1/(T61+150))</f>
        <v>411.24260355029588</v>
      </c>
      <c r="V61">
        <v>0</v>
      </c>
      <c r="W61" s="9">
        <v>0</v>
      </c>
      <c r="Y61" s="4">
        <v>500</v>
      </c>
      <c r="Z61">
        <f t="shared" si="185"/>
        <v>744</v>
      </c>
      <c r="AA61" s="9">
        <f t="shared" si="159"/>
        <v>416.10738255033556</v>
      </c>
      <c r="AB61">
        <f t="shared" si="186"/>
        <v>741</v>
      </c>
      <c r="AC61" s="9">
        <f t="shared" si="160"/>
        <v>415.82491582491588</v>
      </c>
      <c r="AD61">
        <f t="shared" si="187"/>
        <v>742</v>
      </c>
      <c r="AE61" s="9">
        <f t="shared" si="173"/>
        <v>415.91928251121078</v>
      </c>
      <c r="AF61">
        <f>SUM(AF60,-5)</f>
        <v>745</v>
      </c>
      <c r="AG61" s="9">
        <f t="shared" ref="AG61:AG69" si="203">PRODUCT(Y61,AF61,1/(AF61+150))</f>
        <v>416.20111731843571</v>
      </c>
      <c r="AH61">
        <v>0</v>
      </c>
      <c r="AI61" s="9">
        <v>0</v>
      </c>
      <c r="AK61" s="4">
        <v>500</v>
      </c>
      <c r="AL61">
        <f t="shared" si="188"/>
        <v>794</v>
      </c>
      <c r="AM61" s="9">
        <f t="shared" si="161"/>
        <v>420.55084745762713</v>
      </c>
      <c r="AN61">
        <f t="shared" si="189"/>
        <v>791</v>
      </c>
      <c r="AO61" s="9">
        <f t="shared" si="162"/>
        <v>420.29755579171092</v>
      </c>
      <c r="AP61">
        <f t="shared" si="190"/>
        <v>792</v>
      </c>
      <c r="AQ61" s="9">
        <f t="shared" si="174"/>
        <v>420.38216560509551</v>
      </c>
      <c r="AR61">
        <f>SUM(AR60,-5)</f>
        <v>795</v>
      </c>
      <c r="AS61" s="9">
        <f t="shared" ref="AS61:AS70" si="204">PRODUCT(AK61,AR61,1/(AR61+150))</f>
        <v>420.63492063492066</v>
      </c>
      <c r="AT61">
        <v>0</v>
      </c>
      <c r="AU61" s="9">
        <v>0</v>
      </c>
      <c r="AW61" s="4">
        <v>500</v>
      </c>
      <c r="AX61">
        <f t="shared" si="191"/>
        <v>694</v>
      </c>
      <c r="AY61" s="9">
        <f t="shared" si="163"/>
        <v>411.13744075829385</v>
      </c>
      <c r="AZ61">
        <f t="shared" si="192"/>
        <v>691</v>
      </c>
      <c r="BA61" s="9">
        <f t="shared" si="164"/>
        <v>410.82045184304394</v>
      </c>
      <c r="BB61">
        <f t="shared" si="193"/>
        <v>692</v>
      </c>
      <c r="BC61" s="9">
        <f t="shared" si="175"/>
        <v>410.92636579572451</v>
      </c>
      <c r="BD61">
        <f>SUM(BD60,-5)</f>
        <v>695</v>
      </c>
      <c r="BE61" s="9">
        <f t="shared" ref="BE61:BE73" si="205">PRODUCT(AW61,BD61,1/(BD61+150))</f>
        <v>411.24260355029588</v>
      </c>
      <c r="BF61">
        <v>700</v>
      </c>
      <c r="BG61" s="9">
        <f>PRODUCT(AW61,BF61,1/(BF61+150))</f>
        <v>411.76470588235293</v>
      </c>
      <c r="BI61" s="4">
        <v>500</v>
      </c>
      <c r="BJ61">
        <f t="shared" si="194"/>
        <v>744</v>
      </c>
      <c r="BK61" s="9">
        <f t="shared" si="165"/>
        <v>416.10738255033556</v>
      </c>
      <c r="BL61">
        <f t="shared" si="195"/>
        <v>741</v>
      </c>
      <c r="BM61" s="9">
        <f t="shared" si="166"/>
        <v>415.82491582491588</v>
      </c>
      <c r="BN61">
        <f t="shared" si="196"/>
        <v>742</v>
      </c>
      <c r="BO61" s="9">
        <f t="shared" si="176"/>
        <v>415.91928251121078</v>
      </c>
      <c r="BP61">
        <f>SUM(BP60,-5)</f>
        <v>745</v>
      </c>
      <c r="BQ61" s="9">
        <f t="shared" ref="BQ61:BQ69" si="206">PRODUCT(BI61,BP61,1/(BP61+150))</f>
        <v>416.20111731843571</v>
      </c>
      <c r="BR61">
        <v>0</v>
      </c>
      <c r="BS61" s="9">
        <v>0</v>
      </c>
      <c r="BU61" s="4">
        <v>500</v>
      </c>
      <c r="BV61">
        <f t="shared" si="197"/>
        <v>794</v>
      </c>
      <c r="BW61" s="9">
        <f t="shared" si="167"/>
        <v>420.55084745762713</v>
      </c>
      <c r="BX61">
        <f t="shared" si="198"/>
        <v>791</v>
      </c>
      <c r="BY61" s="9">
        <f t="shared" si="168"/>
        <v>420.29755579171092</v>
      </c>
      <c r="BZ61">
        <f t="shared" si="199"/>
        <v>792</v>
      </c>
      <c r="CA61" s="9">
        <f t="shared" si="177"/>
        <v>420.38216560509551</v>
      </c>
      <c r="CB61">
        <f>SUM(CB60,-5)</f>
        <v>795</v>
      </c>
      <c r="CC61" s="9">
        <f t="shared" ref="CC61:CC78" si="207">PRODUCT(BU61,CB61,1/(CB61+150))</f>
        <v>420.63492063492066</v>
      </c>
      <c r="CD61">
        <v>800</v>
      </c>
      <c r="CE61" s="9">
        <f>PRODUCT(BU61,CD61,1/(CD61+150))</f>
        <v>421.05263157894734</v>
      </c>
      <c r="CF61">
        <v>800</v>
      </c>
      <c r="CG61" s="9">
        <f>PRODUCT(BU61,CF61,1/(CF61+150))</f>
        <v>421.05263157894734</v>
      </c>
      <c r="CI61" s="4">
        <v>500</v>
      </c>
      <c r="CJ61">
        <f t="shared" si="200"/>
        <v>744</v>
      </c>
      <c r="CK61" s="9">
        <f t="shared" si="169"/>
        <v>416.10738255033556</v>
      </c>
      <c r="CL61">
        <f t="shared" si="201"/>
        <v>744</v>
      </c>
      <c r="CM61" s="9">
        <f t="shared" si="170"/>
        <v>416.10738255033556</v>
      </c>
      <c r="CN61">
        <f t="shared" ref="CN61:CN94" si="208">SUM(CN60,-4)</f>
        <v>746</v>
      </c>
      <c r="CO61" s="9">
        <f t="shared" si="178"/>
        <v>416.29464285714283</v>
      </c>
      <c r="CP61">
        <v>750</v>
      </c>
      <c r="CQ61" s="9">
        <f t="shared" ref="CQ61:CQ94" si="209">PRODUCT(CI61,CP61,1/(CP61+150))</f>
        <v>416.66666666666669</v>
      </c>
      <c r="CR61">
        <v>750</v>
      </c>
      <c r="CS61" s="9">
        <f>PRODUCT(CI61,CR61,1/(CR61+150))</f>
        <v>416.66666666666669</v>
      </c>
      <c r="CT61">
        <v>0</v>
      </c>
      <c r="CU61" s="9">
        <f>PRODUCT(CI61,CT61,1/(CT61+150))</f>
        <v>0</v>
      </c>
      <c r="CV61">
        <v>0</v>
      </c>
      <c r="CW61" s="9">
        <v>0</v>
      </c>
    </row>
    <row r="62" spans="1:101" x14ac:dyDescent="0.25">
      <c r="A62" s="4">
        <v>800</v>
      </c>
      <c r="B62">
        <f t="shared" si="179"/>
        <v>642</v>
      </c>
      <c r="C62" s="9">
        <f t="shared" si="155"/>
        <v>648.4848484848485</v>
      </c>
      <c r="D62">
        <f t="shared" si="180"/>
        <v>638</v>
      </c>
      <c r="E62" s="9">
        <f t="shared" si="156"/>
        <v>647.71573604060904</v>
      </c>
      <c r="F62">
        <f t="shared" si="181"/>
        <v>638</v>
      </c>
      <c r="G62" s="9">
        <f t="shared" si="171"/>
        <v>647.71573604060904</v>
      </c>
      <c r="H62">
        <v>0</v>
      </c>
      <c r="I62" s="9">
        <v>0</v>
      </c>
      <c r="J62">
        <v>0</v>
      </c>
      <c r="K62" s="9">
        <v>0</v>
      </c>
      <c r="M62" s="4">
        <v>800</v>
      </c>
      <c r="N62">
        <f t="shared" si="182"/>
        <v>692</v>
      </c>
      <c r="O62" s="9">
        <f t="shared" si="157"/>
        <v>657.48218527315919</v>
      </c>
      <c r="P62">
        <f t="shared" si="183"/>
        <v>688</v>
      </c>
      <c r="Q62" s="9">
        <f t="shared" si="158"/>
        <v>656.80190930787592</v>
      </c>
      <c r="R62">
        <f t="shared" si="184"/>
        <v>688</v>
      </c>
      <c r="S62" s="9">
        <f t="shared" si="172"/>
        <v>656.80190930787592</v>
      </c>
      <c r="T62">
        <f t="shared" ref="T62:T66" si="210">SUM(T61,-5)</f>
        <v>690</v>
      </c>
      <c r="U62" s="9">
        <f t="shared" si="202"/>
        <v>657.14285714285722</v>
      </c>
      <c r="V62">
        <v>0</v>
      </c>
      <c r="W62" s="9">
        <v>0</v>
      </c>
      <c r="Y62" s="4">
        <v>800</v>
      </c>
      <c r="Z62">
        <f t="shared" si="185"/>
        <v>742</v>
      </c>
      <c r="AA62" s="9">
        <f t="shared" si="159"/>
        <v>665.4708520179372</v>
      </c>
      <c r="AB62">
        <f t="shared" si="186"/>
        <v>738</v>
      </c>
      <c r="AC62" s="9">
        <f t="shared" si="160"/>
        <v>664.8648648648649</v>
      </c>
      <c r="AD62">
        <f t="shared" si="187"/>
        <v>738</v>
      </c>
      <c r="AE62" s="9">
        <f t="shared" si="173"/>
        <v>664.8648648648649</v>
      </c>
      <c r="AF62">
        <f t="shared" ref="AF62:AF66" si="211">SUM(AF61,-5)</f>
        <v>740</v>
      </c>
      <c r="AG62" s="9">
        <f t="shared" si="203"/>
        <v>665.16853932584274</v>
      </c>
      <c r="AH62">
        <v>0</v>
      </c>
      <c r="AI62" s="9">
        <v>0</v>
      </c>
      <c r="AK62" s="4">
        <v>800</v>
      </c>
      <c r="AL62">
        <f t="shared" si="188"/>
        <v>792</v>
      </c>
      <c r="AM62" s="9">
        <f t="shared" si="161"/>
        <v>672.61146496815286</v>
      </c>
      <c r="AN62">
        <f t="shared" si="189"/>
        <v>788</v>
      </c>
      <c r="AO62" s="9">
        <f t="shared" si="162"/>
        <v>672.06823027718553</v>
      </c>
      <c r="AP62">
        <f t="shared" si="190"/>
        <v>788</v>
      </c>
      <c r="AQ62" s="9">
        <f t="shared" si="174"/>
        <v>672.06823027718553</v>
      </c>
      <c r="AR62">
        <f t="shared" ref="AR62:AR69" si="212">SUM(AR61,-5)</f>
        <v>790</v>
      </c>
      <c r="AS62" s="9">
        <f t="shared" si="204"/>
        <v>672.34042553191489</v>
      </c>
      <c r="AT62">
        <v>0</v>
      </c>
      <c r="AU62" s="9">
        <v>0</v>
      </c>
      <c r="AW62" s="4">
        <v>800</v>
      </c>
      <c r="AX62">
        <f t="shared" si="191"/>
        <v>692</v>
      </c>
      <c r="AY62" s="9">
        <f t="shared" si="163"/>
        <v>657.48218527315919</v>
      </c>
      <c r="AZ62">
        <f t="shared" si="192"/>
        <v>688</v>
      </c>
      <c r="BA62" s="9">
        <f t="shared" si="164"/>
        <v>656.80190930787592</v>
      </c>
      <c r="BB62">
        <f t="shared" si="193"/>
        <v>688</v>
      </c>
      <c r="BC62" s="9">
        <f t="shared" si="175"/>
        <v>656.80190930787592</v>
      </c>
      <c r="BD62">
        <f t="shared" ref="BD62:BD72" si="213">SUM(BD61,-5)</f>
        <v>690</v>
      </c>
      <c r="BE62" s="9">
        <f t="shared" si="205"/>
        <v>657.14285714285722</v>
      </c>
      <c r="BF62">
        <f>SUM(BF61,-6)</f>
        <v>694</v>
      </c>
      <c r="BG62" s="9">
        <f t="shared" ref="BG62:BG70" si="214">PRODUCT(AW62,BF62,1/(BF62+150))</f>
        <v>657.8199052132702</v>
      </c>
      <c r="BI62" s="4">
        <v>800</v>
      </c>
      <c r="BJ62">
        <f t="shared" si="194"/>
        <v>742</v>
      </c>
      <c r="BK62" s="9">
        <f t="shared" si="165"/>
        <v>665.4708520179372</v>
      </c>
      <c r="BL62">
        <f t="shared" si="195"/>
        <v>738</v>
      </c>
      <c r="BM62" s="9">
        <f t="shared" si="166"/>
        <v>664.8648648648649</v>
      </c>
      <c r="BN62">
        <f t="shared" si="196"/>
        <v>738</v>
      </c>
      <c r="BO62" s="9">
        <f t="shared" si="176"/>
        <v>664.8648648648649</v>
      </c>
      <c r="BP62">
        <f t="shared" ref="BP62:BP66" si="215">SUM(BP61,-5)</f>
        <v>740</v>
      </c>
      <c r="BQ62" s="9">
        <f t="shared" si="206"/>
        <v>665.16853932584274</v>
      </c>
      <c r="BR62">
        <v>0</v>
      </c>
      <c r="BS62" s="9">
        <v>0</v>
      </c>
      <c r="BU62" s="4">
        <v>800</v>
      </c>
      <c r="BV62">
        <f t="shared" si="197"/>
        <v>792</v>
      </c>
      <c r="BW62" s="9">
        <f t="shared" si="167"/>
        <v>672.61146496815286</v>
      </c>
      <c r="BX62">
        <f t="shared" si="198"/>
        <v>788</v>
      </c>
      <c r="BY62" s="9">
        <f t="shared" si="168"/>
        <v>672.06823027718553</v>
      </c>
      <c r="BZ62">
        <f t="shared" si="199"/>
        <v>788</v>
      </c>
      <c r="CA62" s="9">
        <f t="shared" si="177"/>
        <v>672.06823027718553</v>
      </c>
      <c r="CB62">
        <f t="shared" ref="CB62:CB78" si="216">SUM(CB61,-5)</f>
        <v>790</v>
      </c>
      <c r="CC62" s="9">
        <f t="shared" si="207"/>
        <v>672.34042553191489</v>
      </c>
      <c r="CD62">
        <f>SUM(CD61,-6)</f>
        <v>794</v>
      </c>
      <c r="CE62" s="9">
        <f t="shared" ref="CE62:CE78" si="217">PRODUCT(BU62,CD62,1/(CD62+150))</f>
        <v>672.88135593220341</v>
      </c>
      <c r="CF62">
        <f>SUM(CF61,-7)</f>
        <v>793</v>
      </c>
      <c r="CG62" s="9">
        <f t="shared" ref="CG62:CG99" si="218">PRODUCT(BU62,CF62,1/(CF62+150))</f>
        <v>672.74655355249206</v>
      </c>
      <c r="CI62" s="4">
        <v>800</v>
      </c>
      <c r="CJ62">
        <f t="shared" si="200"/>
        <v>742</v>
      </c>
      <c r="CK62" s="9">
        <f t="shared" si="169"/>
        <v>665.4708520179372</v>
      </c>
      <c r="CL62">
        <f t="shared" si="201"/>
        <v>741</v>
      </c>
      <c r="CM62" s="9">
        <f t="shared" si="170"/>
        <v>665.31986531986536</v>
      </c>
      <c r="CN62">
        <f t="shared" si="208"/>
        <v>742</v>
      </c>
      <c r="CO62" s="9">
        <f t="shared" si="178"/>
        <v>665.4708520179372</v>
      </c>
      <c r="CP62">
        <f t="shared" ref="CP62:CP94" si="219">SUM(CP61,-5)</f>
        <v>745</v>
      </c>
      <c r="CQ62" s="9">
        <f t="shared" si="209"/>
        <v>665.92178770949715</v>
      </c>
      <c r="CR62">
        <f>SUM(CR61,-6)</f>
        <v>744</v>
      </c>
      <c r="CS62" s="9">
        <f t="shared" ref="CS62:CS93" si="220">PRODUCT(CI62,CR62,1/(CR62+150))</f>
        <v>665.77181208053685</v>
      </c>
      <c r="CT62">
        <v>0</v>
      </c>
      <c r="CU62" s="9">
        <f t="shared" ref="CU62:CU99" si="221">PRODUCT(CI62,CT62,1/(CT62+150))</f>
        <v>0</v>
      </c>
      <c r="CV62">
        <v>0</v>
      </c>
      <c r="CW62" s="9">
        <v>0</v>
      </c>
    </row>
    <row r="63" spans="1:101" x14ac:dyDescent="0.25">
      <c r="A63" s="4">
        <v>1000</v>
      </c>
      <c r="B63">
        <f t="shared" si="179"/>
        <v>640</v>
      </c>
      <c r="C63" s="9">
        <f t="shared" si="155"/>
        <v>810.12658227848101</v>
      </c>
      <c r="D63">
        <f t="shared" si="180"/>
        <v>635</v>
      </c>
      <c r="E63" s="9">
        <f t="shared" si="156"/>
        <v>808.91719745222929</v>
      </c>
      <c r="F63">
        <f t="shared" si="181"/>
        <v>634</v>
      </c>
      <c r="G63" s="9">
        <f t="shared" si="171"/>
        <v>808.67346938775506</v>
      </c>
      <c r="H63">
        <v>0</v>
      </c>
      <c r="I63" s="9">
        <v>0</v>
      </c>
      <c r="J63">
        <v>0</v>
      </c>
      <c r="K63" s="9">
        <v>0</v>
      </c>
      <c r="M63" s="4">
        <v>1000</v>
      </c>
      <c r="N63">
        <f t="shared" si="182"/>
        <v>690</v>
      </c>
      <c r="O63" s="9">
        <f t="shared" si="157"/>
        <v>821.42857142857156</v>
      </c>
      <c r="P63">
        <f t="shared" si="183"/>
        <v>685</v>
      </c>
      <c r="Q63" s="9">
        <f t="shared" si="158"/>
        <v>820.35928143712579</v>
      </c>
      <c r="R63">
        <f t="shared" si="184"/>
        <v>684</v>
      </c>
      <c r="S63" s="9">
        <f t="shared" si="172"/>
        <v>820.14388489208625</v>
      </c>
      <c r="T63">
        <f t="shared" si="210"/>
        <v>685</v>
      </c>
      <c r="U63" s="9">
        <f t="shared" si="202"/>
        <v>820.35928143712579</v>
      </c>
      <c r="V63">
        <v>0</v>
      </c>
      <c r="W63" s="9">
        <v>0</v>
      </c>
      <c r="Y63" s="4">
        <v>1000</v>
      </c>
      <c r="Z63">
        <f t="shared" si="185"/>
        <v>740</v>
      </c>
      <c r="AA63" s="9">
        <f t="shared" si="159"/>
        <v>831.4606741573034</v>
      </c>
      <c r="AB63">
        <f t="shared" si="186"/>
        <v>735</v>
      </c>
      <c r="AC63" s="9">
        <f t="shared" si="160"/>
        <v>830.50847457627117</v>
      </c>
      <c r="AD63">
        <f t="shared" si="187"/>
        <v>734</v>
      </c>
      <c r="AE63" s="9">
        <f t="shared" si="173"/>
        <v>830.31674208144807</v>
      </c>
      <c r="AF63">
        <f t="shared" si="211"/>
        <v>735</v>
      </c>
      <c r="AG63" s="9">
        <f t="shared" si="203"/>
        <v>830.50847457627117</v>
      </c>
      <c r="AH63">
        <v>0</v>
      </c>
      <c r="AI63" s="9">
        <v>0</v>
      </c>
      <c r="AK63" s="4">
        <v>1000</v>
      </c>
      <c r="AL63">
        <f t="shared" si="188"/>
        <v>790</v>
      </c>
      <c r="AM63" s="9">
        <f t="shared" si="161"/>
        <v>840.42553191489367</v>
      </c>
      <c r="AN63">
        <f t="shared" si="189"/>
        <v>785</v>
      </c>
      <c r="AO63" s="9">
        <f t="shared" si="162"/>
        <v>839.57219251336903</v>
      </c>
      <c r="AP63">
        <f t="shared" si="190"/>
        <v>784</v>
      </c>
      <c r="AQ63" s="9">
        <f t="shared" si="174"/>
        <v>839.40042826552462</v>
      </c>
      <c r="AR63">
        <f t="shared" si="212"/>
        <v>785</v>
      </c>
      <c r="AS63" s="9">
        <f t="shared" si="204"/>
        <v>839.57219251336903</v>
      </c>
      <c r="AT63">
        <v>0</v>
      </c>
      <c r="AU63" s="9">
        <v>0</v>
      </c>
      <c r="AW63" s="4">
        <v>1000</v>
      </c>
      <c r="AX63">
        <f t="shared" si="191"/>
        <v>690</v>
      </c>
      <c r="AY63" s="9">
        <f t="shared" si="163"/>
        <v>821.42857142857156</v>
      </c>
      <c r="AZ63">
        <f t="shared" si="192"/>
        <v>685</v>
      </c>
      <c r="BA63" s="9">
        <f t="shared" si="164"/>
        <v>820.35928143712579</v>
      </c>
      <c r="BB63">
        <f t="shared" si="193"/>
        <v>684</v>
      </c>
      <c r="BC63" s="9">
        <f t="shared" si="175"/>
        <v>820.14388489208625</v>
      </c>
      <c r="BD63">
        <f t="shared" si="213"/>
        <v>685</v>
      </c>
      <c r="BE63" s="9">
        <f t="shared" si="205"/>
        <v>820.35928143712579</v>
      </c>
      <c r="BF63">
        <f t="shared" ref="BF63:BF66" si="222">SUM(BF62,-6)</f>
        <v>688</v>
      </c>
      <c r="BG63" s="9">
        <f t="shared" si="214"/>
        <v>821.00238663484492</v>
      </c>
      <c r="BI63" s="4">
        <v>1000</v>
      </c>
      <c r="BJ63">
        <f t="shared" si="194"/>
        <v>740</v>
      </c>
      <c r="BK63" s="9">
        <f t="shared" si="165"/>
        <v>831.4606741573034</v>
      </c>
      <c r="BL63">
        <f t="shared" si="195"/>
        <v>735</v>
      </c>
      <c r="BM63" s="9">
        <f t="shared" si="166"/>
        <v>830.50847457627117</v>
      </c>
      <c r="BN63">
        <f t="shared" si="196"/>
        <v>734</v>
      </c>
      <c r="BO63" s="9">
        <f t="shared" si="176"/>
        <v>830.31674208144807</v>
      </c>
      <c r="BP63">
        <f t="shared" si="215"/>
        <v>735</v>
      </c>
      <c r="BQ63" s="9">
        <f t="shared" si="206"/>
        <v>830.50847457627117</v>
      </c>
      <c r="BR63">
        <v>0</v>
      </c>
      <c r="BS63" s="9">
        <v>0</v>
      </c>
      <c r="BU63" s="4">
        <v>1000</v>
      </c>
      <c r="BV63">
        <f t="shared" si="197"/>
        <v>790</v>
      </c>
      <c r="BW63" s="9">
        <f t="shared" si="167"/>
        <v>840.42553191489367</v>
      </c>
      <c r="BX63">
        <f t="shared" si="198"/>
        <v>785</v>
      </c>
      <c r="BY63" s="9">
        <f t="shared" si="168"/>
        <v>839.57219251336903</v>
      </c>
      <c r="BZ63">
        <f t="shared" si="199"/>
        <v>784</v>
      </c>
      <c r="CA63" s="9">
        <f t="shared" si="177"/>
        <v>839.40042826552462</v>
      </c>
      <c r="CB63">
        <f t="shared" si="216"/>
        <v>785</v>
      </c>
      <c r="CC63" s="9">
        <f t="shared" si="207"/>
        <v>839.57219251336903</v>
      </c>
      <c r="CD63">
        <f t="shared" ref="CD63:CD75" si="223">SUM(CD62,-6)</f>
        <v>788</v>
      </c>
      <c r="CE63" s="9">
        <f t="shared" si="217"/>
        <v>840.08528784648183</v>
      </c>
      <c r="CF63">
        <f t="shared" ref="CF63:CF69" si="224">SUM(CF62,-7)</f>
        <v>786</v>
      </c>
      <c r="CG63" s="9">
        <f t="shared" si="218"/>
        <v>839.74358974358984</v>
      </c>
      <c r="CI63" s="4">
        <v>1000</v>
      </c>
      <c r="CJ63">
        <f t="shared" si="200"/>
        <v>740</v>
      </c>
      <c r="CK63" s="9">
        <f t="shared" si="169"/>
        <v>831.4606741573034</v>
      </c>
      <c r="CL63">
        <f t="shared" si="201"/>
        <v>738</v>
      </c>
      <c r="CM63" s="9">
        <f t="shared" si="170"/>
        <v>831.08108108108104</v>
      </c>
      <c r="CN63">
        <f t="shared" si="208"/>
        <v>738</v>
      </c>
      <c r="CO63" s="9">
        <f t="shared" si="178"/>
        <v>831.08108108108104</v>
      </c>
      <c r="CP63">
        <f t="shared" si="219"/>
        <v>740</v>
      </c>
      <c r="CQ63" s="9">
        <f t="shared" si="209"/>
        <v>831.4606741573034</v>
      </c>
      <c r="CR63">
        <f t="shared" ref="CR63:CR92" si="225">SUM(CR62,-6)</f>
        <v>738</v>
      </c>
      <c r="CS63" s="9">
        <f t="shared" si="220"/>
        <v>831.08108108108104</v>
      </c>
      <c r="CT63">
        <v>750</v>
      </c>
      <c r="CU63" s="9">
        <f t="shared" si="221"/>
        <v>833.33333333333337</v>
      </c>
      <c r="CV63">
        <v>0</v>
      </c>
      <c r="CW63" s="9">
        <v>0</v>
      </c>
    </row>
    <row r="64" spans="1:101" x14ac:dyDescent="0.25">
      <c r="A64" s="4">
        <v>1200</v>
      </c>
      <c r="B64">
        <f t="shared" si="179"/>
        <v>638</v>
      </c>
      <c r="C64" s="9">
        <f t="shared" si="155"/>
        <v>971.57360406091368</v>
      </c>
      <c r="D64">
        <f t="shared" si="180"/>
        <v>632</v>
      </c>
      <c r="E64" s="9">
        <f t="shared" si="156"/>
        <v>969.82097186700776</v>
      </c>
      <c r="F64">
        <f t="shared" si="181"/>
        <v>630</v>
      </c>
      <c r="G64" s="9">
        <f t="shared" si="171"/>
        <v>969.23076923076928</v>
      </c>
      <c r="H64">
        <v>0</v>
      </c>
      <c r="I64" s="9">
        <v>0</v>
      </c>
      <c r="J64">
        <v>0</v>
      </c>
      <c r="K64" s="9">
        <v>0</v>
      </c>
      <c r="M64" s="4">
        <v>1200</v>
      </c>
      <c r="N64">
        <f t="shared" si="182"/>
        <v>688</v>
      </c>
      <c r="O64" s="9">
        <f t="shared" si="157"/>
        <v>985.20286396181393</v>
      </c>
      <c r="P64">
        <f t="shared" si="183"/>
        <v>682</v>
      </c>
      <c r="Q64" s="9">
        <f t="shared" si="158"/>
        <v>983.65384615384619</v>
      </c>
      <c r="R64">
        <f t="shared" si="184"/>
        <v>680</v>
      </c>
      <c r="S64" s="9">
        <f t="shared" si="172"/>
        <v>983.13253012048199</v>
      </c>
      <c r="T64">
        <f t="shared" si="210"/>
        <v>680</v>
      </c>
      <c r="U64" s="9">
        <f t="shared" si="202"/>
        <v>983.13253012048199</v>
      </c>
      <c r="V64">
        <v>0</v>
      </c>
      <c r="W64" s="9">
        <v>0</v>
      </c>
      <c r="Y64" s="4">
        <v>1200</v>
      </c>
      <c r="Z64">
        <f t="shared" si="185"/>
        <v>738</v>
      </c>
      <c r="AA64" s="9">
        <f t="shared" si="159"/>
        <v>997.29729729729729</v>
      </c>
      <c r="AB64">
        <f t="shared" si="186"/>
        <v>732</v>
      </c>
      <c r="AC64" s="9">
        <f t="shared" si="160"/>
        <v>995.91836734693879</v>
      </c>
      <c r="AD64">
        <f t="shared" si="187"/>
        <v>730</v>
      </c>
      <c r="AE64" s="9">
        <f t="shared" si="173"/>
        <v>995.45454545454538</v>
      </c>
      <c r="AF64">
        <f t="shared" si="211"/>
        <v>730</v>
      </c>
      <c r="AG64" s="9">
        <f t="shared" si="203"/>
        <v>995.45454545454538</v>
      </c>
      <c r="AH64">
        <v>0</v>
      </c>
      <c r="AI64" s="9">
        <v>0</v>
      </c>
      <c r="AK64" s="4">
        <v>1200</v>
      </c>
      <c r="AL64">
        <f t="shared" si="188"/>
        <v>788</v>
      </c>
      <c r="AM64" s="9">
        <f t="shared" si="161"/>
        <v>1008.1023454157782</v>
      </c>
      <c r="AN64">
        <f t="shared" si="189"/>
        <v>782</v>
      </c>
      <c r="AO64" s="9">
        <f t="shared" si="162"/>
        <v>1006.8669527896996</v>
      </c>
      <c r="AP64">
        <f t="shared" si="190"/>
        <v>780</v>
      </c>
      <c r="AQ64" s="9">
        <f t="shared" si="174"/>
        <v>1006.4516129032259</v>
      </c>
      <c r="AR64">
        <f t="shared" si="212"/>
        <v>780</v>
      </c>
      <c r="AS64" s="9">
        <f t="shared" si="204"/>
        <v>1006.4516129032259</v>
      </c>
      <c r="AT64">
        <v>0</v>
      </c>
      <c r="AU64" s="9">
        <v>0</v>
      </c>
      <c r="AW64" s="4">
        <v>1200</v>
      </c>
      <c r="AX64">
        <f t="shared" si="191"/>
        <v>688</v>
      </c>
      <c r="AY64" s="9">
        <f t="shared" si="163"/>
        <v>985.20286396181393</v>
      </c>
      <c r="AZ64">
        <f t="shared" si="192"/>
        <v>682</v>
      </c>
      <c r="BA64" s="9">
        <f t="shared" si="164"/>
        <v>983.65384615384619</v>
      </c>
      <c r="BB64">
        <f t="shared" si="193"/>
        <v>680</v>
      </c>
      <c r="BC64" s="9">
        <f t="shared" si="175"/>
        <v>983.13253012048199</v>
      </c>
      <c r="BD64">
        <f t="shared" si="213"/>
        <v>680</v>
      </c>
      <c r="BE64" s="9">
        <f t="shared" si="205"/>
        <v>983.13253012048199</v>
      </c>
      <c r="BF64">
        <f t="shared" si="222"/>
        <v>682</v>
      </c>
      <c r="BG64" s="9">
        <f t="shared" si="214"/>
        <v>983.65384615384619</v>
      </c>
      <c r="BI64" s="4">
        <v>1200</v>
      </c>
      <c r="BJ64">
        <f t="shared" si="194"/>
        <v>738</v>
      </c>
      <c r="BK64" s="9">
        <f t="shared" si="165"/>
        <v>997.29729729729729</v>
      </c>
      <c r="BL64">
        <f t="shared" si="195"/>
        <v>732</v>
      </c>
      <c r="BM64" s="9">
        <f t="shared" si="166"/>
        <v>995.91836734693879</v>
      </c>
      <c r="BN64">
        <f t="shared" si="196"/>
        <v>730</v>
      </c>
      <c r="BO64" s="9">
        <f t="shared" si="176"/>
        <v>995.45454545454538</v>
      </c>
      <c r="BP64">
        <f t="shared" si="215"/>
        <v>730</v>
      </c>
      <c r="BQ64" s="9">
        <f t="shared" si="206"/>
        <v>995.45454545454538</v>
      </c>
      <c r="BR64">
        <v>0</v>
      </c>
      <c r="BS64" s="9">
        <v>0</v>
      </c>
      <c r="BU64" s="4">
        <v>1200</v>
      </c>
      <c r="BV64">
        <f t="shared" si="197"/>
        <v>788</v>
      </c>
      <c r="BW64" s="9">
        <f t="shared" si="167"/>
        <v>1008.1023454157782</v>
      </c>
      <c r="BX64">
        <f t="shared" si="198"/>
        <v>782</v>
      </c>
      <c r="BY64" s="9">
        <f t="shared" si="168"/>
        <v>1006.8669527896996</v>
      </c>
      <c r="BZ64">
        <f t="shared" si="199"/>
        <v>780</v>
      </c>
      <c r="CA64" s="9">
        <f t="shared" si="177"/>
        <v>1006.4516129032259</v>
      </c>
      <c r="CB64">
        <f t="shared" si="216"/>
        <v>780</v>
      </c>
      <c r="CC64" s="9">
        <f t="shared" si="207"/>
        <v>1006.4516129032259</v>
      </c>
      <c r="CD64">
        <f t="shared" si="223"/>
        <v>782</v>
      </c>
      <c r="CE64" s="9">
        <f t="shared" si="217"/>
        <v>1006.8669527896996</v>
      </c>
      <c r="CF64">
        <f t="shared" si="224"/>
        <v>779</v>
      </c>
      <c r="CG64" s="9">
        <f t="shared" si="218"/>
        <v>1006.2432723358449</v>
      </c>
      <c r="CI64" s="4">
        <v>1200</v>
      </c>
      <c r="CJ64">
        <f t="shared" si="200"/>
        <v>738</v>
      </c>
      <c r="CK64" s="9">
        <f t="shared" si="169"/>
        <v>997.29729729729729</v>
      </c>
      <c r="CL64">
        <f t="shared" si="201"/>
        <v>735</v>
      </c>
      <c r="CM64" s="9">
        <f t="shared" si="170"/>
        <v>996.61016949152543</v>
      </c>
      <c r="CN64">
        <f t="shared" si="208"/>
        <v>734</v>
      </c>
      <c r="CO64" s="9">
        <f t="shared" si="178"/>
        <v>996.38009049773768</v>
      </c>
      <c r="CP64">
        <f t="shared" si="219"/>
        <v>735</v>
      </c>
      <c r="CQ64" s="9">
        <f t="shared" si="209"/>
        <v>996.61016949152543</v>
      </c>
      <c r="CR64">
        <f t="shared" si="225"/>
        <v>732</v>
      </c>
      <c r="CS64" s="9">
        <f t="shared" si="220"/>
        <v>995.91836734693879</v>
      </c>
      <c r="CT64">
        <f t="shared" ref="CT64:CT90" si="226">SUM(CT63,-7)</f>
        <v>743</v>
      </c>
      <c r="CU64" s="9">
        <f t="shared" si="221"/>
        <v>998.43225083986567</v>
      </c>
      <c r="CV64">
        <v>0</v>
      </c>
      <c r="CW64" s="9">
        <v>0</v>
      </c>
    </row>
    <row r="65" spans="1:101" x14ac:dyDescent="0.25">
      <c r="A65" s="4">
        <v>1500</v>
      </c>
      <c r="B65">
        <f t="shared" si="179"/>
        <v>636</v>
      </c>
      <c r="C65" s="9">
        <f t="shared" si="155"/>
        <v>1213.7404580152672</v>
      </c>
      <c r="D65">
        <f t="shared" si="180"/>
        <v>629</v>
      </c>
      <c r="E65" s="9">
        <f t="shared" si="156"/>
        <v>1211.168164313222</v>
      </c>
      <c r="F65">
        <v>0</v>
      </c>
      <c r="G65" s="9">
        <f t="shared" si="171"/>
        <v>0</v>
      </c>
      <c r="H65">
        <v>0</v>
      </c>
      <c r="I65" s="9">
        <v>0</v>
      </c>
      <c r="J65">
        <v>0</v>
      </c>
      <c r="K65" s="9">
        <v>0</v>
      </c>
      <c r="M65" s="4">
        <v>1500</v>
      </c>
      <c r="N65">
        <f t="shared" si="182"/>
        <v>686</v>
      </c>
      <c r="O65" s="9">
        <f t="shared" si="157"/>
        <v>1230.8612440191387</v>
      </c>
      <c r="P65">
        <f t="shared" si="183"/>
        <v>679</v>
      </c>
      <c r="Q65" s="9">
        <f t="shared" si="158"/>
        <v>1228.5886610373943</v>
      </c>
      <c r="R65">
        <f t="shared" si="184"/>
        <v>676</v>
      </c>
      <c r="S65" s="9">
        <f t="shared" si="172"/>
        <v>1227.6029055690074</v>
      </c>
      <c r="T65">
        <f t="shared" si="210"/>
        <v>675</v>
      </c>
      <c r="U65" s="9">
        <f t="shared" si="202"/>
        <v>1227.2727272727273</v>
      </c>
      <c r="V65">
        <v>0</v>
      </c>
      <c r="W65" s="9">
        <v>0</v>
      </c>
      <c r="Y65" s="4">
        <v>1500</v>
      </c>
      <c r="Z65">
        <f t="shared" si="185"/>
        <v>736</v>
      </c>
      <c r="AA65" s="9">
        <f t="shared" si="159"/>
        <v>1246.0496613995485</v>
      </c>
      <c r="AB65">
        <f t="shared" si="186"/>
        <v>729</v>
      </c>
      <c r="AC65" s="9">
        <f t="shared" si="160"/>
        <v>1244.0273037542661</v>
      </c>
      <c r="AD65">
        <f t="shared" si="187"/>
        <v>726</v>
      </c>
      <c r="AE65" s="9">
        <f t="shared" si="173"/>
        <v>1243.1506849315067</v>
      </c>
      <c r="AF65">
        <f t="shared" si="211"/>
        <v>725</v>
      </c>
      <c r="AG65" s="9">
        <f t="shared" si="203"/>
        <v>1242.8571428571429</v>
      </c>
      <c r="AH65">
        <v>0</v>
      </c>
      <c r="AI65" s="9">
        <v>0</v>
      </c>
      <c r="AK65" s="4">
        <v>1500</v>
      </c>
      <c r="AL65">
        <f t="shared" si="188"/>
        <v>786</v>
      </c>
      <c r="AM65" s="9">
        <f t="shared" si="161"/>
        <v>1259.6153846153848</v>
      </c>
      <c r="AN65">
        <f t="shared" si="189"/>
        <v>779</v>
      </c>
      <c r="AO65" s="9">
        <f t="shared" si="162"/>
        <v>1257.8040904198062</v>
      </c>
      <c r="AP65">
        <f t="shared" si="190"/>
        <v>776</v>
      </c>
      <c r="AQ65" s="9">
        <f t="shared" si="174"/>
        <v>1257.0194384449244</v>
      </c>
      <c r="AR65">
        <f t="shared" si="212"/>
        <v>775</v>
      </c>
      <c r="AS65" s="9">
        <f t="shared" si="204"/>
        <v>1256.7567567567569</v>
      </c>
      <c r="AT65">
        <v>0</v>
      </c>
      <c r="AU65" s="9">
        <v>0</v>
      </c>
      <c r="AW65" s="4">
        <v>1500</v>
      </c>
      <c r="AX65">
        <f t="shared" si="191"/>
        <v>686</v>
      </c>
      <c r="AY65" s="9">
        <f t="shared" si="163"/>
        <v>1230.8612440191387</v>
      </c>
      <c r="AZ65">
        <f t="shared" si="192"/>
        <v>679</v>
      </c>
      <c r="BA65" s="9">
        <f t="shared" si="164"/>
        <v>1228.5886610373943</v>
      </c>
      <c r="BB65">
        <f t="shared" si="193"/>
        <v>676</v>
      </c>
      <c r="BC65" s="9">
        <f t="shared" si="175"/>
        <v>1227.6029055690074</v>
      </c>
      <c r="BD65">
        <f t="shared" si="213"/>
        <v>675</v>
      </c>
      <c r="BE65" s="9">
        <f t="shared" si="205"/>
        <v>1227.2727272727273</v>
      </c>
      <c r="BF65">
        <f t="shared" si="222"/>
        <v>676</v>
      </c>
      <c r="BG65" s="9">
        <f t="shared" si="214"/>
        <v>1227.6029055690074</v>
      </c>
      <c r="BI65" s="4">
        <v>1500</v>
      </c>
      <c r="BJ65">
        <f t="shared" si="194"/>
        <v>736</v>
      </c>
      <c r="BK65" s="9">
        <f t="shared" si="165"/>
        <v>1246.0496613995485</v>
      </c>
      <c r="BL65">
        <f t="shared" si="195"/>
        <v>729</v>
      </c>
      <c r="BM65" s="9">
        <f t="shared" si="166"/>
        <v>1244.0273037542661</v>
      </c>
      <c r="BN65">
        <f t="shared" si="196"/>
        <v>726</v>
      </c>
      <c r="BO65" s="9">
        <f t="shared" si="176"/>
        <v>1243.1506849315067</v>
      </c>
      <c r="BP65">
        <f t="shared" si="215"/>
        <v>725</v>
      </c>
      <c r="BQ65" s="9">
        <f t="shared" si="206"/>
        <v>1242.8571428571429</v>
      </c>
      <c r="BR65">
        <v>0</v>
      </c>
      <c r="BS65" s="9">
        <v>0</v>
      </c>
      <c r="BU65" s="4">
        <v>1500</v>
      </c>
      <c r="BV65">
        <f t="shared" si="197"/>
        <v>786</v>
      </c>
      <c r="BW65" s="9">
        <f t="shared" si="167"/>
        <v>1259.6153846153848</v>
      </c>
      <c r="BX65">
        <f t="shared" si="198"/>
        <v>779</v>
      </c>
      <c r="BY65" s="9">
        <f t="shared" si="168"/>
        <v>1257.8040904198062</v>
      </c>
      <c r="BZ65">
        <f t="shared" si="199"/>
        <v>776</v>
      </c>
      <c r="CA65" s="9">
        <f t="shared" si="177"/>
        <v>1257.0194384449244</v>
      </c>
      <c r="CB65">
        <f t="shared" si="216"/>
        <v>775</v>
      </c>
      <c r="CC65" s="9">
        <f t="shared" si="207"/>
        <v>1256.7567567567569</v>
      </c>
      <c r="CD65">
        <f t="shared" si="223"/>
        <v>776</v>
      </c>
      <c r="CE65" s="9">
        <f t="shared" si="217"/>
        <v>1257.0194384449244</v>
      </c>
      <c r="CF65">
        <f t="shared" si="224"/>
        <v>772</v>
      </c>
      <c r="CG65" s="9">
        <f t="shared" si="218"/>
        <v>1255.9652928416485</v>
      </c>
      <c r="CI65" s="4">
        <v>1500</v>
      </c>
      <c r="CJ65">
        <f t="shared" si="200"/>
        <v>736</v>
      </c>
      <c r="CK65" s="9">
        <f t="shared" si="169"/>
        <v>1246.0496613995485</v>
      </c>
      <c r="CL65">
        <f t="shared" si="201"/>
        <v>732</v>
      </c>
      <c r="CM65" s="9">
        <f t="shared" si="170"/>
        <v>1244.8979591836735</v>
      </c>
      <c r="CN65">
        <f t="shared" si="208"/>
        <v>730</v>
      </c>
      <c r="CO65" s="9">
        <f t="shared" si="178"/>
        <v>1244.3181818181818</v>
      </c>
      <c r="CP65">
        <f t="shared" si="219"/>
        <v>730</v>
      </c>
      <c r="CQ65" s="9">
        <f t="shared" si="209"/>
        <v>1244.3181818181818</v>
      </c>
      <c r="CR65">
        <f t="shared" si="225"/>
        <v>726</v>
      </c>
      <c r="CS65" s="9">
        <f t="shared" si="220"/>
        <v>1243.1506849315067</v>
      </c>
      <c r="CT65">
        <f t="shared" si="226"/>
        <v>736</v>
      </c>
      <c r="CU65" s="9">
        <f t="shared" si="221"/>
        <v>1246.0496613995485</v>
      </c>
      <c r="CV65">
        <v>0</v>
      </c>
      <c r="CW65" s="9">
        <v>0</v>
      </c>
    </row>
    <row r="66" spans="1:101" x14ac:dyDescent="0.25">
      <c r="A66" s="4">
        <v>1800</v>
      </c>
      <c r="B66">
        <f t="shared" si="179"/>
        <v>634</v>
      </c>
      <c r="C66" s="9">
        <f t="shared" si="155"/>
        <v>1455.612244897959</v>
      </c>
      <c r="D66">
        <v>0</v>
      </c>
      <c r="E66" s="9">
        <f t="shared" si="156"/>
        <v>0</v>
      </c>
      <c r="F66">
        <v>0</v>
      </c>
      <c r="G66" s="9">
        <f t="shared" si="171"/>
        <v>0</v>
      </c>
      <c r="H66">
        <v>0</v>
      </c>
      <c r="I66" s="9">
        <v>0</v>
      </c>
      <c r="J66">
        <v>0</v>
      </c>
      <c r="K66" s="9">
        <v>0</v>
      </c>
      <c r="M66" s="4">
        <v>1800</v>
      </c>
      <c r="N66">
        <f t="shared" si="182"/>
        <v>684</v>
      </c>
      <c r="O66" s="9">
        <f t="shared" si="157"/>
        <v>1476.2589928057553</v>
      </c>
      <c r="P66">
        <f t="shared" si="183"/>
        <v>676</v>
      </c>
      <c r="Q66" s="9">
        <f t="shared" si="158"/>
        <v>1473.1234866828088</v>
      </c>
      <c r="R66">
        <f t="shared" si="184"/>
        <v>672</v>
      </c>
      <c r="S66" s="9">
        <f t="shared" si="172"/>
        <v>1471.5328467153286</v>
      </c>
      <c r="T66">
        <f t="shared" si="210"/>
        <v>670</v>
      </c>
      <c r="U66" s="9">
        <f t="shared" si="202"/>
        <v>1470.7317073170732</v>
      </c>
      <c r="V66">
        <v>0</v>
      </c>
      <c r="W66" s="9">
        <v>0</v>
      </c>
      <c r="Y66" s="4">
        <v>1800</v>
      </c>
      <c r="Z66">
        <f t="shared" si="185"/>
        <v>734</v>
      </c>
      <c r="AA66" s="9">
        <f t="shared" si="159"/>
        <v>1494.5701357466064</v>
      </c>
      <c r="AB66">
        <f t="shared" si="186"/>
        <v>726</v>
      </c>
      <c r="AC66" s="9">
        <f t="shared" si="160"/>
        <v>1491.7808219178082</v>
      </c>
      <c r="AD66">
        <f t="shared" si="187"/>
        <v>722</v>
      </c>
      <c r="AE66" s="9">
        <f t="shared" si="173"/>
        <v>1490.3669724770643</v>
      </c>
      <c r="AF66">
        <f t="shared" si="211"/>
        <v>720</v>
      </c>
      <c r="AG66" s="9">
        <f t="shared" si="203"/>
        <v>1489.655172413793</v>
      </c>
      <c r="AH66">
        <v>0</v>
      </c>
      <c r="AI66" s="9">
        <v>0</v>
      </c>
      <c r="AK66" s="4">
        <v>1800</v>
      </c>
      <c r="AL66">
        <f t="shared" si="188"/>
        <v>784</v>
      </c>
      <c r="AM66" s="9">
        <f t="shared" si="161"/>
        <v>1510.9207708779445</v>
      </c>
      <c r="AN66">
        <f t="shared" si="189"/>
        <v>776</v>
      </c>
      <c r="AO66" s="9">
        <f t="shared" si="162"/>
        <v>1508.4233261339093</v>
      </c>
      <c r="AP66">
        <f t="shared" si="190"/>
        <v>772</v>
      </c>
      <c r="AQ66" s="9">
        <f t="shared" si="174"/>
        <v>1507.1583514099784</v>
      </c>
      <c r="AR66">
        <f t="shared" si="212"/>
        <v>770</v>
      </c>
      <c r="AS66" s="9">
        <f t="shared" si="204"/>
        <v>1506.5217391304348</v>
      </c>
      <c r="AT66">
        <v>0</v>
      </c>
      <c r="AU66" s="9">
        <v>0</v>
      </c>
      <c r="AW66" s="4">
        <v>1800</v>
      </c>
      <c r="AX66">
        <f t="shared" si="191"/>
        <v>684</v>
      </c>
      <c r="AY66" s="9">
        <f t="shared" si="163"/>
        <v>1476.2589928057553</v>
      </c>
      <c r="AZ66">
        <f t="shared" si="192"/>
        <v>676</v>
      </c>
      <c r="BA66" s="9">
        <f t="shared" si="164"/>
        <v>1473.1234866828088</v>
      </c>
      <c r="BB66">
        <f t="shared" si="193"/>
        <v>672</v>
      </c>
      <c r="BC66" s="9">
        <f t="shared" si="175"/>
        <v>1471.5328467153286</v>
      </c>
      <c r="BD66">
        <f t="shared" si="213"/>
        <v>670</v>
      </c>
      <c r="BE66" s="9">
        <f t="shared" si="205"/>
        <v>1470.7317073170732</v>
      </c>
      <c r="BF66">
        <f t="shared" si="222"/>
        <v>670</v>
      </c>
      <c r="BG66" s="9">
        <f t="shared" si="214"/>
        <v>1470.7317073170732</v>
      </c>
      <c r="BI66" s="4">
        <v>1800</v>
      </c>
      <c r="BJ66">
        <f t="shared" si="194"/>
        <v>734</v>
      </c>
      <c r="BK66" s="9">
        <f t="shared" si="165"/>
        <v>1494.5701357466064</v>
      </c>
      <c r="BL66">
        <f t="shared" si="195"/>
        <v>726</v>
      </c>
      <c r="BM66" s="9">
        <f t="shared" si="166"/>
        <v>1491.7808219178082</v>
      </c>
      <c r="BN66">
        <f t="shared" si="196"/>
        <v>722</v>
      </c>
      <c r="BO66" s="9">
        <f t="shared" si="176"/>
        <v>1490.3669724770643</v>
      </c>
      <c r="BP66">
        <f t="shared" si="215"/>
        <v>720</v>
      </c>
      <c r="BQ66" s="9">
        <f t="shared" si="206"/>
        <v>1489.655172413793</v>
      </c>
      <c r="BR66">
        <v>0</v>
      </c>
      <c r="BS66" s="9">
        <v>0</v>
      </c>
      <c r="BU66" s="4">
        <v>1800</v>
      </c>
      <c r="BV66">
        <f t="shared" si="197"/>
        <v>784</v>
      </c>
      <c r="BW66" s="9">
        <f t="shared" si="167"/>
        <v>1510.9207708779445</v>
      </c>
      <c r="BX66">
        <f t="shared" si="198"/>
        <v>776</v>
      </c>
      <c r="BY66" s="9">
        <f t="shared" si="168"/>
        <v>1508.4233261339093</v>
      </c>
      <c r="BZ66">
        <f t="shared" si="199"/>
        <v>772</v>
      </c>
      <c r="CA66" s="9">
        <f t="shared" si="177"/>
        <v>1507.1583514099784</v>
      </c>
      <c r="CB66">
        <f t="shared" si="216"/>
        <v>770</v>
      </c>
      <c r="CC66" s="9">
        <f t="shared" si="207"/>
        <v>1506.5217391304348</v>
      </c>
      <c r="CD66">
        <f t="shared" si="223"/>
        <v>770</v>
      </c>
      <c r="CE66" s="9">
        <f t="shared" si="217"/>
        <v>1506.5217391304348</v>
      </c>
      <c r="CF66">
        <f t="shared" si="224"/>
        <v>765</v>
      </c>
      <c r="CG66" s="9">
        <f t="shared" si="218"/>
        <v>1504.9180327868853</v>
      </c>
      <c r="CI66" s="4">
        <v>1800</v>
      </c>
      <c r="CJ66">
        <f t="shared" si="200"/>
        <v>734</v>
      </c>
      <c r="CK66" s="9">
        <f t="shared" si="169"/>
        <v>1494.5701357466064</v>
      </c>
      <c r="CL66">
        <f t="shared" si="201"/>
        <v>729</v>
      </c>
      <c r="CM66" s="9">
        <f t="shared" si="170"/>
        <v>1492.8327645051195</v>
      </c>
      <c r="CN66">
        <f t="shared" si="208"/>
        <v>726</v>
      </c>
      <c r="CO66" s="9">
        <f t="shared" si="178"/>
        <v>1491.7808219178082</v>
      </c>
      <c r="CP66">
        <f t="shared" si="219"/>
        <v>725</v>
      </c>
      <c r="CQ66" s="9">
        <f t="shared" si="209"/>
        <v>1491.4285714285716</v>
      </c>
      <c r="CR66">
        <f t="shared" si="225"/>
        <v>720</v>
      </c>
      <c r="CS66" s="9">
        <f t="shared" si="220"/>
        <v>1489.655172413793</v>
      </c>
      <c r="CT66">
        <f t="shared" si="226"/>
        <v>729</v>
      </c>
      <c r="CU66" s="9">
        <f t="shared" si="221"/>
        <v>1492.8327645051195</v>
      </c>
      <c r="CV66">
        <v>750</v>
      </c>
      <c r="CW66" s="9">
        <f>PRODUCT(CI66,CV66,1/(CV66+150))</f>
        <v>1500</v>
      </c>
    </row>
    <row r="67" spans="1:101" x14ac:dyDescent="0.25">
      <c r="A67" s="4">
        <v>2000</v>
      </c>
      <c r="B67">
        <v>0</v>
      </c>
      <c r="C67" s="9">
        <f t="shared" si="155"/>
        <v>0</v>
      </c>
      <c r="D67">
        <v>0</v>
      </c>
      <c r="E67" s="9">
        <f t="shared" si="156"/>
        <v>0</v>
      </c>
      <c r="F67">
        <v>0</v>
      </c>
      <c r="G67" s="9">
        <f t="shared" ref="G67:G71" si="227">PRODUCT(A67,F67,1/(F67+300))</f>
        <v>0</v>
      </c>
      <c r="H67">
        <v>0</v>
      </c>
      <c r="I67" s="9">
        <v>0</v>
      </c>
      <c r="J67">
        <v>0</v>
      </c>
      <c r="K67" s="9">
        <v>0</v>
      </c>
      <c r="M67" s="4">
        <v>2000</v>
      </c>
      <c r="N67">
        <f t="shared" si="182"/>
        <v>682</v>
      </c>
      <c r="O67" s="9">
        <f t="shared" si="157"/>
        <v>1639.4230769230769</v>
      </c>
      <c r="P67">
        <f t="shared" si="183"/>
        <v>673</v>
      </c>
      <c r="Q67" s="9">
        <f t="shared" si="158"/>
        <v>1635.4799513973267</v>
      </c>
      <c r="R67">
        <f t="shared" si="184"/>
        <v>668</v>
      </c>
      <c r="S67" s="9">
        <f t="shared" si="172"/>
        <v>1633.2518337408312</v>
      </c>
      <c r="T67">
        <v>0</v>
      </c>
      <c r="U67" s="9">
        <f t="shared" si="202"/>
        <v>0</v>
      </c>
      <c r="V67">
        <v>0</v>
      </c>
      <c r="W67" s="9">
        <v>0</v>
      </c>
      <c r="Y67" s="4">
        <v>2000</v>
      </c>
      <c r="Z67">
        <f t="shared" si="185"/>
        <v>732</v>
      </c>
      <c r="AA67" s="9">
        <f t="shared" si="159"/>
        <v>1659.8639455782313</v>
      </c>
      <c r="AB67">
        <f t="shared" si="186"/>
        <v>723</v>
      </c>
      <c r="AC67" s="9">
        <f t="shared" si="160"/>
        <v>1656.3573883161512</v>
      </c>
      <c r="AD67">
        <f t="shared" si="187"/>
        <v>718</v>
      </c>
      <c r="AE67" s="9">
        <f t="shared" si="173"/>
        <v>1654.3778801843318</v>
      </c>
      <c r="AF67">
        <v>0</v>
      </c>
      <c r="AG67" s="9">
        <f t="shared" si="203"/>
        <v>0</v>
      </c>
      <c r="AH67">
        <v>0</v>
      </c>
      <c r="AI67" s="9">
        <v>0</v>
      </c>
      <c r="AK67" s="4">
        <v>2000</v>
      </c>
      <c r="AL67">
        <f t="shared" si="188"/>
        <v>782</v>
      </c>
      <c r="AM67" s="9">
        <f t="shared" si="161"/>
        <v>1678.1115879828326</v>
      </c>
      <c r="AN67">
        <f t="shared" si="189"/>
        <v>773</v>
      </c>
      <c r="AO67" s="9">
        <f t="shared" si="162"/>
        <v>1674.972914409534</v>
      </c>
      <c r="AP67">
        <f t="shared" si="190"/>
        <v>768</v>
      </c>
      <c r="AQ67" s="9">
        <f t="shared" si="174"/>
        <v>1673.2026143790852</v>
      </c>
      <c r="AR67">
        <f t="shared" si="212"/>
        <v>765</v>
      </c>
      <c r="AS67" s="9">
        <f t="shared" si="204"/>
        <v>1672.1311475409836</v>
      </c>
      <c r="AT67">
        <v>0</v>
      </c>
      <c r="AU67" s="9">
        <v>0</v>
      </c>
      <c r="AW67" s="4">
        <v>2000</v>
      </c>
      <c r="AX67">
        <f t="shared" si="191"/>
        <v>682</v>
      </c>
      <c r="AY67" s="9">
        <f t="shared" si="163"/>
        <v>1639.4230769230769</v>
      </c>
      <c r="AZ67">
        <f t="shared" si="192"/>
        <v>673</v>
      </c>
      <c r="BA67" s="9">
        <f t="shared" si="164"/>
        <v>1635.4799513973267</v>
      </c>
      <c r="BB67">
        <f t="shared" si="193"/>
        <v>668</v>
      </c>
      <c r="BC67" s="9">
        <f t="shared" si="175"/>
        <v>1633.2518337408312</v>
      </c>
      <c r="BD67">
        <f t="shared" si="213"/>
        <v>665</v>
      </c>
      <c r="BE67" s="9">
        <f t="shared" si="205"/>
        <v>1631.9018404907977</v>
      </c>
      <c r="BF67">
        <v>0</v>
      </c>
      <c r="BG67" s="9">
        <f t="shared" si="214"/>
        <v>0</v>
      </c>
      <c r="BI67" s="4">
        <v>2000</v>
      </c>
      <c r="BJ67">
        <f t="shared" si="194"/>
        <v>732</v>
      </c>
      <c r="BK67" s="9">
        <f t="shared" si="165"/>
        <v>1659.8639455782313</v>
      </c>
      <c r="BL67">
        <f t="shared" si="195"/>
        <v>723</v>
      </c>
      <c r="BM67" s="9">
        <f t="shared" si="166"/>
        <v>1656.3573883161512</v>
      </c>
      <c r="BN67">
        <f t="shared" si="196"/>
        <v>718</v>
      </c>
      <c r="BO67" s="9">
        <f t="shared" si="176"/>
        <v>1654.3778801843318</v>
      </c>
      <c r="BP67">
        <v>0</v>
      </c>
      <c r="BQ67" s="9">
        <f t="shared" si="206"/>
        <v>0</v>
      </c>
      <c r="BR67">
        <v>0</v>
      </c>
      <c r="BS67" s="9">
        <v>0</v>
      </c>
      <c r="BU67" s="4">
        <v>2000</v>
      </c>
      <c r="BV67">
        <f t="shared" si="197"/>
        <v>782</v>
      </c>
      <c r="BW67" s="9">
        <f t="shared" si="167"/>
        <v>1678.1115879828326</v>
      </c>
      <c r="BX67">
        <f t="shared" si="198"/>
        <v>773</v>
      </c>
      <c r="BY67" s="9">
        <f t="shared" si="168"/>
        <v>1674.972914409534</v>
      </c>
      <c r="BZ67">
        <f t="shared" si="199"/>
        <v>768</v>
      </c>
      <c r="CA67" s="9">
        <f t="shared" si="177"/>
        <v>1673.2026143790852</v>
      </c>
      <c r="CB67">
        <f t="shared" si="216"/>
        <v>765</v>
      </c>
      <c r="CC67" s="9">
        <f t="shared" si="207"/>
        <v>1672.1311475409836</v>
      </c>
      <c r="CD67">
        <f t="shared" si="223"/>
        <v>764</v>
      </c>
      <c r="CE67" s="9">
        <f t="shared" si="217"/>
        <v>1671.7724288840261</v>
      </c>
      <c r="CF67">
        <f t="shared" si="224"/>
        <v>758</v>
      </c>
      <c r="CG67" s="9">
        <f t="shared" si="218"/>
        <v>1669.603524229075</v>
      </c>
      <c r="CI67" s="4">
        <v>2000</v>
      </c>
      <c r="CJ67">
        <f t="shared" si="200"/>
        <v>732</v>
      </c>
      <c r="CK67" s="9">
        <f t="shared" si="169"/>
        <v>1659.8639455782313</v>
      </c>
      <c r="CL67">
        <f t="shared" si="201"/>
        <v>726</v>
      </c>
      <c r="CM67" s="9">
        <f t="shared" si="170"/>
        <v>1657.5342465753424</v>
      </c>
      <c r="CN67">
        <f t="shared" si="208"/>
        <v>722</v>
      </c>
      <c r="CO67" s="9">
        <f t="shared" si="178"/>
        <v>1655.9633027522937</v>
      </c>
      <c r="CP67">
        <f t="shared" si="219"/>
        <v>720</v>
      </c>
      <c r="CQ67" s="9">
        <f t="shared" si="209"/>
        <v>1655.1724137931035</v>
      </c>
      <c r="CR67">
        <f t="shared" si="225"/>
        <v>714</v>
      </c>
      <c r="CS67" s="9">
        <f t="shared" si="220"/>
        <v>1652.7777777777776</v>
      </c>
      <c r="CT67">
        <f t="shared" si="226"/>
        <v>722</v>
      </c>
      <c r="CU67" s="9">
        <f t="shared" si="221"/>
        <v>1655.9633027522937</v>
      </c>
      <c r="CV67">
        <v>750</v>
      </c>
      <c r="CW67" s="9">
        <f>PRODUCT(CI67,CV67,1/(CV67+150))</f>
        <v>1666.6666666666667</v>
      </c>
    </row>
    <row r="68" spans="1:101" x14ac:dyDescent="0.25">
      <c r="A68" s="4">
        <v>2200</v>
      </c>
      <c r="B68">
        <v>0</v>
      </c>
      <c r="C68" s="9">
        <f t="shared" ref="C68" si="228">PRODUCT(A68,B68,1/(B68+150))</f>
        <v>0</v>
      </c>
      <c r="D68">
        <v>0</v>
      </c>
      <c r="E68" s="9">
        <f t="shared" ref="E68:E71" si="229">PRODUCT(A68,D68,1/(D68+300))</f>
        <v>0</v>
      </c>
      <c r="F68">
        <v>0</v>
      </c>
      <c r="G68" s="9">
        <f t="shared" si="227"/>
        <v>0</v>
      </c>
      <c r="H68">
        <v>0</v>
      </c>
      <c r="I68" s="9">
        <v>0</v>
      </c>
      <c r="J68">
        <v>0</v>
      </c>
      <c r="K68" s="9">
        <v>0</v>
      </c>
      <c r="M68" s="4">
        <v>2200</v>
      </c>
      <c r="N68">
        <f t="shared" si="182"/>
        <v>680</v>
      </c>
      <c r="O68" s="9">
        <f t="shared" si="157"/>
        <v>1802.4096385542171</v>
      </c>
      <c r="P68">
        <f t="shared" si="183"/>
        <v>670</v>
      </c>
      <c r="Q68" s="9">
        <f t="shared" si="158"/>
        <v>1797.560975609756</v>
      </c>
      <c r="R68">
        <f t="shared" si="184"/>
        <v>664</v>
      </c>
      <c r="S68" s="9">
        <f t="shared" si="172"/>
        <v>1794.5945945945946</v>
      </c>
      <c r="T68">
        <v>0</v>
      </c>
      <c r="U68" s="9">
        <f t="shared" si="202"/>
        <v>0</v>
      </c>
      <c r="V68">
        <v>0</v>
      </c>
      <c r="W68" s="9">
        <v>0</v>
      </c>
      <c r="Y68" s="4">
        <v>2200</v>
      </c>
      <c r="Z68">
        <f t="shared" si="185"/>
        <v>730</v>
      </c>
      <c r="AA68" s="9">
        <f t="shared" si="159"/>
        <v>1825</v>
      </c>
      <c r="AB68">
        <f t="shared" si="186"/>
        <v>720</v>
      </c>
      <c r="AC68" s="9">
        <f t="shared" si="160"/>
        <v>1820.6896551724137</v>
      </c>
      <c r="AD68">
        <f t="shared" si="187"/>
        <v>714</v>
      </c>
      <c r="AE68" s="9">
        <f t="shared" si="173"/>
        <v>1818.0555555555554</v>
      </c>
      <c r="AF68">
        <v>0</v>
      </c>
      <c r="AG68" s="9">
        <f t="shared" si="203"/>
        <v>0</v>
      </c>
      <c r="AH68">
        <v>0</v>
      </c>
      <c r="AI68" s="9">
        <v>0</v>
      </c>
      <c r="AK68" s="4">
        <v>2200</v>
      </c>
      <c r="AL68">
        <f t="shared" si="188"/>
        <v>780</v>
      </c>
      <c r="AM68" s="9">
        <f t="shared" si="161"/>
        <v>1845.1612903225807</v>
      </c>
      <c r="AN68">
        <f t="shared" si="189"/>
        <v>770</v>
      </c>
      <c r="AO68" s="9">
        <f t="shared" si="162"/>
        <v>1841.304347826087</v>
      </c>
      <c r="AP68">
        <f t="shared" si="190"/>
        <v>764</v>
      </c>
      <c r="AQ68" s="9">
        <f t="shared" si="174"/>
        <v>1838.9496717724289</v>
      </c>
      <c r="AR68">
        <f t="shared" si="212"/>
        <v>760</v>
      </c>
      <c r="AS68" s="9">
        <f t="shared" si="204"/>
        <v>1837.3626373626373</v>
      </c>
      <c r="AT68">
        <v>0</v>
      </c>
      <c r="AU68" s="9">
        <v>0</v>
      </c>
      <c r="AW68" s="4">
        <v>2200</v>
      </c>
      <c r="AX68">
        <f t="shared" si="191"/>
        <v>680</v>
      </c>
      <c r="AY68" s="9">
        <f t="shared" si="163"/>
        <v>1802.4096385542171</v>
      </c>
      <c r="AZ68">
        <f t="shared" si="192"/>
        <v>670</v>
      </c>
      <c r="BA68" s="9">
        <f t="shared" si="164"/>
        <v>1797.560975609756</v>
      </c>
      <c r="BB68">
        <f t="shared" si="193"/>
        <v>664</v>
      </c>
      <c r="BC68" s="9">
        <f t="shared" si="175"/>
        <v>1794.5945945945946</v>
      </c>
      <c r="BD68">
        <f t="shared" si="213"/>
        <v>660</v>
      </c>
      <c r="BE68" s="9">
        <f t="shared" si="205"/>
        <v>1792.5925925925926</v>
      </c>
      <c r="BF68">
        <v>0</v>
      </c>
      <c r="BG68" s="9">
        <f t="shared" si="214"/>
        <v>0</v>
      </c>
      <c r="BI68" s="4">
        <v>2200</v>
      </c>
      <c r="BJ68">
        <f t="shared" si="194"/>
        <v>730</v>
      </c>
      <c r="BK68" s="9">
        <f t="shared" si="165"/>
        <v>1825</v>
      </c>
      <c r="BL68">
        <f t="shared" si="195"/>
        <v>720</v>
      </c>
      <c r="BM68" s="9">
        <f t="shared" si="166"/>
        <v>1820.6896551724137</v>
      </c>
      <c r="BN68">
        <f t="shared" si="196"/>
        <v>714</v>
      </c>
      <c r="BO68" s="9">
        <f t="shared" si="176"/>
        <v>1818.0555555555554</v>
      </c>
      <c r="BP68">
        <v>0</v>
      </c>
      <c r="BQ68" s="9">
        <f t="shared" si="206"/>
        <v>0</v>
      </c>
      <c r="BR68">
        <v>0</v>
      </c>
      <c r="BS68" s="9">
        <v>0</v>
      </c>
      <c r="BU68" s="4">
        <v>2200</v>
      </c>
      <c r="BV68">
        <f t="shared" si="197"/>
        <v>780</v>
      </c>
      <c r="BW68" s="9">
        <f t="shared" si="167"/>
        <v>1845.1612903225807</v>
      </c>
      <c r="BX68">
        <f t="shared" si="198"/>
        <v>770</v>
      </c>
      <c r="BY68" s="9">
        <f t="shared" si="168"/>
        <v>1841.304347826087</v>
      </c>
      <c r="BZ68">
        <f t="shared" si="199"/>
        <v>764</v>
      </c>
      <c r="CA68" s="9">
        <f t="shared" si="177"/>
        <v>1838.9496717724289</v>
      </c>
      <c r="CB68">
        <f t="shared" si="216"/>
        <v>760</v>
      </c>
      <c r="CC68" s="9">
        <f t="shared" si="207"/>
        <v>1837.3626373626373</v>
      </c>
      <c r="CD68">
        <f t="shared" si="223"/>
        <v>758</v>
      </c>
      <c r="CE68" s="9">
        <f t="shared" si="217"/>
        <v>1836.5638766519826</v>
      </c>
      <c r="CF68">
        <f t="shared" si="224"/>
        <v>751</v>
      </c>
      <c r="CG68" s="9">
        <f t="shared" si="218"/>
        <v>1833.7402885682575</v>
      </c>
      <c r="CI68" s="4">
        <v>2200</v>
      </c>
      <c r="CJ68">
        <f t="shared" si="200"/>
        <v>730</v>
      </c>
      <c r="CK68" s="9">
        <f t="shared" si="169"/>
        <v>1825</v>
      </c>
      <c r="CL68">
        <f t="shared" si="201"/>
        <v>723</v>
      </c>
      <c r="CM68" s="9">
        <f t="shared" si="170"/>
        <v>1821.9931271477665</v>
      </c>
      <c r="CN68">
        <f t="shared" si="208"/>
        <v>718</v>
      </c>
      <c r="CO68" s="9">
        <f t="shared" si="178"/>
        <v>1819.815668202765</v>
      </c>
      <c r="CP68">
        <f t="shared" si="219"/>
        <v>715</v>
      </c>
      <c r="CQ68" s="9">
        <f t="shared" si="209"/>
        <v>1818.4971098265896</v>
      </c>
      <c r="CR68">
        <f t="shared" si="225"/>
        <v>708</v>
      </c>
      <c r="CS68" s="9">
        <f t="shared" si="220"/>
        <v>1815.3846153846155</v>
      </c>
      <c r="CT68">
        <f t="shared" si="226"/>
        <v>715</v>
      </c>
      <c r="CU68" s="9">
        <f t="shared" si="221"/>
        <v>1818.4971098265896</v>
      </c>
      <c r="CV68">
        <f t="shared" ref="CV68:CV80" si="230">SUM(CV67,-8)</f>
        <v>742</v>
      </c>
      <c r="CW68" s="9">
        <f t="shared" ref="CW68:CW99" si="231">PRODUCT(CI68,CV68,1/(CV68+150))</f>
        <v>1830.0448430493273</v>
      </c>
    </row>
    <row r="69" spans="1:101" x14ac:dyDescent="0.25">
      <c r="A69" s="4">
        <f>SUM(A67+500)</f>
        <v>2500</v>
      </c>
      <c r="B69">
        <v>0</v>
      </c>
      <c r="C69" s="9">
        <f t="shared" ref="C69:C74" si="232">PRODUCT(A69,B69,1/(B69+300))</f>
        <v>0</v>
      </c>
      <c r="D69">
        <v>0</v>
      </c>
      <c r="E69" s="9">
        <f t="shared" si="229"/>
        <v>0</v>
      </c>
      <c r="F69">
        <v>0</v>
      </c>
      <c r="G69" s="9">
        <f t="shared" si="227"/>
        <v>0</v>
      </c>
      <c r="H69">
        <v>0</v>
      </c>
      <c r="I69" s="9">
        <v>0</v>
      </c>
      <c r="J69">
        <v>0</v>
      </c>
      <c r="K69" s="9">
        <v>0</v>
      </c>
      <c r="M69" s="4">
        <f>SUM(M67+500)</f>
        <v>2500</v>
      </c>
      <c r="N69">
        <f t="shared" si="182"/>
        <v>678</v>
      </c>
      <c r="O69" s="9">
        <f t="shared" si="157"/>
        <v>2047.1014492753623</v>
      </c>
      <c r="P69">
        <f t="shared" si="183"/>
        <v>667</v>
      </c>
      <c r="Q69" s="9">
        <f t="shared" si="158"/>
        <v>2041.0036719706241</v>
      </c>
      <c r="R69">
        <f t="shared" si="184"/>
        <v>660</v>
      </c>
      <c r="S69" s="9">
        <f t="shared" si="172"/>
        <v>2037.037037037037</v>
      </c>
      <c r="T69">
        <v>0</v>
      </c>
      <c r="U69" s="9">
        <f t="shared" si="202"/>
        <v>0</v>
      </c>
      <c r="V69">
        <v>0</v>
      </c>
      <c r="W69" s="9">
        <v>0</v>
      </c>
      <c r="Y69" s="4">
        <f>SUM(Y67+500)</f>
        <v>2500</v>
      </c>
      <c r="Z69">
        <f t="shared" si="185"/>
        <v>728</v>
      </c>
      <c r="AA69" s="9">
        <f t="shared" si="159"/>
        <v>2072.8929384965832</v>
      </c>
      <c r="AB69">
        <f t="shared" si="186"/>
        <v>717</v>
      </c>
      <c r="AC69" s="9">
        <f t="shared" si="160"/>
        <v>2067.4740484429067</v>
      </c>
      <c r="AD69">
        <f t="shared" si="187"/>
        <v>710</v>
      </c>
      <c r="AE69" s="9">
        <f t="shared" si="173"/>
        <v>2063.953488372093</v>
      </c>
      <c r="AF69">
        <v>0</v>
      </c>
      <c r="AG69" s="9">
        <f t="shared" si="203"/>
        <v>0</v>
      </c>
      <c r="AH69">
        <v>0</v>
      </c>
      <c r="AI69" s="9">
        <v>0</v>
      </c>
      <c r="AK69" s="4">
        <f>SUM(AK67+500)</f>
        <v>2500</v>
      </c>
      <c r="AL69">
        <f t="shared" si="188"/>
        <v>778</v>
      </c>
      <c r="AM69" s="9">
        <f t="shared" si="161"/>
        <v>2095.905172413793</v>
      </c>
      <c r="AN69">
        <f t="shared" si="189"/>
        <v>767</v>
      </c>
      <c r="AO69" s="9">
        <f t="shared" si="162"/>
        <v>2091.0577971646676</v>
      </c>
      <c r="AP69">
        <f t="shared" si="190"/>
        <v>760</v>
      </c>
      <c r="AQ69" s="9">
        <f t="shared" si="174"/>
        <v>2087.9120879120878</v>
      </c>
      <c r="AR69">
        <f t="shared" si="212"/>
        <v>755</v>
      </c>
      <c r="AS69" s="9">
        <f t="shared" si="204"/>
        <v>2085.6353591160223</v>
      </c>
      <c r="AT69">
        <v>0</v>
      </c>
      <c r="AU69" s="9">
        <v>0</v>
      </c>
      <c r="AW69" s="4">
        <f>SUM(AW67+500)</f>
        <v>2500</v>
      </c>
      <c r="AX69">
        <f t="shared" si="191"/>
        <v>678</v>
      </c>
      <c r="AY69" s="9">
        <f t="shared" si="163"/>
        <v>2047.1014492753623</v>
      </c>
      <c r="AZ69">
        <f t="shared" si="192"/>
        <v>667</v>
      </c>
      <c r="BA69" s="9">
        <f t="shared" si="164"/>
        <v>2041.0036719706241</v>
      </c>
      <c r="BB69">
        <f t="shared" si="193"/>
        <v>660</v>
      </c>
      <c r="BC69" s="9">
        <f t="shared" si="175"/>
        <v>2037.037037037037</v>
      </c>
      <c r="BD69">
        <f t="shared" si="213"/>
        <v>655</v>
      </c>
      <c r="BE69" s="9">
        <f t="shared" si="205"/>
        <v>2034.1614906832299</v>
      </c>
      <c r="BF69">
        <v>0</v>
      </c>
      <c r="BG69" s="9">
        <f t="shared" si="214"/>
        <v>0</v>
      </c>
      <c r="BI69" s="4">
        <f>SUM(BI67+500)</f>
        <v>2500</v>
      </c>
      <c r="BJ69">
        <f t="shared" si="194"/>
        <v>728</v>
      </c>
      <c r="BK69" s="9">
        <f t="shared" si="165"/>
        <v>2072.8929384965832</v>
      </c>
      <c r="BL69">
        <f t="shared" si="195"/>
        <v>717</v>
      </c>
      <c r="BM69" s="9">
        <f t="shared" si="166"/>
        <v>2067.4740484429067</v>
      </c>
      <c r="BN69">
        <f t="shared" si="196"/>
        <v>710</v>
      </c>
      <c r="BO69" s="9">
        <f t="shared" si="176"/>
        <v>2063.953488372093</v>
      </c>
      <c r="BP69">
        <v>0</v>
      </c>
      <c r="BQ69" s="9">
        <f t="shared" si="206"/>
        <v>0</v>
      </c>
      <c r="BR69">
        <v>0</v>
      </c>
      <c r="BS69" s="9">
        <v>0</v>
      </c>
      <c r="BU69" s="4">
        <f>SUM(BU67+500)</f>
        <v>2500</v>
      </c>
      <c r="BV69">
        <f t="shared" si="197"/>
        <v>778</v>
      </c>
      <c r="BW69" s="9">
        <f t="shared" si="167"/>
        <v>2095.905172413793</v>
      </c>
      <c r="BX69">
        <f t="shared" si="198"/>
        <v>767</v>
      </c>
      <c r="BY69" s="9">
        <f t="shared" si="168"/>
        <v>2091.0577971646676</v>
      </c>
      <c r="BZ69">
        <f t="shared" si="199"/>
        <v>760</v>
      </c>
      <c r="CA69" s="9">
        <f t="shared" si="177"/>
        <v>2087.9120879120878</v>
      </c>
      <c r="CB69">
        <f t="shared" si="216"/>
        <v>755</v>
      </c>
      <c r="CC69" s="9">
        <f t="shared" si="207"/>
        <v>2085.6353591160223</v>
      </c>
      <c r="CD69">
        <f t="shared" si="223"/>
        <v>752</v>
      </c>
      <c r="CE69" s="9">
        <f t="shared" si="217"/>
        <v>2084.2572062084259</v>
      </c>
      <c r="CF69">
        <f t="shared" si="224"/>
        <v>744</v>
      </c>
      <c r="CG69" s="9">
        <f t="shared" si="218"/>
        <v>2080.5369127516778</v>
      </c>
      <c r="CI69" s="4">
        <f>SUM(CI67+500)</f>
        <v>2500</v>
      </c>
      <c r="CJ69">
        <f t="shared" si="200"/>
        <v>728</v>
      </c>
      <c r="CK69" s="9">
        <f t="shared" si="169"/>
        <v>2072.8929384965832</v>
      </c>
      <c r="CL69">
        <f t="shared" si="201"/>
        <v>720</v>
      </c>
      <c r="CM69" s="9">
        <f t="shared" si="170"/>
        <v>2068.9655172413791</v>
      </c>
      <c r="CN69">
        <f t="shared" si="208"/>
        <v>714</v>
      </c>
      <c r="CO69" s="9">
        <f t="shared" si="178"/>
        <v>2065.9722222222222</v>
      </c>
      <c r="CP69">
        <f t="shared" si="219"/>
        <v>710</v>
      </c>
      <c r="CQ69" s="9">
        <f t="shared" si="209"/>
        <v>2063.953488372093</v>
      </c>
      <c r="CR69">
        <f t="shared" si="225"/>
        <v>702</v>
      </c>
      <c r="CS69" s="9">
        <f t="shared" si="220"/>
        <v>2059.8591549295775</v>
      </c>
      <c r="CT69">
        <f t="shared" si="226"/>
        <v>708</v>
      </c>
      <c r="CU69" s="9">
        <f t="shared" si="221"/>
        <v>2062.9370629370628</v>
      </c>
      <c r="CV69">
        <f t="shared" si="230"/>
        <v>734</v>
      </c>
      <c r="CW69" s="9">
        <f t="shared" si="231"/>
        <v>2075.7918552036199</v>
      </c>
    </row>
    <row r="70" spans="1:101" x14ac:dyDescent="0.25">
      <c r="A70" s="4">
        <f t="shared" ref="A70:A71" si="233">SUM(A69+500)</f>
        <v>3000</v>
      </c>
      <c r="B70">
        <v>0</v>
      </c>
      <c r="C70" s="9">
        <f t="shared" si="232"/>
        <v>0</v>
      </c>
      <c r="D70">
        <v>0</v>
      </c>
      <c r="E70" s="9">
        <f t="shared" si="229"/>
        <v>0</v>
      </c>
      <c r="F70">
        <v>0</v>
      </c>
      <c r="G70" s="9">
        <f t="shared" si="227"/>
        <v>0</v>
      </c>
      <c r="H70">
        <v>0</v>
      </c>
      <c r="I70" s="9">
        <v>0</v>
      </c>
      <c r="J70">
        <v>0</v>
      </c>
      <c r="K70" s="9">
        <v>0</v>
      </c>
      <c r="M70" s="4">
        <f t="shared" ref="M70:M71" si="234">SUM(M69+500)</f>
        <v>3000</v>
      </c>
      <c r="N70">
        <f t="shared" si="182"/>
        <v>676</v>
      </c>
      <c r="O70" s="9">
        <f t="shared" si="157"/>
        <v>2455.2058111380147</v>
      </c>
      <c r="P70">
        <f t="shared" si="183"/>
        <v>664</v>
      </c>
      <c r="Q70" s="9">
        <f t="shared" si="158"/>
        <v>2447.1744471744473</v>
      </c>
      <c r="R70">
        <v>0</v>
      </c>
      <c r="S70" s="9">
        <f t="shared" si="172"/>
        <v>0</v>
      </c>
      <c r="T70">
        <v>0</v>
      </c>
      <c r="U70" s="9">
        <v>0</v>
      </c>
      <c r="V70">
        <v>0</v>
      </c>
      <c r="W70" s="9">
        <v>0</v>
      </c>
      <c r="Y70" s="4">
        <f t="shared" ref="Y70:Y71" si="235">SUM(Y69+500)</f>
        <v>3000</v>
      </c>
      <c r="Z70">
        <f t="shared" si="185"/>
        <v>726</v>
      </c>
      <c r="AA70" s="9">
        <f t="shared" si="159"/>
        <v>2486.3013698630134</v>
      </c>
      <c r="AB70">
        <f t="shared" si="186"/>
        <v>714</v>
      </c>
      <c r="AC70" s="9">
        <f t="shared" si="160"/>
        <v>2479.1666666666665</v>
      </c>
      <c r="AD70">
        <v>0</v>
      </c>
      <c r="AE70" s="9">
        <f t="shared" si="173"/>
        <v>0</v>
      </c>
      <c r="AF70">
        <v>0</v>
      </c>
      <c r="AG70" s="9">
        <v>0</v>
      </c>
      <c r="AH70">
        <v>0</v>
      </c>
      <c r="AI70" s="9">
        <v>0</v>
      </c>
      <c r="AK70" s="4">
        <f t="shared" ref="AK70:AK71" si="236">SUM(AK69+500)</f>
        <v>3000</v>
      </c>
      <c r="AL70">
        <f t="shared" si="188"/>
        <v>776</v>
      </c>
      <c r="AM70" s="9">
        <f t="shared" si="161"/>
        <v>2514.0388768898488</v>
      </c>
      <c r="AN70">
        <f t="shared" si="189"/>
        <v>764</v>
      </c>
      <c r="AO70" s="9">
        <f t="shared" si="162"/>
        <v>2507.6586433260395</v>
      </c>
      <c r="AP70">
        <f t="shared" si="190"/>
        <v>756</v>
      </c>
      <c r="AQ70" s="9">
        <f t="shared" si="174"/>
        <v>2503.3112582781455</v>
      </c>
      <c r="AR70">
        <v>0</v>
      </c>
      <c r="AS70" s="9">
        <f t="shared" si="204"/>
        <v>0</v>
      </c>
      <c r="AT70">
        <v>0</v>
      </c>
      <c r="AU70" s="9">
        <v>0</v>
      </c>
      <c r="AW70" s="4">
        <f t="shared" ref="AW70:AW71" si="237">SUM(AW69+500)</f>
        <v>3000</v>
      </c>
      <c r="AX70">
        <f t="shared" si="191"/>
        <v>676</v>
      </c>
      <c r="AY70" s="9">
        <f t="shared" si="163"/>
        <v>2455.2058111380147</v>
      </c>
      <c r="AZ70">
        <f t="shared" si="192"/>
        <v>664</v>
      </c>
      <c r="BA70" s="9">
        <f t="shared" si="164"/>
        <v>2447.1744471744473</v>
      </c>
      <c r="BB70">
        <f t="shared" si="193"/>
        <v>656</v>
      </c>
      <c r="BC70" s="9">
        <f t="shared" si="175"/>
        <v>2441.6873449131513</v>
      </c>
      <c r="BD70">
        <f t="shared" si="213"/>
        <v>650</v>
      </c>
      <c r="BE70" s="9">
        <f t="shared" si="205"/>
        <v>2437.5</v>
      </c>
      <c r="BF70">
        <v>0</v>
      </c>
      <c r="BG70" s="9">
        <f t="shared" si="214"/>
        <v>0</v>
      </c>
      <c r="BI70" s="4">
        <f t="shared" ref="BI70:BI71" si="238">SUM(BI69+500)</f>
        <v>3000</v>
      </c>
      <c r="BJ70">
        <f t="shared" si="194"/>
        <v>726</v>
      </c>
      <c r="BK70" s="9">
        <f t="shared" si="165"/>
        <v>2486.3013698630134</v>
      </c>
      <c r="BL70">
        <f t="shared" si="195"/>
        <v>714</v>
      </c>
      <c r="BM70" s="9">
        <f t="shared" si="166"/>
        <v>2479.1666666666665</v>
      </c>
      <c r="BN70">
        <v>0</v>
      </c>
      <c r="BO70" s="9">
        <f t="shared" si="176"/>
        <v>0</v>
      </c>
      <c r="BP70">
        <v>0</v>
      </c>
      <c r="BQ70" s="9">
        <v>0</v>
      </c>
      <c r="BR70">
        <v>0</v>
      </c>
      <c r="BS70" s="9">
        <v>0</v>
      </c>
      <c r="BU70" s="4">
        <f t="shared" ref="BU70:BU71" si="239">SUM(BU69+500)</f>
        <v>3000</v>
      </c>
      <c r="BV70">
        <f t="shared" si="197"/>
        <v>776</v>
      </c>
      <c r="BW70" s="9">
        <f t="shared" si="167"/>
        <v>2514.0388768898488</v>
      </c>
      <c r="BX70">
        <f t="shared" si="198"/>
        <v>764</v>
      </c>
      <c r="BY70" s="9">
        <f t="shared" si="168"/>
        <v>2507.6586433260395</v>
      </c>
      <c r="BZ70">
        <f t="shared" si="199"/>
        <v>756</v>
      </c>
      <c r="CA70" s="9">
        <f t="shared" si="177"/>
        <v>2503.3112582781455</v>
      </c>
      <c r="CB70">
        <f t="shared" si="216"/>
        <v>750</v>
      </c>
      <c r="CC70" s="9">
        <f t="shared" si="207"/>
        <v>2500</v>
      </c>
      <c r="CD70">
        <f t="shared" si="223"/>
        <v>746</v>
      </c>
      <c r="CE70" s="9">
        <f t="shared" si="217"/>
        <v>2497.7678571428569</v>
      </c>
      <c r="CF70">
        <v>0</v>
      </c>
      <c r="CG70" s="9">
        <f t="shared" si="218"/>
        <v>0</v>
      </c>
      <c r="CI70" s="4">
        <f t="shared" ref="CI70:CI71" si="240">SUM(CI69+500)</f>
        <v>3000</v>
      </c>
      <c r="CJ70">
        <f t="shared" si="200"/>
        <v>726</v>
      </c>
      <c r="CK70" s="9">
        <f t="shared" si="169"/>
        <v>2486.3013698630134</v>
      </c>
      <c r="CL70">
        <f t="shared" si="201"/>
        <v>717</v>
      </c>
      <c r="CM70" s="9">
        <f t="shared" si="170"/>
        <v>2480.9688581314881</v>
      </c>
      <c r="CN70">
        <f t="shared" si="208"/>
        <v>710</v>
      </c>
      <c r="CO70" s="9">
        <f t="shared" si="178"/>
        <v>2476.7441860465115</v>
      </c>
      <c r="CP70">
        <f t="shared" si="219"/>
        <v>705</v>
      </c>
      <c r="CQ70" s="9">
        <f t="shared" si="209"/>
        <v>2473.6842105263158</v>
      </c>
      <c r="CR70">
        <f t="shared" si="225"/>
        <v>696</v>
      </c>
      <c r="CS70" s="9">
        <f t="shared" si="220"/>
        <v>2468.0851063829787</v>
      </c>
      <c r="CT70">
        <f t="shared" si="226"/>
        <v>701</v>
      </c>
      <c r="CU70" s="9">
        <f t="shared" si="221"/>
        <v>2471.2103407755581</v>
      </c>
      <c r="CV70">
        <f t="shared" si="230"/>
        <v>726</v>
      </c>
      <c r="CW70" s="9">
        <f t="shared" si="231"/>
        <v>2486.3013698630134</v>
      </c>
    </row>
    <row r="71" spans="1:101" x14ac:dyDescent="0.25">
      <c r="A71" s="4">
        <f t="shared" si="233"/>
        <v>3500</v>
      </c>
      <c r="B71">
        <v>0</v>
      </c>
      <c r="C71" s="9">
        <f t="shared" si="232"/>
        <v>0</v>
      </c>
      <c r="D71">
        <v>0</v>
      </c>
      <c r="E71" s="9">
        <f t="shared" si="229"/>
        <v>0</v>
      </c>
      <c r="F71">
        <v>0</v>
      </c>
      <c r="G71" s="9">
        <f t="shared" si="227"/>
        <v>0</v>
      </c>
      <c r="H71">
        <v>0</v>
      </c>
      <c r="I71" s="9">
        <v>0</v>
      </c>
      <c r="J71">
        <v>0</v>
      </c>
      <c r="K71" s="9">
        <v>0</v>
      </c>
      <c r="M71" s="4">
        <f t="shared" si="234"/>
        <v>3500</v>
      </c>
      <c r="N71">
        <v>0</v>
      </c>
      <c r="O71" s="9">
        <f t="shared" ref="O71:O74" si="241">PRODUCT(M71,N71,1/(N71+300))</f>
        <v>0</v>
      </c>
      <c r="P71">
        <v>0</v>
      </c>
      <c r="Q71" s="9">
        <f t="shared" ref="Q71" si="242">PRODUCT(M71,P71,1/(P71+300))</f>
        <v>0</v>
      </c>
      <c r="R71">
        <v>0</v>
      </c>
      <c r="S71" s="9">
        <f t="shared" ref="S71" si="243">PRODUCT(M71,R71,1/(R71+300))</f>
        <v>0</v>
      </c>
      <c r="T71">
        <v>0</v>
      </c>
      <c r="U71" s="9">
        <v>0</v>
      </c>
      <c r="V71">
        <v>0</v>
      </c>
      <c r="W71" s="9">
        <v>0</v>
      </c>
      <c r="Y71" s="4">
        <f t="shared" si="235"/>
        <v>3500</v>
      </c>
      <c r="Z71">
        <v>0</v>
      </c>
      <c r="AA71" s="9">
        <f t="shared" ref="AA71:AA74" si="244">PRODUCT(Y71,Z71,1/(Z71+300))</f>
        <v>0</v>
      </c>
      <c r="AB71">
        <v>0</v>
      </c>
      <c r="AC71" s="9">
        <f t="shared" ref="AC71" si="245">PRODUCT(Y71,AB71,1/(AB71+300))</f>
        <v>0</v>
      </c>
      <c r="AD71">
        <v>0</v>
      </c>
      <c r="AE71" s="9">
        <f t="shared" ref="AE71" si="246">PRODUCT(Y71,AD71,1/(AD71+300))</f>
        <v>0</v>
      </c>
      <c r="AF71">
        <v>0</v>
      </c>
      <c r="AG71" s="9">
        <v>0</v>
      </c>
      <c r="AH71">
        <v>0</v>
      </c>
      <c r="AI71" s="9">
        <v>0</v>
      </c>
      <c r="AK71" s="4">
        <f t="shared" si="236"/>
        <v>3500</v>
      </c>
      <c r="AL71">
        <f t="shared" si="188"/>
        <v>774</v>
      </c>
      <c r="AM71" s="9">
        <f t="shared" si="161"/>
        <v>2931.818181818182</v>
      </c>
      <c r="AN71">
        <f t="shared" si="189"/>
        <v>761</v>
      </c>
      <c r="AO71" s="9">
        <f t="shared" si="162"/>
        <v>2923.7102085620199</v>
      </c>
      <c r="AP71">
        <v>0</v>
      </c>
      <c r="AQ71" s="9">
        <f t="shared" si="174"/>
        <v>0</v>
      </c>
      <c r="AR71">
        <v>0</v>
      </c>
      <c r="AS71" s="9">
        <v>0</v>
      </c>
      <c r="AT71">
        <v>0</v>
      </c>
      <c r="AU71" s="9">
        <v>0</v>
      </c>
      <c r="AW71" s="4">
        <f t="shared" si="237"/>
        <v>3500</v>
      </c>
      <c r="AX71">
        <f t="shared" si="191"/>
        <v>674</v>
      </c>
      <c r="AY71" s="9">
        <f t="shared" si="163"/>
        <v>2862.8640776699026</v>
      </c>
      <c r="AZ71">
        <f t="shared" si="192"/>
        <v>661</v>
      </c>
      <c r="BA71" s="9">
        <f t="shared" si="164"/>
        <v>2852.6510480887791</v>
      </c>
      <c r="BB71">
        <f t="shared" si="193"/>
        <v>652</v>
      </c>
      <c r="BC71" s="9">
        <f t="shared" si="175"/>
        <v>2845.3865336658355</v>
      </c>
      <c r="BD71">
        <f t="shared" si="213"/>
        <v>645</v>
      </c>
      <c r="BE71" s="9">
        <f t="shared" si="205"/>
        <v>2839.6226415094338</v>
      </c>
      <c r="BF71">
        <v>0</v>
      </c>
      <c r="BG71" s="9">
        <v>0</v>
      </c>
      <c r="BI71" s="4">
        <f t="shared" si="238"/>
        <v>3500</v>
      </c>
      <c r="BJ71">
        <v>0</v>
      </c>
      <c r="BK71" s="9">
        <f t="shared" ref="BK71:BK74" si="247">PRODUCT(BI71,BJ71,1/(BJ71+300))</f>
        <v>0</v>
      </c>
      <c r="BL71">
        <v>0</v>
      </c>
      <c r="BM71" s="9">
        <f t="shared" ref="BM71" si="248">PRODUCT(BI71,BL71,1/(BL71+300))</f>
        <v>0</v>
      </c>
      <c r="BN71">
        <v>0</v>
      </c>
      <c r="BO71" s="9">
        <f t="shared" ref="BO71" si="249">PRODUCT(BI71,BN71,1/(BN71+300))</f>
        <v>0</v>
      </c>
      <c r="BP71">
        <v>0</v>
      </c>
      <c r="BQ71" s="9">
        <v>0</v>
      </c>
      <c r="BR71">
        <v>0</v>
      </c>
      <c r="BS71" s="9">
        <v>0</v>
      </c>
      <c r="BU71" s="4">
        <f t="shared" si="239"/>
        <v>3500</v>
      </c>
      <c r="BV71">
        <f t="shared" si="197"/>
        <v>774</v>
      </c>
      <c r="BW71" s="9">
        <f t="shared" si="167"/>
        <v>2931.818181818182</v>
      </c>
      <c r="BX71">
        <f t="shared" si="198"/>
        <v>761</v>
      </c>
      <c r="BY71" s="9">
        <f t="shared" si="168"/>
        <v>2923.7102085620199</v>
      </c>
      <c r="BZ71">
        <f t="shared" si="199"/>
        <v>752</v>
      </c>
      <c r="CA71" s="9">
        <f t="shared" si="177"/>
        <v>2917.960088691796</v>
      </c>
      <c r="CB71">
        <f t="shared" si="216"/>
        <v>745</v>
      </c>
      <c r="CC71" s="9">
        <f t="shared" si="207"/>
        <v>2913.4078212290501</v>
      </c>
      <c r="CD71">
        <f t="shared" si="223"/>
        <v>740</v>
      </c>
      <c r="CE71" s="9">
        <f t="shared" si="217"/>
        <v>2910.1123595505619</v>
      </c>
      <c r="CF71">
        <v>0</v>
      </c>
      <c r="CG71" s="9">
        <f t="shared" si="218"/>
        <v>0</v>
      </c>
      <c r="CI71" s="4">
        <f t="shared" si="240"/>
        <v>3500</v>
      </c>
      <c r="CJ71">
        <f t="shared" si="200"/>
        <v>724</v>
      </c>
      <c r="CK71" s="9">
        <f t="shared" si="169"/>
        <v>2899.3135011441645</v>
      </c>
      <c r="CL71">
        <f t="shared" si="201"/>
        <v>714</v>
      </c>
      <c r="CM71" s="9">
        <f t="shared" si="170"/>
        <v>2892.3611111111109</v>
      </c>
      <c r="CN71">
        <f t="shared" si="208"/>
        <v>706</v>
      </c>
      <c r="CO71" s="9">
        <f t="shared" si="178"/>
        <v>2886.6822429906538</v>
      </c>
      <c r="CP71">
        <f t="shared" si="219"/>
        <v>700</v>
      </c>
      <c r="CQ71" s="9">
        <f t="shared" si="209"/>
        <v>2882.3529411764703</v>
      </c>
      <c r="CR71">
        <f t="shared" si="225"/>
        <v>690</v>
      </c>
      <c r="CS71" s="9">
        <f t="shared" si="220"/>
        <v>2875.0000000000005</v>
      </c>
      <c r="CT71">
        <f t="shared" si="226"/>
        <v>694</v>
      </c>
      <c r="CU71" s="9">
        <f t="shared" si="221"/>
        <v>2877.9620853080569</v>
      </c>
      <c r="CV71">
        <f t="shared" si="230"/>
        <v>718</v>
      </c>
      <c r="CW71" s="9">
        <f t="shared" si="231"/>
        <v>2895.1612903225805</v>
      </c>
    </row>
    <row r="72" spans="1:101" x14ac:dyDescent="0.25">
      <c r="A72">
        <v>4000</v>
      </c>
      <c r="B72">
        <v>0</v>
      </c>
      <c r="C72" s="9">
        <f t="shared" si="232"/>
        <v>0</v>
      </c>
      <c r="D72">
        <v>0</v>
      </c>
      <c r="E72">
        <v>0</v>
      </c>
      <c r="F72">
        <v>0</v>
      </c>
      <c r="G72">
        <v>0</v>
      </c>
      <c r="H72">
        <v>0</v>
      </c>
      <c r="I72" s="9">
        <v>0</v>
      </c>
      <c r="J72">
        <v>0</v>
      </c>
      <c r="K72" s="9">
        <v>0</v>
      </c>
      <c r="M72">
        <v>4000</v>
      </c>
      <c r="N72">
        <v>0</v>
      </c>
      <c r="O72" s="9">
        <f t="shared" si="241"/>
        <v>0</v>
      </c>
      <c r="P72">
        <v>0</v>
      </c>
      <c r="Q72">
        <v>0</v>
      </c>
      <c r="R72">
        <v>0</v>
      </c>
      <c r="S72">
        <v>0</v>
      </c>
      <c r="T72">
        <v>0</v>
      </c>
      <c r="U72" s="9">
        <v>0</v>
      </c>
      <c r="V72">
        <v>0</v>
      </c>
      <c r="W72" s="9">
        <v>0</v>
      </c>
      <c r="Y72">
        <v>4000</v>
      </c>
      <c r="Z72">
        <v>0</v>
      </c>
      <c r="AA72" s="9">
        <f t="shared" si="244"/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s="9">
        <v>0</v>
      </c>
      <c r="AH72">
        <v>0</v>
      </c>
      <c r="AI72" s="9">
        <v>0</v>
      </c>
      <c r="AK72">
        <v>4000</v>
      </c>
      <c r="AL72">
        <v>0</v>
      </c>
      <c r="AM72" s="9">
        <f t="shared" ref="AM72:AM74" si="250">PRODUCT(AK72,AL72,1/(AL72+300))</f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s="9">
        <v>0</v>
      </c>
      <c r="AT72">
        <v>0</v>
      </c>
      <c r="AU72" s="9">
        <v>0</v>
      </c>
      <c r="AW72">
        <v>4000</v>
      </c>
      <c r="AX72">
        <f t="shared" si="191"/>
        <v>672</v>
      </c>
      <c r="AY72" s="9">
        <f t="shared" si="163"/>
        <v>3270.0729927007301</v>
      </c>
      <c r="AZ72">
        <f t="shared" si="192"/>
        <v>658</v>
      </c>
      <c r="BA72" s="9">
        <f t="shared" si="164"/>
        <v>3257.4257425742576</v>
      </c>
      <c r="BB72">
        <f t="shared" si="193"/>
        <v>648</v>
      </c>
      <c r="BC72" s="9">
        <f t="shared" si="175"/>
        <v>3248.1203007518793</v>
      </c>
      <c r="BD72">
        <f t="shared" si="213"/>
        <v>640</v>
      </c>
      <c r="BE72" s="9">
        <f t="shared" si="205"/>
        <v>3240.506329113924</v>
      </c>
      <c r="BF72">
        <v>0</v>
      </c>
      <c r="BG72" s="9">
        <v>0</v>
      </c>
      <c r="BI72">
        <v>4000</v>
      </c>
      <c r="BJ72">
        <v>0</v>
      </c>
      <c r="BK72" s="9">
        <f t="shared" si="247"/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 s="9">
        <v>0</v>
      </c>
      <c r="BR72">
        <v>0</v>
      </c>
      <c r="BS72" s="9">
        <v>0</v>
      </c>
      <c r="BU72">
        <v>4000</v>
      </c>
      <c r="BV72">
        <f t="shared" si="197"/>
        <v>772</v>
      </c>
      <c r="BW72" s="9">
        <f t="shared" si="167"/>
        <v>3349.2407809110632</v>
      </c>
      <c r="BX72">
        <f t="shared" si="198"/>
        <v>758</v>
      </c>
      <c r="BY72" s="9">
        <f t="shared" si="168"/>
        <v>3339.20704845815</v>
      </c>
      <c r="BZ72">
        <f t="shared" si="199"/>
        <v>748</v>
      </c>
      <c r="CA72" s="9">
        <f t="shared" si="177"/>
        <v>3331.8485523385298</v>
      </c>
      <c r="CB72">
        <f t="shared" si="216"/>
        <v>740</v>
      </c>
      <c r="CC72" s="9">
        <f t="shared" si="207"/>
        <v>3325.8426966292136</v>
      </c>
      <c r="CD72">
        <f t="shared" si="223"/>
        <v>734</v>
      </c>
      <c r="CE72" s="9">
        <f t="shared" si="217"/>
        <v>3321.2669683257923</v>
      </c>
      <c r="CF72">
        <v>0</v>
      </c>
      <c r="CG72" s="9">
        <f t="shared" si="218"/>
        <v>0</v>
      </c>
      <c r="CI72">
        <v>4000</v>
      </c>
      <c r="CJ72">
        <f t="shared" si="200"/>
        <v>722</v>
      </c>
      <c r="CK72" s="9">
        <f t="shared" si="169"/>
        <v>3311.9266055045873</v>
      </c>
      <c r="CL72">
        <f t="shared" si="201"/>
        <v>711</v>
      </c>
      <c r="CM72" s="9">
        <f t="shared" si="170"/>
        <v>3303.1358885017421</v>
      </c>
      <c r="CN72">
        <f t="shared" si="208"/>
        <v>702</v>
      </c>
      <c r="CO72" s="9">
        <f t="shared" si="178"/>
        <v>3295.7746478873241</v>
      </c>
      <c r="CP72">
        <f t="shared" si="219"/>
        <v>695</v>
      </c>
      <c r="CQ72" s="9">
        <f t="shared" si="209"/>
        <v>3289.9408284023671</v>
      </c>
      <c r="CR72">
        <f t="shared" si="225"/>
        <v>684</v>
      </c>
      <c r="CS72" s="9">
        <f t="shared" si="220"/>
        <v>3280.575539568345</v>
      </c>
      <c r="CT72">
        <f t="shared" si="226"/>
        <v>687</v>
      </c>
      <c r="CU72" s="9">
        <f t="shared" si="221"/>
        <v>3283.154121863799</v>
      </c>
      <c r="CV72">
        <f t="shared" si="230"/>
        <v>710</v>
      </c>
      <c r="CW72" s="9">
        <f t="shared" si="231"/>
        <v>3302.3255813953488</v>
      </c>
    </row>
    <row r="73" spans="1:101" x14ac:dyDescent="0.25">
      <c r="A73">
        <v>4500</v>
      </c>
      <c r="B73">
        <v>0</v>
      </c>
      <c r="C73" s="9">
        <f t="shared" si="232"/>
        <v>0</v>
      </c>
      <c r="D73">
        <v>0</v>
      </c>
      <c r="E73">
        <v>0</v>
      </c>
      <c r="F73">
        <v>0</v>
      </c>
      <c r="G73">
        <v>0</v>
      </c>
      <c r="H73">
        <v>0</v>
      </c>
      <c r="I73" s="9">
        <v>0</v>
      </c>
      <c r="J73">
        <v>0</v>
      </c>
      <c r="K73" s="9">
        <v>0</v>
      </c>
      <c r="M73">
        <v>4500</v>
      </c>
      <c r="N73">
        <v>0</v>
      </c>
      <c r="O73" s="9">
        <f t="shared" si="241"/>
        <v>0</v>
      </c>
      <c r="P73">
        <v>0</v>
      </c>
      <c r="Q73">
        <v>0</v>
      </c>
      <c r="R73">
        <v>0</v>
      </c>
      <c r="S73">
        <v>0</v>
      </c>
      <c r="T73">
        <v>0</v>
      </c>
      <c r="U73" s="9">
        <v>0</v>
      </c>
      <c r="V73">
        <v>0</v>
      </c>
      <c r="W73" s="9">
        <v>0</v>
      </c>
      <c r="Y73">
        <v>4500</v>
      </c>
      <c r="Z73">
        <v>0</v>
      </c>
      <c r="AA73" s="9">
        <f t="shared" si="244"/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9">
        <v>0</v>
      </c>
      <c r="AH73">
        <v>0</v>
      </c>
      <c r="AI73" s="9">
        <v>0</v>
      </c>
      <c r="AK73">
        <v>4500</v>
      </c>
      <c r="AL73">
        <v>0</v>
      </c>
      <c r="AM73" s="9">
        <f t="shared" si="250"/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s="9">
        <v>0</v>
      </c>
      <c r="AT73">
        <v>0</v>
      </c>
      <c r="AU73" s="9">
        <v>0</v>
      </c>
      <c r="AW73">
        <v>4500</v>
      </c>
      <c r="AX73">
        <f t="shared" si="191"/>
        <v>670</v>
      </c>
      <c r="AY73" s="9">
        <f t="shared" si="163"/>
        <v>3676.8292682926831</v>
      </c>
      <c r="AZ73">
        <f t="shared" si="192"/>
        <v>655</v>
      </c>
      <c r="BA73" s="9">
        <f t="shared" si="164"/>
        <v>3661.4906832298138</v>
      </c>
      <c r="BB73">
        <f t="shared" si="193"/>
        <v>644</v>
      </c>
      <c r="BC73" s="9">
        <f t="shared" si="175"/>
        <v>3649.874055415617</v>
      </c>
      <c r="BD73">
        <v>0</v>
      </c>
      <c r="BE73" s="9">
        <f t="shared" si="205"/>
        <v>0</v>
      </c>
      <c r="BF73">
        <v>0</v>
      </c>
      <c r="BG73" s="9">
        <v>0</v>
      </c>
      <c r="BI73">
        <v>4500</v>
      </c>
      <c r="BJ73">
        <v>0</v>
      </c>
      <c r="BK73" s="9">
        <f t="shared" si="247"/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 s="9">
        <v>0</v>
      </c>
      <c r="BR73">
        <v>0</v>
      </c>
      <c r="BS73" s="9">
        <v>0</v>
      </c>
      <c r="BU73">
        <v>4500</v>
      </c>
      <c r="BV73">
        <f t="shared" si="197"/>
        <v>770</v>
      </c>
      <c r="BW73" s="9">
        <f t="shared" si="167"/>
        <v>3766.304347826087</v>
      </c>
      <c r="BX73">
        <f t="shared" si="198"/>
        <v>755</v>
      </c>
      <c r="BY73" s="9">
        <f t="shared" si="168"/>
        <v>3754.1436464088401</v>
      </c>
      <c r="BZ73">
        <f t="shared" si="199"/>
        <v>744</v>
      </c>
      <c r="CA73" s="9">
        <f t="shared" si="177"/>
        <v>3744.9664429530199</v>
      </c>
      <c r="CB73">
        <f t="shared" si="216"/>
        <v>735</v>
      </c>
      <c r="CC73" s="9">
        <f t="shared" si="207"/>
        <v>3737.2881355932204</v>
      </c>
      <c r="CD73">
        <f t="shared" si="223"/>
        <v>728</v>
      </c>
      <c r="CE73" s="9">
        <f t="shared" si="217"/>
        <v>3731.2072892938495</v>
      </c>
      <c r="CF73">
        <v>0</v>
      </c>
      <c r="CG73" s="9">
        <f t="shared" si="218"/>
        <v>0</v>
      </c>
      <c r="CI73">
        <v>4500</v>
      </c>
      <c r="CJ73">
        <f t="shared" si="200"/>
        <v>720</v>
      </c>
      <c r="CK73" s="9">
        <f t="shared" si="169"/>
        <v>3724.1379310344828</v>
      </c>
      <c r="CL73">
        <f t="shared" si="201"/>
        <v>708</v>
      </c>
      <c r="CM73" s="9">
        <f t="shared" si="170"/>
        <v>3713.2867132867132</v>
      </c>
      <c r="CN73">
        <f t="shared" si="208"/>
        <v>698</v>
      </c>
      <c r="CO73" s="9">
        <f t="shared" si="178"/>
        <v>3704.0094339622642</v>
      </c>
      <c r="CP73">
        <f t="shared" si="219"/>
        <v>690</v>
      </c>
      <c r="CQ73" s="9">
        <f t="shared" si="209"/>
        <v>3696.4285714285716</v>
      </c>
      <c r="CR73">
        <f t="shared" si="225"/>
        <v>678</v>
      </c>
      <c r="CS73" s="9">
        <f t="shared" si="220"/>
        <v>3684.782608695652</v>
      </c>
      <c r="CT73">
        <f t="shared" si="226"/>
        <v>680</v>
      </c>
      <c r="CU73" s="9">
        <f t="shared" si="221"/>
        <v>3686.7469879518076</v>
      </c>
      <c r="CV73">
        <f t="shared" si="230"/>
        <v>702</v>
      </c>
      <c r="CW73" s="9">
        <f t="shared" si="231"/>
        <v>3707.7464788732395</v>
      </c>
    </row>
    <row r="74" spans="1:101" x14ac:dyDescent="0.25">
      <c r="A74">
        <v>5000</v>
      </c>
      <c r="B74">
        <v>0</v>
      </c>
      <c r="C74" s="9">
        <f t="shared" si="232"/>
        <v>0</v>
      </c>
      <c r="D74">
        <v>0</v>
      </c>
      <c r="E74">
        <v>0</v>
      </c>
      <c r="F74">
        <v>0</v>
      </c>
      <c r="G74">
        <v>0</v>
      </c>
      <c r="H74">
        <v>0</v>
      </c>
      <c r="I74" s="9">
        <v>0</v>
      </c>
      <c r="J74">
        <v>0</v>
      </c>
      <c r="K74" s="9">
        <v>0</v>
      </c>
      <c r="M74">
        <v>5000</v>
      </c>
      <c r="N74">
        <v>0</v>
      </c>
      <c r="O74" s="9">
        <f t="shared" si="241"/>
        <v>0</v>
      </c>
      <c r="P74">
        <v>0</v>
      </c>
      <c r="Q74">
        <v>0</v>
      </c>
      <c r="R74">
        <v>0</v>
      </c>
      <c r="S74">
        <v>0</v>
      </c>
      <c r="T74">
        <v>0</v>
      </c>
      <c r="U74" s="9">
        <v>0</v>
      </c>
      <c r="V74">
        <v>0</v>
      </c>
      <c r="W74" s="9">
        <v>0</v>
      </c>
      <c r="Y74">
        <v>5000</v>
      </c>
      <c r="Z74">
        <v>0</v>
      </c>
      <c r="AA74" s="9">
        <f t="shared" si="244"/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9">
        <v>0</v>
      </c>
      <c r="AH74">
        <v>0</v>
      </c>
      <c r="AI74" s="9">
        <v>0</v>
      </c>
      <c r="AK74">
        <v>5000</v>
      </c>
      <c r="AL74">
        <v>0</v>
      </c>
      <c r="AM74" s="9">
        <f t="shared" si="250"/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s="9">
        <v>0</v>
      </c>
      <c r="AT74">
        <v>0</v>
      </c>
      <c r="AU74" s="9">
        <v>0</v>
      </c>
      <c r="AW74">
        <v>5000</v>
      </c>
      <c r="AX74">
        <f t="shared" si="191"/>
        <v>668</v>
      </c>
      <c r="AY74" s="9">
        <f t="shared" si="163"/>
        <v>4083.1295843520784</v>
      </c>
      <c r="AZ74">
        <v>0</v>
      </c>
      <c r="BA74" s="9">
        <f t="shared" si="164"/>
        <v>0</v>
      </c>
      <c r="BB74">
        <v>0</v>
      </c>
      <c r="BC74">
        <v>0</v>
      </c>
      <c r="BD74">
        <v>0</v>
      </c>
      <c r="BE74" s="9">
        <v>0</v>
      </c>
      <c r="BF74">
        <v>0</v>
      </c>
      <c r="BG74" s="9">
        <v>0</v>
      </c>
      <c r="BI74">
        <v>5000</v>
      </c>
      <c r="BJ74">
        <v>0</v>
      </c>
      <c r="BK74" s="9">
        <f t="shared" si="247"/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 s="9">
        <v>0</v>
      </c>
      <c r="BR74">
        <v>0</v>
      </c>
      <c r="BS74" s="9">
        <v>0</v>
      </c>
      <c r="BU74">
        <v>5000</v>
      </c>
      <c r="BV74">
        <f t="shared" si="197"/>
        <v>768</v>
      </c>
      <c r="BW74" s="9">
        <f t="shared" si="167"/>
        <v>4183.006535947713</v>
      </c>
      <c r="BX74">
        <f t="shared" si="198"/>
        <v>752</v>
      </c>
      <c r="BY74" s="9">
        <f t="shared" si="168"/>
        <v>4168.5144124168519</v>
      </c>
      <c r="BZ74">
        <f t="shared" si="199"/>
        <v>740</v>
      </c>
      <c r="CA74" s="9">
        <f t="shared" si="177"/>
        <v>4157.303370786517</v>
      </c>
      <c r="CB74">
        <f t="shared" si="216"/>
        <v>730</v>
      </c>
      <c r="CC74" s="9">
        <f t="shared" si="207"/>
        <v>4147.727272727273</v>
      </c>
      <c r="CD74">
        <f t="shared" si="223"/>
        <v>722</v>
      </c>
      <c r="CE74" s="9">
        <f t="shared" si="217"/>
        <v>4139.9082568807344</v>
      </c>
      <c r="CF74">
        <v>0</v>
      </c>
      <c r="CG74" s="9">
        <f t="shared" si="218"/>
        <v>0</v>
      </c>
      <c r="CI74">
        <v>5000</v>
      </c>
      <c r="CJ74">
        <f t="shared" si="200"/>
        <v>718</v>
      </c>
      <c r="CK74" s="9">
        <f t="shared" si="169"/>
        <v>4135.9447004608292</v>
      </c>
      <c r="CL74">
        <f t="shared" si="201"/>
        <v>705</v>
      </c>
      <c r="CM74" s="9">
        <f t="shared" si="170"/>
        <v>4122.8070175438597</v>
      </c>
      <c r="CN74">
        <f t="shared" si="208"/>
        <v>694</v>
      </c>
      <c r="CO74" s="9">
        <f t="shared" si="178"/>
        <v>4111.3744075829391</v>
      </c>
      <c r="CP74">
        <f t="shared" si="219"/>
        <v>685</v>
      </c>
      <c r="CQ74" s="9">
        <f t="shared" si="209"/>
        <v>4101.7964071856286</v>
      </c>
      <c r="CR74">
        <f t="shared" si="225"/>
        <v>672</v>
      </c>
      <c r="CS74" s="9">
        <f t="shared" si="220"/>
        <v>4087.5912408759127</v>
      </c>
      <c r="CT74">
        <f t="shared" si="226"/>
        <v>673</v>
      </c>
      <c r="CU74" s="9">
        <f t="shared" si="221"/>
        <v>4088.6998784933166</v>
      </c>
      <c r="CV74">
        <f t="shared" si="230"/>
        <v>694</v>
      </c>
      <c r="CW74" s="9">
        <f t="shared" si="231"/>
        <v>4111.3744075829391</v>
      </c>
    </row>
    <row r="75" spans="1:101" x14ac:dyDescent="0.25">
      <c r="A75">
        <v>5500</v>
      </c>
      <c r="B75">
        <v>0</v>
      </c>
      <c r="C75" s="9">
        <v>0</v>
      </c>
      <c r="D75">
        <v>0</v>
      </c>
      <c r="E75">
        <v>0</v>
      </c>
      <c r="F75">
        <v>0</v>
      </c>
      <c r="G75">
        <v>0</v>
      </c>
      <c r="H75">
        <v>0</v>
      </c>
      <c r="I75" s="9">
        <v>0</v>
      </c>
      <c r="J75">
        <v>0</v>
      </c>
      <c r="K75" s="9">
        <v>0</v>
      </c>
      <c r="M75" s="9">
        <v>5500</v>
      </c>
      <c r="N75">
        <v>0</v>
      </c>
      <c r="O75" s="9">
        <v>0</v>
      </c>
      <c r="P75">
        <v>0</v>
      </c>
      <c r="Q75" s="9">
        <v>0</v>
      </c>
      <c r="R75">
        <v>0</v>
      </c>
      <c r="S75" s="9">
        <v>0</v>
      </c>
      <c r="T75">
        <v>0</v>
      </c>
      <c r="U75" s="9">
        <v>0</v>
      </c>
      <c r="V75">
        <v>0</v>
      </c>
      <c r="W75" s="9">
        <v>0</v>
      </c>
      <c r="Y75" s="9">
        <v>5500</v>
      </c>
      <c r="Z75">
        <v>0</v>
      </c>
      <c r="AA75" s="9">
        <v>0</v>
      </c>
      <c r="AB75">
        <v>0</v>
      </c>
      <c r="AC75" s="9">
        <v>0</v>
      </c>
      <c r="AD75">
        <v>0</v>
      </c>
      <c r="AE75" s="9">
        <v>0</v>
      </c>
      <c r="AF75">
        <v>0</v>
      </c>
      <c r="AG75" s="9">
        <v>0</v>
      </c>
      <c r="AH75">
        <v>0</v>
      </c>
      <c r="AI75" s="9">
        <v>0</v>
      </c>
      <c r="AK75" s="9">
        <v>5500</v>
      </c>
      <c r="AL75">
        <v>0</v>
      </c>
      <c r="AM75" s="9">
        <v>0</v>
      </c>
      <c r="AO75" s="9">
        <v>0</v>
      </c>
      <c r="AP75">
        <v>0</v>
      </c>
      <c r="AQ75" s="9">
        <v>0</v>
      </c>
      <c r="AR75">
        <v>0</v>
      </c>
      <c r="AS75" s="9">
        <v>0</v>
      </c>
      <c r="AT75">
        <v>0</v>
      </c>
      <c r="AU75" s="9">
        <v>0</v>
      </c>
      <c r="AW75" s="9">
        <v>5500</v>
      </c>
      <c r="AX75">
        <v>0</v>
      </c>
      <c r="AY75" s="9">
        <v>0</v>
      </c>
      <c r="AZ75">
        <v>0</v>
      </c>
      <c r="BA75" s="9">
        <v>0</v>
      </c>
      <c r="BB75">
        <v>0</v>
      </c>
      <c r="BC75" s="9">
        <v>0</v>
      </c>
      <c r="BD75">
        <v>0</v>
      </c>
      <c r="BE75" s="9">
        <v>0</v>
      </c>
      <c r="BF75">
        <v>0</v>
      </c>
      <c r="BG75" s="9">
        <v>0</v>
      </c>
      <c r="BI75" s="9">
        <v>5500</v>
      </c>
      <c r="BJ75">
        <v>0</v>
      </c>
      <c r="BK75" s="9">
        <v>0</v>
      </c>
      <c r="BL75">
        <v>0</v>
      </c>
      <c r="BM75" s="9">
        <v>0</v>
      </c>
      <c r="BN75">
        <v>0</v>
      </c>
      <c r="BO75" s="9">
        <v>0</v>
      </c>
      <c r="BP75">
        <v>0</v>
      </c>
      <c r="BQ75" s="9">
        <v>0</v>
      </c>
      <c r="BR75">
        <v>0</v>
      </c>
      <c r="BS75" s="9">
        <v>0</v>
      </c>
      <c r="BU75" s="9">
        <v>5500</v>
      </c>
      <c r="BV75">
        <f t="shared" si="197"/>
        <v>766</v>
      </c>
      <c r="BW75" s="9">
        <f t="shared" si="167"/>
        <v>4599.3449781659383</v>
      </c>
      <c r="BX75">
        <f t="shared" si="198"/>
        <v>749</v>
      </c>
      <c r="BY75" s="9">
        <f t="shared" si="168"/>
        <v>4582.3136818687426</v>
      </c>
      <c r="BZ75">
        <f t="shared" si="199"/>
        <v>736</v>
      </c>
      <c r="CA75" s="9">
        <f t="shared" si="177"/>
        <v>4568.8487584650111</v>
      </c>
      <c r="CB75">
        <f t="shared" si="216"/>
        <v>725</v>
      </c>
      <c r="CC75" s="9">
        <f t="shared" si="207"/>
        <v>4557.1428571428578</v>
      </c>
      <c r="CD75">
        <f t="shared" si="223"/>
        <v>716</v>
      </c>
      <c r="CE75" s="9">
        <f t="shared" si="217"/>
        <v>4547.344110854503</v>
      </c>
      <c r="CF75">
        <v>0</v>
      </c>
      <c r="CG75" s="9">
        <f t="shared" si="218"/>
        <v>0</v>
      </c>
      <c r="CI75" s="9">
        <v>5500</v>
      </c>
      <c r="CJ75">
        <f t="shared" si="200"/>
        <v>716</v>
      </c>
      <c r="CK75" s="9">
        <f t="shared" si="169"/>
        <v>4547.344110854503</v>
      </c>
      <c r="CL75">
        <f t="shared" si="201"/>
        <v>702</v>
      </c>
      <c r="CM75" s="9">
        <f t="shared" si="170"/>
        <v>4531.6901408450703</v>
      </c>
      <c r="CN75">
        <f t="shared" si="208"/>
        <v>690</v>
      </c>
      <c r="CO75" s="9">
        <f t="shared" si="178"/>
        <v>4517.8571428571431</v>
      </c>
      <c r="CP75">
        <f t="shared" si="219"/>
        <v>680</v>
      </c>
      <c r="CQ75" s="9">
        <f t="shared" si="209"/>
        <v>4506.0240963855422</v>
      </c>
      <c r="CR75">
        <f t="shared" si="225"/>
        <v>666</v>
      </c>
      <c r="CS75" s="9">
        <f t="shared" si="220"/>
        <v>4488.9705882352937</v>
      </c>
      <c r="CT75">
        <f t="shared" si="226"/>
        <v>666</v>
      </c>
      <c r="CU75" s="9">
        <f t="shared" si="221"/>
        <v>4488.9705882352937</v>
      </c>
      <c r="CV75">
        <f t="shared" si="230"/>
        <v>686</v>
      </c>
      <c r="CW75" s="9">
        <f t="shared" si="231"/>
        <v>4513.1578947368416</v>
      </c>
    </row>
    <row r="76" spans="1:101" x14ac:dyDescent="0.25">
      <c r="A76">
        <v>6000</v>
      </c>
      <c r="B76">
        <v>0</v>
      </c>
      <c r="C76" s="9">
        <v>0</v>
      </c>
      <c r="D76">
        <v>0</v>
      </c>
      <c r="E76">
        <v>0</v>
      </c>
      <c r="F76">
        <v>0</v>
      </c>
      <c r="G76">
        <v>0</v>
      </c>
      <c r="H76">
        <v>0</v>
      </c>
      <c r="I76" s="9">
        <v>0</v>
      </c>
      <c r="J76">
        <v>0</v>
      </c>
      <c r="K76" s="9">
        <v>0</v>
      </c>
      <c r="M76" s="9">
        <v>6000</v>
      </c>
      <c r="N76">
        <v>0</v>
      </c>
      <c r="O76" s="9">
        <v>0</v>
      </c>
      <c r="P76">
        <v>0</v>
      </c>
      <c r="Q76" s="9">
        <v>0</v>
      </c>
      <c r="R76">
        <v>0</v>
      </c>
      <c r="S76" s="9">
        <v>0</v>
      </c>
      <c r="T76">
        <v>0</v>
      </c>
      <c r="U76" s="9">
        <v>0</v>
      </c>
      <c r="V76">
        <v>0</v>
      </c>
      <c r="W76" s="9">
        <v>0</v>
      </c>
      <c r="Y76" s="9">
        <v>6000</v>
      </c>
      <c r="Z76">
        <v>0</v>
      </c>
      <c r="AA76" s="9">
        <v>0</v>
      </c>
      <c r="AB76">
        <v>0</v>
      </c>
      <c r="AC76" s="9">
        <v>0</v>
      </c>
      <c r="AD76">
        <v>0</v>
      </c>
      <c r="AE76" s="9">
        <v>0</v>
      </c>
      <c r="AF76">
        <v>0</v>
      </c>
      <c r="AG76" s="9">
        <v>0</v>
      </c>
      <c r="AH76">
        <v>0</v>
      </c>
      <c r="AI76" s="9">
        <v>0</v>
      </c>
      <c r="AK76" s="9">
        <v>6000</v>
      </c>
      <c r="AL76">
        <v>0</v>
      </c>
      <c r="AM76" s="9">
        <v>0</v>
      </c>
      <c r="AN76">
        <v>0</v>
      </c>
      <c r="AO76" s="9">
        <v>0</v>
      </c>
      <c r="AP76">
        <v>0</v>
      </c>
      <c r="AQ76" s="9">
        <v>0</v>
      </c>
      <c r="AR76">
        <v>0</v>
      </c>
      <c r="AS76" s="9">
        <v>0</v>
      </c>
      <c r="AT76">
        <v>0</v>
      </c>
      <c r="AU76" s="9">
        <v>0</v>
      </c>
      <c r="AW76" s="9">
        <v>6000</v>
      </c>
      <c r="AX76">
        <v>0</v>
      </c>
      <c r="AY76" s="9">
        <v>0</v>
      </c>
      <c r="AZ76">
        <v>0</v>
      </c>
      <c r="BA76" s="9">
        <v>0</v>
      </c>
      <c r="BB76">
        <v>0</v>
      </c>
      <c r="BC76" s="9">
        <v>0</v>
      </c>
      <c r="BD76">
        <v>0</v>
      </c>
      <c r="BE76" s="9">
        <v>0</v>
      </c>
      <c r="BF76">
        <v>0</v>
      </c>
      <c r="BG76" s="9">
        <v>0</v>
      </c>
      <c r="BI76" s="9">
        <v>6000</v>
      </c>
      <c r="BJ76">
        <v>0</v>
      </c>
      <c r="BK76" s="9">
        <v>0</v>
      </c>
      <c r="BL76">
        <v>0</v>
      </c>
      <c r="BM76" s="9">
        <v>0</v>
      </c>
      <c r="BN76">
        <v>0</v>
      </c>
      <c r="BO76" s="9">
        <v>0</v>
      </c>
      <c r="BP76">
        <v>0</v>
      </c>
      <c r="BQ76" s="9">
        <v>0</v>
      </c>
      <c r="BR76">
        <v>0</v>
      </c>
      <c r="BS76" s="9">
        <v>0</v>
      </c>
      <c r="BU76" s="9">
        <v>6000</v>
      </c>
      <c r="BV76">
        <f t="shared" si="197"/>
        <v>764</v>
      </c>
      <c r="BW76" s="9">
        <f t="shared" si="167"/>
        <v>5015.317286652079</v>
      </c>
      <c r="BX76">
        <f t="shared" si="198"/>
        <v>746</v>
      </c>
      <c r="BY76" s="9">
        <f t="shared" si="168"/>
        <v>4995.5357142857138</v>
      </c>
      <c r="BZ76">
        <f t="shared" si="199"/>
        <v>732</v>
      </c>
      <c r="CA76" s="9">
        <f t="shared" si="177"/>
        <v>4979.591836734694</v>
      </c>
      <c r="CB76">
        <f t="shared" si="216"/>
        <v>720</v>
      </c>
      <c r="CC76" s="9">
        <f t="shared" si="207"/>
        <v>4965.5172413793107</v>
      </c>
      <c r="CD76">
        <v>0</v>
      </c>
      <c r="CE76" s="9">
        <f t="shared" si="217"/>
        <v>0</v>
      </c>
      <c r="CF76">
        <v>0</v>
      </c>
      <c r="CG76" s="9">
        <f t="shared" si="218"/>
        <v>0</v>
      </c>
      <c r="CI76" s="9">
        <v>6000</v>
      </c>
      <c r="CJ76">
        <f t="shared" si="200"/>
        <v>714</v>
      </c>
      <c r="CK76" s="9">
        <f t="shared" si="169"/>
        <v>4958.333333333333</v>
      </c>
      <c r="CL76">
        <f t="shared" si="201"/>
        <v>699</v>
      </c>
      <c r="CM76" s="9">
        <f t="shared" si="170"/>
        <v>4939.9293286219081</v>
      </c>
      <c r="CN76">
        <f t="shared" si="208"/>
        <v>686</v>
      </c>
      <c r="CO76" s="9">
        <f t="shared" si="178"/>
        <v>4923.4449760765547</v>
      </c>
      <c r="CP76">
        <f t="shared" si="219"/>
        <v>675</v>
      </c>
      <c r="CQ76" s="9">
        <f t="shared" si="209"/>
        <v>4909.090909090909</v>
      </c>
      <c r="CR76">
        <f t="shared" si="225"/>
        <v>660</v>
      </c>
      <c r="CS76" s="9">
        <f t="shared" si="220"/>
        <v>4888.8888888888887</v>
      </c>
      <c r="CT76">
        <f t="shared" si="226"/>
        <v>659</v>
      </c>
      <c r="CU76" s="9">
        <f t="shared" si="221"/>
        <v>4887.5154511742885</v>
      </c>
      <c r="CV76">
        <f t="shared" si="230"/>
        <v>678</v>
      </c>
      <c r="CW76" s="9">
        <f t="shared" si="231"/>
        <v>4913.0434782608691</v>
      </c>
    </row>
    <row r="77" spans="1:101" x14ac:dyDescent="0.25">
      <c r="A77">
        <v>6500</v>
      </c>
      <c r="B77">
        <v>0</v>
      </c>
      <c r="C77" s="9">
        <v>0</v>
      </c>
      <c r="D77">
        <v>0</v>
      </c>
      <c r="E77">
        <v>0</v>
      </c>
      <c r="F77">
        <v>0</v>
      </c>
      <c r="G77">
        <v>0</v>
      </c>
      <c r="H77">
        <v>0</v>
      </c>
      <c r="I77" s="9">
        <v>0</v>
      </c>
      <c r="J77">
        <v>0</v>
      </c>
      <c r="K77" s="9">
        <v>0</v>
      </c>
      <c r="M77" s="9">
        <v>6500</v>
      </c>
      <c r="N77">
        <v>0</v>
      </c>
      <c r="O77" s="9">
        <v>0</v>
      </c>
      <c r="P77">
        <v>0</v>
      </c>
      <c r="Q77" s="9">
        <v>0</v>
      </c>
      <c r="R77">
        <v>0</v>
      </c>
      <c r="S77" s="9">
        <v>0</v>
      </c>
      <c r="T77">
        <v>0</v>
      </c>
      <c r="U77" s="9">
        <v>0</v>
      </c>
      <c r="V77">
        <v>0</v>
      </c>
      <c r="W77" s="9">
        <v>0</v>
      </c>
      <c r="Y77" s="9">
        <v>6500</v>
      </c>
      <c r="Z77">
        <v>0</v>
      </c>
      <c r="AA77" s="9">
        <v>0</v>
      </c>
      <c r="AB77">
        <v>0</v>
      </c>
      <c r="AC77" s="9">
        <v>0</v>
      </c>
      <c r="AD77">
        <v>0</v>
      </c>
      <c r="AE77" s="9">
        <v>0</v>
      </c>
      <c r="AF77">
        <v>0</v>
      </c>
      <c r="AG77" s="9">
        <v>0</v>
      </c>
      <c r="AH77">
        <v>0</v>
      </c>
      <c r="AI77" s="9">
        <v>0</v>
      </c>
      <c r="AK77" s="9">
        <v>6500</v>
      </c>
      <c r="AL77">
        <v>0</v>
      </c>
      <c r="AM77" s="9">
        <v>0</v>
      </c>
      <c r="AN77">
        <v>0</v>
      </c>
      <c r="AO77" s="9">
        <v>0</v>
      </c>
      <c r="AP77">
        <v>0</v>
      </c>
      <c r="AQ77" s="9">
        <v>0</v>
      </c>
      <c r="AR77">
        <v>0</v>
      </c>
      <c r="AS77" s="9">
        <v>0</v>
      </c>
      <c r="AT77">
        <v>0</v>
      </c>
      <c r="AU77" s="9">
        <v>0</v>
      </c>
      <c r="AW77" s="9">
        <v>6500</v>
      </c>
      <c r="AX77">
        <v>0</v>
      </c>
      <c r="AY77" s="9">
        <v>0</v>
      </c>
      <c r="AZ77">
        <v>0</v>
      </c>
      <c r="BA77" s="9">
        <v>0</v>
      </c>
      <c r="BB77">
        <v>0</v>
      </c>
      <c r="BC77" s="9">
        <v>0</v>
      </c>
      <c r="BD77">
        <v>0</v>
      </c>
      <c r="BE77" s="9">
        <v>0</v>
      </c>
      <c r="BF77">
        <v>0</v>
      </c>
      <c r="BG77" s="9">
        <v>0</v>
      </c>
      <c r="BI77" s="9">
        <v>6500</v>
      </c>
      <c r="BJ77">
        <v>0</v>
      </c>
      <c r="BK77" s="9">
        <v>0</v>
      </c>
      <c r="BL77">
        <v>0</v>
      </c>
      <c r="BM77" s="9">
        <v>0</v>
      </c>
      <c r="BN77">
        <v>0</v>
      </c>
      <c r="BO77" s="9">
        <v>0</v>
      </c>
      <c r="BP77">
        <v>0</v>
      </c>
      <c r="BQ77" s="9">
        <v>0</v>
      </c>
      <c r="BR77">
        <v>0</v>
      </c>
      <c r="BS77" s="9">
        <v>0</v>
      </c>
      <c r="BU77" s="9">
        <v>6500</v>
      </c>
      <c r="BV77">
        <f t="shared" si="197"/>
        <v>762</v>
      </c>
      <c r="BW77" s="9">
        <f t="shared" si="167"/>
        <v>5430.9210526315783</v>
      </c>
      <c r="BX77">
        <f t="shared" si="198"/>
        <v>743</v>
      </c>
      <c r="BY77" s="9">
        <f t="shared" si="168"/>
        <v>5408.1746920492724</v>
      </c>
      <c r="BZ77">
        <f t="shared" si="199"/>
        <v>728</v>
      </c>
      <c r="CA77" s="9">
        <f t="shared" si="177"/>
        <v>5389.5216400911158</v>
      </c>
      <c r="CB77">
        <f t="shared" si="216"/>
        <v>715</v>
      </c>
      <c r="CC77" s="9">
        <f t="shared" si="207"/>
        <v>5372.8323699421971</v>
      </c>
      <c r="CD77">
        <v>0</v>
      </c>
      <c r="CE77" s="9">
        <f t="shared" si="217"/>
        <v>0</v>
      </c>
      <c r="CF77">
        <v>0</v>
      </c>
      <c r="CG77" s="9">
        <f t="shared" si="218"/>
        <v>0</v>
      </c>
      <c r="CI77" s="9">
        <v>6500</v>
      </c>
      <c r="CJ77">
        <f t="shared" si="200"/>
        <v>712</v>
      </c>
      <c r="CK77" s="9">
        <f t="shared" si="169"/>
        <v>5368.9095127610208</v>
      </c>
      <c r="CL77">
        <f t="shared" si="201"/>
        <v>696</v>
      </c>
      <c r="CM77" s="9">
        <f t="shared" si="170"/>
        <v>5347.5177304964536</v>
      </c>
      <c r="CN77">
        <f t="shared" si="208"/>
        <v>682</v>
      </c>
      <c r="CO77" s="9">
        <f t="shared" si="178"/>
        <v>5328.125</v>
      </c>
      <c r="CP77">
        <f t="shared" si="219"/>
        <v>670</v>
      </c>
      <c r="CQ77" s="9">
        <f t="shared" si="209"/>
        <v>5310.9756097560976</v>
      </c>
      <c r="CR77">
        <f t="shared" si="225"/>
        <v>654</v>
      </c>
      <c r="CS77" s="9">
        <f t="shared" si="220"/>
        <v>5287.313432835821</v>
      </c>
      <c r="CT77">
        <f t="shared" si="226"/>
        <v>652</v>
      </c>
      <c r="CU77" s="9">
        <f t="shared" si="221"/>
        <v>5284.2892768079801</v>
      </c>
      <c r="CV77">
        <f t="shared" si="230"/>
        <v>670</v>
      </c>
      <c r="CW77" s="9">
        <f t="shared" si="231"/>
        <v>5310.9756097560976</v>
      </c>
    </row>
    <row r="78" spans="1:101" x14ac:dyDescent="0.25">
      <c r="A78">
        <v>7000</v>
      </c>
      <c r="B78">
        <v>0</v>
      </c>
      <c r="C78" s="9">
        <v>0</v>
      </c>
      <c r="D78">
        <v>0</v>
      </c>
      <c r="E78">
        <v>0</v>
      </c>
      <c r="F78">
        <v>0</v>
      </c>
      <c r="G78">
        <v>0</v>
      </c>
      <c r="H78">
        <v>0</v>
      </c>
      <c r="I78" s="9">
        <v>0</v>
      </c>
      <c r="J78">
        <v>0</v>
      </c>
      <c r="K78" s="9">
        <v>0</v>
      </c>
      <c r="M78" s="9">
        <v>7000</v>
      </c>
      <c r="N78">
        <v>0</v>
      </c>
      <c r="O78" s="9">
        <v>0</v>
      </c>
      <c r="P78">
        <v>0</v>
      </c>
      <c r="Q78" s="9">
        <v>0</v>
      </c>
      <c r="R78">
        <v>0</v>
      </c>
      <c r="S78" s="9">
        <v>0</v>
      </c>
      <c r="T78">
        <v>0</v>
      </c>
      <c r="U78" s="9">
        <v>0</v>
      </c>
      <c r="V78">
        <v>0</v>
      </c>
      <c r="W78" s="9">
        <v>0</v>
      </c>
      <c r="Y78" s="9">
        <v>7000</v>
      </c>
      <c r="Z78">
        <v>0</v>
      </c>
      <c r="AA78" s="9">
        <v>0</v>
      </c>
      <c r="AB78">
        <v>0</v>
      </c>
      <c r="AC78" s="9">
        <v>0</v>
      </c>
      <c r="AD78">
        <v>0</v>
      </c>
      <c r="AE78" s="9">
        <v>0</v>
      </c>
      <c r="AF78">
        <v>0</v>
      </c>
      <c r="AG78" s="9">
        <v>0</v>
      </c>
      <c r="AH78">
        <v>0</v>
      </c>
      <c r="AI78" s="9">
        <v>0</v>
      </c>
      <c r="AK78" s="9">
        <v>7000</v>
      </c>
      <c r="AL78">
        <v>0</v>
      </c>
      <c r="AM78" s="9">
        <v>0</v>
      </c>
      <c r="AN78">
        <v>0</v>
      </c>
      <c r="AO78" s="9">
        <v>0</v>
      </c>
      <c r="AP78">
        <v>0</v>
      </c>
      <c r="AQ78" s="9">
        <v>0</v>
      </c>
      <c r="AR78">
        <v>0</v>
      </c>
      <c r="AS78" s="9">
        <v>0</v>
      </c>
      <c r="AT78">
        <v>0</v>
      </c>
      <c r="AU78" s="9">
        <v>0</v>
      </c>
      <c r="AW78" s="9">
        <v>7000</v>
      </c>
      <c r="AX78">
        <v>0</v>
      </c>
      <c r="AY78" s="9">
        <v>0</v>
      </c>
      <c r="AZ78">
        <v>0</v>
      </c>
      <c r="BA78" s="9">
        <v>0</v>
      </c>
      <c r="BB78">
        <v>0</v>
      </c>
      <c r="BC78" s="9">
        <v>0</v>
      </c>
      <c r="BD78">
        <v>0</v>
      </c>
      <c r="BE78" s="9">
        <v>0</v>
      </c>
      <c r="BF78">
        <v>0</v>
      </c>
      <c r="BG78" s="9">
        <v>0</v>
      </c>
      <c r="BI78" s="9">
        <v>7000</v>
      </c>
      <c r="BJ78">
        <v>0</v>
      </c>
      <c r="BK78" s="9">
        <v>0</v>
      </c>
      <c r="BL78">
        <v>0</v>
      </c>
      <c r="BM78" s="9">
        <v>0</v>
      </c>
      <c r="BN78">
        <v>0</v>
      </c>
      <c r="BO78" s="9">
        <v>0</v>
      </c>
      <c r="BP78">
        <v>0</v>
      </c>
      <c r="BQ78" s="9">
        <v>0</v>
      </c>
      <c r="BR78">
        <v>0</v>
      </c>
      <c r="BS78" s="9">
        <v>0</v>
      </c>
      <c r="BU78" s="9">
        <v>7000</v>
      </c>
      <c r="BV78">
        <f t="shared" si="197"/>
        <v>760</v>
      </c>
      <c r="BW78" s="9">
        <f t="shared" si="167"/>
        <v>5846.1538461538457</v>
      </c>
      <c r="BX78">
        <f t="shared" si="198"/>
        <v>740</v>
      </c>
      <c r="BY78" s="9">
        <f t="shared" si="168"/>
        <v>5820.2247191011238</v>
      </c>
      <c r="BZ78">
        <f t="shared" si="199"/>
        <v>724</v>
      </c>
      <c r="CA78" s="9">
        <f t="shared" si="177"/>
        <v>5798.6270022883291</v>
      </c>
      <c r="CB78">
        <f t="shared" si="216"/>
        <v>710</v>
      </c>
      <c r="CC78" s="9">
        <f t="shared" si="207"/>
        <v>5779.0697674418607</v>
      </c>
      <c r="CD78">
        <v>0</v>
      </c>
      <c r="CE78" s="9">
        <f t="shared" si="217"/>
        <v>0</v>
      </c>
      <c r="CF78">
        <v>0</v>
      </c>
      <c r="CG78" s="9">
        <f t="shared" si="218"/>
        <v>0</v>
      </c>
      <c r="CI78" s="9">
        <v>7000</v>
      </c>
      <c r="CJ78">
        <f t="shared" si="200"/>
        <v>710</v>
      </c>
      <c r="CK78" s="9">
        <f t="shared" si="169"/>
        <v>5779.0697674418607</v>
      </c>
      <c r="CL78">
        <f t="shared" si="201"/>
        <v>693</v>
      </c>
      <c r="CM78" s="9">
        <f t="shared" si="170"/>
        <v>5754.4483985765128</v>
      </c>
      <c r="CN78">
        <f t="shared" si="208"/>
        <v>678</v>
      </c>
      <c r="CO78" s="9">
        <f t="shared" si="178"/>
        <v>5731.884057971014</v>
      </c>
      <c r="CP78">
        <f t="shared" si="219"/>
        <v>665</v>
      </c>
      <c r="CQ78" s="9">
        <f t="shared" si="209"/>
        <v>5711.6564417177915</v>
      </c>
      <c r="CR78">
        <f t="shared" si="225"/>
        <v>648</v>
      </c>
      <c r="CS78" s="9">
        <f t="shared" si="220"/>
        <v>5684.2105263157891</v>
      </c>
      <c r="CT78">
        <f t="shared" si="226"/>
        <v>645</v>
      </c>
      <c r="CU78" s="9">
        <f t="shared" si="221"/>
        <v>5679.2452830188677</v>
      </c>
      <c r="CV78">
        <f t="shared" si="230"/>
        <v>662</v>
      </c>
      <c r="CW78" s="9">
        <f t="shared" si="231"/>
        <v>5706.8965517241377</v>
      </c>
    </row>
    <row r="79" spans="1:101" x14ac:dyDescent="0.25">
      <c r="A79">
        <v>7500</v>
      </c>
      <c r="B79">
        <v>0</v>
      </c>
      <c r="C79" s="9">
        <v>0</v>
      </c>
      <c r="D79">
        <v>0</v>
      </c>
      <c r="E79" s="9">
        <v>0</v>
      </c>
      <c r="F79">
        <v>0</v>
      </c>
      <c r="G79" s="9">
        <v>0</v>
      </c>
      <c r="H79">
        <v>0</v>
      </c>
      <c r="I79" s="9">
        <v>0</v>
      </c>
      <c r="J79">
        <v>0</v>
      </c>
      <c r="K79" s="9">
        <v>0</v>
      </c>
      <c r="M79">
        <v>7500</v>
      </c>
      <c r="N79">
        <v>0</v>
      </c>
      <c r="O79" s="9">
        <v>0</v>
      </c>
      <c r="P79">
        <v>0</v>
      </c>
      <c r="Q79" s="9">
        <v>0</v>
      </c>
      <c r="R79">
        <v>0</v>
      </c>
      <c r="S79" s="9">
        <v>0</v>
      </c>
      <c r="T79">
        <v>0</v>
      </c>
      <c r="U79" s="9">
        <v>0</v>
      </c>
      <c r="V79">
        <v>0</v>
      </c>
      <c r="W79" s="9">
        <v>0</v>
      </c>
      <c r="Y79">
        <v>7500</v>
      </c>
      <c r="Z79">
        <v>0</v>
      </c>
      <c r="AA79" s="9">
        <v>0</v>
      </c>
      <c r="AB79">
        <v>0</v>
      </c>
      <c r="AC79" s="9">
        <v>0</v>
      </c>
      <c r="AD79">
        <v>0</v>
      </c>
      <c r="AE79" s="9">
        <v>0</v>
      </c>
      <c r="AF79">
        <v>0</v>
      </c>
      <c r="AG79" s="9">
        <v>0</v>
      </c>
      <c r="AH79">
        <v>0</v>
      </c>
      <c r="AI79" s="9">
        <v>0</v>
      </c>
      <c r="AK79">
        <v>7500</v>
      </c>
      <c r="AL79">
        <v>0</v>
      </c>
      <c r="AM79" s="9">
        <v>0</v>
      </c>
      <c r="AN79">
        <v>0</v>
      </c>
      <c r="AO79" s="9">
        <v>0</v>
      </c>
      <c r="AP79">
        <v>0</v>
      </c>
      <c r="AQ79" s="9">
        <v>0</v>
      </c>
      <c r="AR79">
        <v>0</v>
      </c>
      <c r="AS79" s="9">
        <v>0</v>
      </c>
      <c r="AT79">
        <v>0</v>
      </c>
      <c r="AU79" s="9">
        <v>0</v>
      </c>
      <c r="AW79">
        <v>7500</v>
      </c>
      <c r="AX79">
        <v>0</v>
      </c>
      <c r="AY79" s="9">
        <v>0</v>
      </c>
      <c r="AZ79">
        <v>0</v>
      </c>
      <c r="BA79" s="9">
        <v>0</v>
      </c>
      <c r="BB79">
        <v>0</v>
      </c>
      <c r="BC79" s="9">
        <v>0</v>
      </c>
      <c r="BD79">
        <v>0</v>
      </c>
      <c r="BE79" s="9">
        <v>0</v>
      </c>
      <c r="BF79">
        <v>0</v>
      </c>
      <c r="BG79" s="9">
        <v>0</v>
      </c>
      <c r="BI79">
        <v>7500</v>
      </c>
      <c r="BJ79">
        <v>0</v>
      </c>
      <c r="BK79" s="9">
        <v>0</v>
      </c>
      <c r="BL79">
        <v>0</v>
      </c>
      <c r="BM79" s="9">
        <v>0</v>
      </c>
      <c r="BN79">
        <v>0</v>
      </c>
      <c r="BO79" s="9">
        <v>0</v>
      </c>
      <c r="BP79">
        <v>0</v>
      </c>
      <c r="BQ79" s="9">
        <v>0</v>
      </c>
      <c r="BR79">
        <v>0</v>
      </c>
      <c r="BS79" s="9">
        <v>0</v>
      </c>
      <c r="BU79">
        <v>7500</v>
      </c>
      <c r="BV79">
        <f t="shared" si="197"/>
        <v>758</v>
      </c>
      <c r="BW79" s="9">
        <f t="shared" si="167"/>
        <v>6261.0132158590313</v>
      </c>
      <c r="BX79">
        <v>0</v>
      </c>
      <c r="BY79" s="9">
        <f t="shared" si="168"/>
        <v>0</v>
      </c>
      <c r="BZ79">
        <v>0</v>
      </c>
      <c r="CA79" s="9">
        <f t="shared" si="177"/>
        <v>0</v>
      </c>
      <c r="CB79">
        <v>0</v>
      </c>
      <c r="CC79" s="9">
        <v>0</v>
      </c>
      <c r="CD79">
        <v>0</v>
      </c>
      <c r="CE79" s="9">
        <v>0</v>
      </c>
      <c r="CF79">
        <v>0</v>
      </c>
      <c r="CG79" s="9">
        <f t="shared" si="218"/>
        <v>0</v>
      </c>
      <c r="CI79">
        <v>7500</v>
      </c>
      <c r="CJ79">
        <f t="shared" si="200"/>
        <v>708</v>
      </c>
      <c r="CK79" s="9">
        <f t="shared" si="169"/>
        <v>6188.8111888111889</v>
      </c>
      <c r="CL79">
        <f t="shared" si="201"/>
        <v>690</v>
      </c>
      <c r="CM79" s="9">
        <f t="shared" si="170"/>
        <v>6160.7142857142862</v>
      </c>
      <c r="CN79">
        <f t="shared" si="208"/>
        <v>674</v>
      </c>
      <c r="CO79" s="9">
        <f t="shared" si="178"/>
        <v>6134.7087378640772</v>
      </c>
      <c r="CP79">
        <f t="shared" si="219"/>
        <v>660</v>
      </c>
      <c r="CQ79" s="9">
        <f t="shared" si="209"/>
        <v>6111.1111111111113</v>
      </c>
      <c r="CR79">
        <f t="shared" si="225"/>
        <v>642</v>
      </c>
      <c r="CS79" s="9">
        <f t="shared" si="220"/>
        <v>6079.545454545455</v>
      </c>
      <c r="CT79">
        <f t="shared" si="226"/>
        <v>638</v>
      </c>
      <c r="CU79" s="9">
        <f t="shared" si="221"/>
        <v>6072.3350253807102</v>
      </c>
      <c r="CV79">
        <f t="shared" si="230"/>
        <v>654</v>
      </c>
      <c r="CW79" s="9">
        <f t="shared" si="231"/>
        <v>6100.746268656716</v>
      </c>
    </row>
    <row r="80" spans="1:101" x14ac:dyDescent="0.25">
      <c r="A80">
        <v>8000</v>
      </c>
      <c r="B80">
        <v>0</v>
      </c>
      <c r="C80" s="9">
        <v>0</v>
      </c>
      <c r="D80">
        <v>0</v>
      </c>
      <c r="E80" s="9">
        <v>0</v>
      </c>
      <c r="F80">
        <v>0</v>
      </c>
      <c r="G80" s="9">
        <v>0</v>
      </c>
      <c r="H80">
        <v>0</v>
      </c>
      <c r="I80" s="9">
        <v>0</v>
      </c>
      <c r="J80">
        <v>0</v>
      </c>
      <c r="K80" s="9">
        <v>0</v>
      </c>
      <c r="M80">
        <v>8000</v>
      </c>
      <c r="N80">
        <v>0</v>
      </c>
      <c r="O80" s="9">
        <v>0</v>
      </c>
      <c r="P80">
        <v>0</v>
      </c>
      <c r="Q80" s="9">
        <v>0</v>
      </c>
      <c r="R80">
        <v>0</v>
      </c>
      <c r="S80" s="9">
        <v>0</v>
      </c>
      <c r="T80">
        <v>0</v>
      </c>
      <c r="U80" s="9">
        <v>0</v>
      </c>
      <c r="V80">
        <v>0</v>
      </c>
      <c r="W80" s="9">
        <v>0</v>
      </c>
      <c r="Y80">
        <v>8000</v>
      </c>
      <c r="Z80">
        <v>0</v>
      </c>
      <c r="AA80" s="9">
        <v>0</v>
      </c>
      <c r="AB80">
        <v>0</v>
      </c>
      <c r="AC80" s="9">
        <v>0</v>
      </c>
      <c r="AD80">
        <v>0</v>
      </c>
      <c r="AE80" s="9">
        <v>0</v>
      </c>
      <c r="AF80">
        <v>0</v>
      </c>
      <c r="AG80" s="9">
        <v>0</v>
      </c>
      <c r="AH80">
        <v>0</v>
      </c>
      <c r="AI80" s="9">
        <v>0</v>
      </c>
      <c r="AK80">
        <v>8000</v>
      </c>
      <c r="AL80">
        <v>0</v>
      </c>
      <c r="AM80" s="9">
        <v>0</v>
      </c>
      <c r="AN80">
        <v>0</v>
      </c>
      <c r="AO80" s="9">
        <v>0</v>
      </c>
      <c r="AP80">
        <v>0</v>
      </c>
      <c r="AQ80" s="9">
        <v>0</v>
      </c>
      <c r="AR80">
        <v>0</v>
      </c>
      <c r="AS80" s="9">
        <v>0</v>
      </c>
      <c r="AT80">
        <v>0</v>
      </c>
      <c r="AU80" s="9">
        <v>0</v>
      </c>
      <c r="AW80">
        <v>8000</v>
      </c>
      <c r="AX80">
        <v>0</v>
      </c>
      <c r="AY80" s="9">
        <v>0</v>
      </c>
      <c r="AZ80">
        <v>0</v>
      </c>
      <c r="BA80" s="9">
        <v>0</v>
      </c>
      <c r="BB80">
        <v>0</v>
      </c>
      <c r="BC80" s="9">
        <v>0</v>
      </c>
      <c r="BD80">
        <v>0</v>
      </c>
      <c r="BE80" s="9">
        <v>0</v>
      </c>
      <c r="BF80">
        <v>0</v>
      </c>
      <c r="BG80" s="9">
        <v>0</v>
      </c>
      <c r="BI80">
        <v>8000</v>
      </c>
      <c r="BJ80">
        <v>0</v>
      </c>
      <c r="BK80" s="9">
        <v>0</v>
      </c>
      <c r="BL80">
        <v>0</v>
      </c>
      <c r="BM80" s="9">
        <v>0</v>
      </c>
      <c r="BN80">
        <v>0</v>
      </c>
      <c r="BO80" s="9">
        <v>0</v>
      </c>
      <c r="BP80">
        <v>0</v>
      </c>
      <c r="BQ80" s="9">
        <v>0</v>
      </c>
      <c r="BR80">
        <v>0</v>
      </c>
      <c r="BS80" s="9">
        <v>0</v>
      </c>
      <c r="BU80">
        <v>8000</v>
      </c>
      <c r="BV80">
        <v>0</v>
      </c>
      <c r="BW80" s="9">
        <f>PRODUCT(BU80,BV80,1/(BV80+150))</f>
        <v>0</v>
      </c>
      <c r="BX80">
        <v>0</v>
      </c>
      <c r="BY80" s="9">
        <v>0</v>
      </c>
      <c r="BZ80">
        <v>0</v>
      </c>
      <c r="CA80" s="9">
        <v>0</v>
      </c>
      <c r="CB80">
        <v>0</v>
      </c>
      <c r="CC80" s="9">
        <v>0</v>
      </c>
      <c r="CD80">
        <v>0</v>
      </c>
      <c r="CE80" s="9">
        <v>0</v>
      </c>
      <c r="CF80">
        <v>0</v>
      </c>
      <c r="CG80" s="9">
        <f t="shared" si="218"/>
        <v>0</v>
      </c>
      <c r="CI80">
        <v>8000</v>
      </c>
      <c r="CJ80">
        <f t="shared" si="200"/>
        <v>706</v>
      </c>
      <c r="CK80" s="9">
        <f t="shared" si="169"/>
        <v>6598.130841121495</v>
      </c>
      <c r="CL80">
        <f t="shared" si="201"/>
        <v>687</v>
      </c>
      <c r="CM80" s="9">
        <f t="shared" si="170"/>
        <v>6566.308243727598</v>
      </c>
      <c r="CN80">
        <f t="shared" si="208"/>
        <v>670</v>
      </c>
      <c r="CO80" s="9">
        <f t="shared" si="178"/>
        <v>6536.5853658536589</v>
      </c>
      <c r="CP80">
        <f t="shared" si="219"/>
        <v>655</v>
      </c>
      <c r="CQ80" s="9">
        <f t="shared" si="209"/>
        <v>6509.3167701863358</v>
      </c>
      <c r="CR80">
        <f t="shared" si="225"/>
        <v>636</v>
      </c>
      <c r="CS80" s="9">
        <f t="shared" si="220"/>
        <v>6473.2824427480919</v>
      </c>
      <c r="CT80">
        <f t="shared" si="226"/>
        <v>631</v>
      </c>
      <c r="CU80" s="9">
        <f t="shared" si="221"/>
        <v>6463.5083226632523</v>
      </c>
      <c r="CV80">
        <f t="shared" si="230"/>
        <v>646</v>
      </c>
      <c r="CW80" s="9">
        <f t="shared" si="231"/>
        <v>6492.4623115577888</v>
      </c>
    </row>
    <row r="81" spans="1:101" x14ac:dyDescent="0.25">
      <c r="A81">
        <v>8500</v>
      </c>
      <c r="B81">
        <v>0</v>
      </c>
      <c r="C81" s="9">
        <v>0</v>
      </c>
      <c r="D81">
        <v>0</v>
      </c>
      <c r="E81" s="9">
        <v>0</v>
      </c>
      <c r="F81">
        <v>0</v>
      </c>
      <c r="G81" s="9">
        <v>0</v>
      </c>
      <c r="H81">
        <v>0</v>
      </c>
      <c r="I81" s="9">
        <v>0</v>
      </c>
      <c r="J81">
        <v>0</v>
      </c>
      <c r="K81" s="9">
        <v>0</v>
      </c>
      <c r="M81">
        <v>8500</v>
      </c>
      <c r="N81">
        <v>0</v>
      </c>
      <c r="O81" s="9">
        <v>0</v>
      </c>
      <c r="P81">
        <v>0</v>
      </c>
      <c r="Q81" s="9">
        <v>0</v>
      </c>
      <c r="R81">
        <v>0</v>
      </c>
      <c r="S81" s="9">
        <v>0</v>
      </c>
      <c r="T81">
        <v>0</v>
      </c>
      <c r="U81" s="9">
        <v>0</v>
      </c>
      <c r="V81">
        <v>0</v>
      </c>
      <c r="W81" s="9">
        <v>0</v>
      </c>
      <c r="Y81">
        <v>8500</v>
      </c>
      <c r="Z81">
        <v>0</v>
      </c>
      <c r="AA81" s="9">
        <v>0</v>
      </c>
      <c r="AB81">
        <v>0</v>
      </c>
      <c r="AC81" s="9">
        <v>0</v>
      </c>
      <c r="AD81">
        <v>0</v>
      </c>
      <c r="AE81" s="9">
        <v>0</v>
      </c>
      <c r="AF81">
        <v>0</v>
      </c>
      <c r="AG81" s="9">
        <v>0</v>
      </c>
      <c r="AH81">
        <v>0</v>
      </c>
      <c r="AI81" s="9">
        <v>0</v>
      </c>
      <c r="AK81">
        <v>8500</v>
      </c>
      <c r="AL81">
        <v>0</v>
      </c>
      <c r="AM81" s="9">
        <v>0</v>
      </c>
      <c r="AN81">
        <v>0</v>
      </c>
      <c r="AO81" s="9">
        <v>0</v>
      </c>
      <c r="AP81">
        <v>0</v>
      </c>
      <c r="AQ81" s="9">
        <v>0</v>
      </c>
      <c r="AR81">
        <v>0</v>
      </c>
      <c r="AS81" s="9">
        <v>0</v>
      </c>
      <c r="AT81">
        <v>0</v>
      </c>
      <c r="AU81" s="9">
        <v>0</v>
      </c>
      <c r="AW81">
        <v>8500</v>
      </c>
      <c r="AX81">
        <v>0</v>
      </c>
      <c r="AY81" s="9">
        <v>0</v>
      </c>
      <c r="AZ81">
        <v>0</v>
      </c>
      <c r="BA81" s="9">
        <v>0</v>
      </c>
      <c r="BB81">
        <v>0</v>
      </c>
      <c r="BC81" s="9">
        <v>0</v>
      </c>
      <c r="BD81">
        <v>0</v>
      </c>
      <c r="BE81" s="9">
        <v>0</v>
      </c>
      <c r="BF81">
        <v>0</v>
      </c>
      <c r="BG81" s="9">
        <v>0</v>
      </c>
      <c r="BI81">
        <v>8500</v>
      </c>
      <c r="BJ81">
        <v>0</v>
      </c>
      <c r="BK81" s="9">
        <v>0</v>
      </c>
      <c r="BL81">
        <v>0</v>
      </c>
      <c r="BM81" s="9">
        <v>0</v>
      </c>
      <c r="BN81">
        <v>0</v>
      </c>
      <c r="BO81" s="9">
        <v>0</v>
      </c>
      <c r="BP81">
        <v>0</v>
      </c>
      <c r="BQ81" s="9">
        <v>0</v>
      </c>
      <c r="BR81">
        <v>0</v>
      </c>
      <c r="BS81" s="9">
        <v>0</v>
      </c>
      <c r="BU81">
        <v>8500</v>
      </c>
      <c r="BV81">
        <v>0</v>
      </c>
      <c r="BW81" s="9">
        <v>0</v>
      </c>
      <c r="BX81">
        <v>0</v>
      </c>
      <c r="BY81" s="9">
        <v>0</v>
      </c>
      <c r="BZ81">
        <v>0</v>
      </c>
      <c r="CA81" s="9">
        <v>0</v>
      </c>
      <c r="CB81">
        <v>0</v>
      </c>
      <c r="CC81" s="9">
        <v>0</v>
      </c>
      <c r="CD81">
        <v>0</v>
      </c>
      <c r="CE81" s="9">
        <v>0</v>
      </c>
      <c r="CF81">
        <v>0</v>
      </c>
      <c r="CG81" s="9">
        <f t="shared" si="218"/>
        <v>0</v>
      </c>
      <c r="CI81">
        <v>8500</v>
      </c>
      <c r="CJ81">
        <f t="shared" si="200"/>
        <v>704</v>
      </c>
      <c r="CK81" s="9">
        <f t="shared" si="169"/>
        <v>7007.0257611241213</v>
      </c>
      <c r="CL81">
        <f t="shared" si="201"/>
        <v>684</v>
      </c>
      <c r="CM81" s="9">
        <f t="shared" si="170"/>
        <v>6971.2230215827331</v>
      </c>
      <c r="CN81">
        <f t="shared" si="208"/>
        <v>666</v>
      </c>
      <c r="CO81" s="9">
        <f t="shared" si="178"/>
        <v>6937.5</v>
      </c>
      <c r="CP81">
        <f t="shared" si="219"/>
        <v>650</v>
      </c>
      <c r="CQ81" s="9">
        <f t="shared" si="209"/>
        <v>6906.25</v>
      </c>
      <c r="CR81">
        <f t="shared" si="225"/>
        <v>630</v>
      </c>
      <c r="CS81" s="9">
        <f t="shared" si="220"/>
        <v>6865.3846153846152</v>
      </c>
      <c r="CT81">
        <f t="shared" si="226"/>
        <v>624</v>
      </c>
      <c r="CU81" s="9">
        <f t="shared" si="221"/>
        <v>6852.7131782945735</v>
      </c>
      <c r="CV81">
        <v>0</v>
      </c>
      <c r="CW81" s="9">
        <f t="shared" si="231"/>
        <v>0</v>
      </c>
    </row>
    <row r="82" spans="1:101" x14ac:dyDescent="0.25">
      <c r="A82">
        <v>9000</v>
      </c>
      <c r="B82">
        <v>0</v>
      </c>
      <c r="C82" s="9">
        <f t="shared" ref="C82:C88" si="251">PRODUCT(A82,B82,1/(B82+300))</f>
        <v>0</v>
      </c>
      <c r="D82">
        <v>0</v>
      </c>
      <c r="E82" s="9">
        <f t="shared" ref="E82:E88" si="252">PRODUCT(C82,D82,1/(D82+300))</f>
        <v>0</v>
      </c>
      <c r="F82">
        <v>0</v>
      </c>
      <c r="G82" s="9">
        <f t="shared" ref="G82:G88" si="253">PRODUCT(E82,F82,1/(F82+300))</f>
        <v>0</v>
      </c>
      <c r="H82">
        <v>0</v>
      </c>
      <c r="I82" s="9">
        <f t="shared" ref="I82:I88" si="254">PRODUCT(G82,H82,1/(H82+300))</f>
        <v>0</v>
      </c>
      <c r="J82">
        <v>0</v>
      </c>
      <c r="K82" s="9">
        <f t="shared" ref="K82:K88" si="255">PRODUCT(I82,J82,1/(J82+300))</f>
        <v>0</v>
      </c>
      <c r="M82">
        <v>9000</v>
      </c>
      <c r="N82">
        <v>0</v>
      </c>
      <c r="O82" s="9">
        <f t="shared" ref="O82:O88" si="256">PRODUCT(M82,N82,1/(N82+300))</f>
        <v>0</v>
      </c>
      <c r="P82">
        <v>0</v>
      </c>
      <c r="Q82" s="9">
        <f t="shared" ref="Q82:Q88" si="257">PRODUCT(O82,P82,1/(P82+300))</f>
        <v>0</v>
      </c>
      <c r="R82">
        <v>0</v>
      </c>
      <c r="S82" s="9">
        <f t="shared" ref="S82:S88" si="258">PRODUCT(Q82,R82,1/(R82+300))</f>
        <v>0</v>
      </c>
      <c r="T82">
        <v>0</v>
      </c>
      <c r="U82" s="9">
        <f t="shared" ref="U82:U88" si="259">PRODUCT(S82,T82,1/(T82+300))</f>
        <v>0</v>
      </c>
      <c r="V82">
        <v>0</v>
      </c>
      <c r="W82" s="9">
        <f t="shared" ref="W82:W88" si="260">PRODUCT(U82,V82,1/(V82+300))</f>
        <v>0</v>
      </c>
      <c r="Y82">
        <v>9000</v>
      </c>
      <c r="Z82">
        <v>0</v>
      </c>
      <c r="AA82" s="9">
        <f t="shared" ref="AA82:AA88" si="261">PRODUCT(Y82,Z82,1/(Z82+300))</f>
        <v>0</v>
      </c>
      <c r="AB82">
        <v>0</v>
      </c>
      <c r="AC82" s="9">
        <f t="shared" ref="AC82:AC88" si="262">PRODUCT(AA82,AB82,1/(AB82+300))</f>
        <v>0</v>
      </c>
      <c r="AD82">
        <v>0</v>
      </c>
      <c r="AE82" s="9">
        <f t="shared" ref="AE82:AE88" si="263">PRODUCT(AC82,AD82,1/(AD82+300))</f>
        <v>0</v>
      </c>
      <c r="AF82">
        <v>0</v>
      </c>
      <c r="AG82" s="9">
        <f t="shared" ref="AG82:AG88" si="264">PRODUCT(AE82,AF82,1/(AF82+300))</f>
        <v>0</v>
      </c>
      <c r="AH82">
        <v>0</v>
      </c>
      <c r="AI82" s="9">
        <f t="shared" ref="AI82:AI88" si="265">PRODUCT(AG82,AH82,1/(AH82+300))</f>
        <v>0</v>
      </c>
      <c r="AK82">
        <v>9000</v>
      </c>
      <c r="AL82">
        <v>0</v>
      </c>
      <c r="AM82" s="9">
        <f t="shared" ref="AM82:AM88" si="266">PRODUCT(AK82,AL82,1/(AL82+300))</f>
        <v>0</v>
      </c>
      <c r="AN82">
        <v>0</v>
      </c>
      <c r="AO82" s="9">
        <f t="shared" ref="AO82:AO88" si="267">PRODUCT(AM82,AN82,1/(AN82+300))</f>
        <v>0</v>
      </c>
      <c r="AP82">
        <v>0</v>
      </c>
      <c r="AQ82" s="9">
        <f t="shared" ref="AQ82:AQ88" si="268">PRODUCT(AO82,AP82,1/(AP82+300))</f>
        <v>0</v>
      </c>
      <c r="AR82">
        <v>0</v>
      </c>
      <c r="AS82" s="9">
        <f t="shared" ref="AS82:AS88" si="269">PRODUCT(AQ82,AR82,1/(AR82+300))</f>
        <v>0</v>
      </c>
      <c r="AT82">
        <v>0</v>
      </c>
      <c r="AU82" s="9">
        <f t="shared" ref="AU82:AU88" si="270">PRODUCT(AS82,AT82,1/(AT82+300))</f>
        <v>0</v>
      </c>
      <c r="AW82">
        <v>9000</v>
      </c>
      <c r="AX82">
        <v>0</v>
      </c>
      <c r="AY82" s="9">
        <f t="shared" ref="AY82:AY88" si="271">PRODUCT(AW82,AX82,1/(AX82+300))</f>
        <v>0</v>
      </c>
      <c r="AZ82">
        <v>0</v>
      </c>
      <c r="BA82" s="9">
        <f t="shared" ref="BA82:BA88" si="272">PRODUCT(AY82,AZ82,1/(AZ82+300))</f>
        <v>0</v>
      </c>
      <c r="BB82">
        <v>0</v>
      </c>
      <c r="BC82" s="9">
        <f t="shared" ref="BC82:BC88" si="273">PRODUCT(BA82,BB82,1/(BB82+300))</f>
        <v>0</v>
      </c>
      <c r="BD82">
        <v>0</v>
      </c>
      <c r="BE82" s="9">
        <f t="shared" ref="BE82:BE88" si="274">PRODUCT(BC82,BD82,1/(BD82+300))</f>
        <v>0</v>
      </c>
      <c r="BF82">
        <v>0</v>
      </c>
      <c r="BG82" s="9">
        <f t="shared" ref="BG82:BG88" si="275">PRODUCT(BE82,BF82,1/(BF82+300))</f>
        <v>0</v>
      </c>
      <c r="BI82">
        <v>9000</v>
      </c>
      <c r="BJ82">
        <v>0</v>
      </c>
      <c r="BK82" s="9">
        <f t="shared" ref="BK82:BK88" si="276">PRODUCT(BI82,BJ82,1/(BJ82+300))</f>
        <v>0</v>
      </c>
      <c r="BL82">
        <v>0</v>
      </c>
      <c r="BM82" s="9">
        <f t="shared" ref="BM82:BM88" si="277">PRODUCT(BK82,BL82,1/(BL82+300))</f>
        <v>0</v>
      </c>
      <c r="BN82">
        <v>0</v>
      </c>
      <c r="BO82" s="9">
        <f t="shared" ref="BO82:BO88" si="278">PRODUCT(BM82,BN82,1/(BN82+300))</f>
        <v>0</v>
      </c>
      <c r="BP82">
        <v>0</v>
      </c>
      <c r="BQ82" s="9">
        <f t="shared" ref="BQ82:BQ88" si="279">PRODUCT(BO82,BP82,1/(BP82+300))</f>
        <v>0</v>
      </c>
      <c r="BR82">
        <v>0</v>
      </c>
      <c r="BS82" s="9">
        <f t="shared" ref="BS82:BS88" si="280">PRODUCT(BQ82,BR82,1/(BR82+300))</f>
        <v>0</v>
      </c>
      <c r="BU82">
        <v>9000</v>
      </c>
      <c r="BV82">
        <v>0</v>
      </c>
      <c r="BW82" s="9">
        <f t="shared" ref="BW82:BW88" si="281">PRODUCT(BU82,BV82,1/(BV82+300))</f>
        <v>0</v>
      </c>
      <c r="BX82">
        <v>0</v>
      </c>
      <c r="BY82" s="9">
        <f t="shared" ref="BY82:BY88" si="282">PRODUCT(BW82,BX82,1/(BX82+300))</f>
        <v>0</v>
      </c>
      <c r="BZ82">
        <v>0</v>
      </c>
      <c r="CA82" s="9">
        <f t="shared" ref="CA82:CA88" si="283">PRODUCT(BY82,BZ82,1/(BZ82+300))</f>
        <v>0</v>
      </c>
      <c r="CB82">
        <v>0</v>
      </c>
      <c r="CC82" s="9">
        <f t="shared" ref="CC82:CC88" si="284">PRODUCT(CA82,CB82,1/(CB82+300))</f>
        <v>0</v>
      </c>
      <c r="CD82">
        <v>0</v>
      </c>
      <c r="CE82" s="9">
        <f t="shared" ref="CE82:CE88" si="285">PRODUCT(CC82,CD82,1/(CD82+300))</f>
        <v>0</v>
      </c>
      <c r="CF82">
        <v>0</v>
      </c>
      <c r="CG82" s="9">
        <f t="shared" si="218"/>
        <v>0</v>
      </c>
      <c r="CI82">
        <v>9000</v>
      </c>
      <c r="CJ82">
        <f t="shared" si="200"/>
        <v>702</v>
      </c>
      <c r="CK82" s="9">
        <f t="shared" si="169"/>
        <v>7415.4929577464791</v>
      </c>
      <c r="CL82">
        <f t="shared" si="201"/>
        <v>681</v>
      </c>
      <c r="CM82" s="9">
        <f t="shared" si="170"/>
        <v>7375.451263537906</v>
      </c>
      <c r="CN82">
        <f t="shared" si="208"/>
        <v>662</v>
      </c>
      <c r="CO82" s="9">
        <f t="shared" si="178"/>
        <v>7337.4384236453207</v>
      </c>
      <c r="CP82">
        <f t="shared" si="219"/>
        <v>645</v>
      </c>
      <c r="CQ82" s="9">
        <f t="shared" si="209"/>
        <v>7301.8867924528295</v>
      </c>
      <c r="CR82">
        <f t="shared" si="225"/>
        <v>624</v>
      </c>
      <c r="CS82" s="9">
        <f t="shared" si="220"/>
        <v>7255.8139534883721</v>
      </c>
      <c r="CT82">
        <f t="shared" si="226"/>
        <v>617</v>
      </c>
      <c r="CU82" s="9">
        <f t="shared" si="221"/>
        <v>7239.8956975228157</v>
      </c>
      <c r="CV82">
        <v>0</v>
      </c>
      <c r="CW82" s="9">
        <f t="shared" si="231"/>
        <v>0</v>
      </c>
    </row>
    <row r="83" spans="1:101" x14ac:dyDescent="0.25">
      <c r="A83">
        <v>9500</v>
      </c>
      <c r="B83">
        <v>0</v>
      </c>
      <c r="C83" s="9">
        <f t="shared" si="251"/>
        <v>0</v>
      </c>
      <c r="D83">
        <v>0</v>
      </c>
      <c r="E83" s="9">
        <f t="shared" si="252"/>
        <v>0</v>
      </c>
      <c r="F83">
        <v>0</v>
      </c>
      <c r="G83" s="9">
        <f t="shared" si="253"/>
        <v>0</v>
      </c>
      <c r="H83">
        <v>0</v>
      </c>
      <c r="I83" s="9">
        <f t="shared" si="254"/>
        <v>0</v>
      </c>
      <c r="J83">
        <v>0</v>
      </c>
      <c r="K83" s="9">
        <f t="shared" si="255"/>
        <v>0</v>
      </c>
      <c r="M83">
        <v>9500</v>
      </c>
      <c r="N83">
        <v>0</v>
      </c>
      <c r="O83" s="9">
        <f t="shared" si="256"/>
        <v>0</v>
      </c>
      <c r="P83">
        <v>0</v>
      </c>
      <c r="Q83" s="9">
        <f t="shared" si="257"/>
        <v>0</v>
      </c>
      <c r="R83">
        <v>0</v>
      </c>
      <c r="S83" s="9">
        <f t="shared" si="258"/>
        <v>0</v>
      </c>
      <c r="T83">
        <v>0</v>
      </c>
      <c r="U83" s="9">
        <f t="shared" si="259"/>
        <v>0</v>
      </c>
      <c r="V83">
        <v>0</v>
      </c>
      <c r="W83" s="9">
        <f t="shared" si="260"/>
        <v>0</v>
      </c>
      <c r="Y83">
        <v>9500</v>
      </c>
      <c r="Z83">
        <v>0</v>
      </c>
      <c r="AA83" s="9">
        <f t="shared" si="261"/>
        <v>0</v>
      </c>
      <c r="AB83">
        <v>0</v>
      </c>
      <c r="AC83" s="9">
        <f t="shared" si="262"/>
        <v>0</v>
      </c>
      <c r="AD83">
        <v>0</v>
      </c>
      <c r="AE83" s="9">
        <f t="shared" si="263"/>
        <v>0</v>
      </c>
      <c r="AF83">
        <v>0</v>
      </c>
      <c r="AG83" s="9">
        <f t="shared" si="264"/>
        <v>0</v>
      </c>
      <c r="AH83">
        <v>0</v>
      </c>
      <c r="AI83" s="9">
        <f t="shared" si="265"/>
        <v>0</v>
      </c>
      <c r="AK83">
        <v>9500</v>
      </c>
      <c r="AL83">
        <v>0</v>
      </c>
      <c r="AM83" s="9">
        <f t="shared" si="266"/>
        <v>0</v>
      </c>
      <c r="AN83">
        <v>0</v>
      </c>
      <c r="AO83" s="9">
        <f t="shared" si="267"/>
        <v>0</v>
      </c>
      <c r="AP83">
        <v>0</v>
      </c>
      <c r="AQ83" s="9">
        <f t="shared" si="268"/>
        <v>0</v>
      </c>
      <c r="AR83">
        <v>0</v>
      </c>
      <c r="AS83" s="9">
        <f t="shared" si="269"/>
        <v>0</v>
      </c>
      <c r="AT83">
        <v>0</v>
      </c>
      <c r="AU83" s="9">
        <f t="shared" si="270"/>
        <v>0</v>
      </c>
      <c r="AW83">
        <v>9500</v>
      </c>
      <c r="AX83">
        <v>0</v>
      </c>
      <c r="AY83" s="9">
        <f t="shared" si="271"/>
        <v>0</v>
      </c>
      <c r="AZ83">
        <v>0</v>
      </c>
      <c r="BA83" s="9">
        <f t="shared" si="272"/>
        <v>0</v>
      </c>
      <c r="BB83">
        <v>0</v>
      </c>
      <c r="BC83" s="9">
        <f t="shared" si="273"/>
        <v>0</v>
      </c>
      <c r="BD83">
        <v>0</v>
      </c>
      <c r="BE83" s="9">
        <f t="shared" si="274"/>
        <v>0</v>
      </c>
      <c r="BF83">
        <v>0</v>
      </c>
      <c r="BG83" s="9">
        <f t="shared" si="275"/>
        <v>0</v>
      </c>
      <c r="BI83">
        <v>9500</v>
      </c>
      <c r="BJ83">
        <v>0</v>
      </c>
      <c r="BK83" s="9">
        <f t="shared" si="276"/>
        <v>0</v>
      </c>
      <c r="BL83">
        <v>0</v>
      </c>
      <c r="BM83" s="9">
        <f t="shared" si="277"/>
        <v>0</v>
      </c>
      <c r="BN83">
        <v>0</v>
      </c>
      <c r="BO83" s="9">
        <f t="shared" si="278"/>
        <v>0</v>
      </c>
      <c r="BP83">
        <v>0</v>
      </c>
      <c r="BQ83" s="9">
        <f t="shared" si="279"/>
        <v>0</v>
      </c>
      <c r="BR83">
        <v>0</v>
      </c>
      <c r="BS83" s="9">
        <f t="shared" si="280"/>
        <v>0</v>
      </c>
      <c r="BU83">
        <v>9500</v>
      </c>
      <c r="BV83">
        <v>0</v>
      </c>
      <c r="BW83" s="9">
        <f t="shared" si="281"/>
        <v>0</v>
      </c>
      <c r="BX83">
        <v>0</v>
      </c>
      <c r="BY83" s="9">
        <f t="shared" si="282"/>
        <v>0</v>
      </c>
      <c r="BZ83">
        <v>0</v>
      </c>
      <c r="CA83" s="9">
        <f t="shared" si="283"/>
        <v>0</v>
      </c>
      <c r="CB83">
        <v>0</v>
      </c>
      <c r="CC83" s="9">
        <f t="shared" si="284"/>
        <v>0</v>
      </c>
      <c r="CD83">
        <v>0</v>
      </c>
      <c r="CE83" s="9">
        <f t="shared" si="285"/>
        <v>0</v>
      </c>
      <c r="CF83">
        <v>0</v>
      </c>
      <c r="CG83" s="9">
        <f t="shared" si="218"/>
        <v>0</v>
      </c>
      <c r="CI83">
        <v>9500</v>
      </c>
      <c r="CJ83">
        <f t="shared" si="200"/>
        <v>700</v>
      </c>
      <c r="CK83" s="9">
        <f t="shared" si="169"/>
        <v>7823.5294117647054</v>
      </c>
      <c r="CL83">
        <f t="shared" si="201"/>
        <v>678</v>
      </c>
      <c r="CM83" s="9">
        <f t="shared" si="170"/>
        <v>7778.9855072463761</v>
      </c>
      <c r="CN83">
        <f t="shared" si="208"/>
        <v>658</v>
      </c>
      <c r="CO83" s="9">
        <f t="shared" si="178"/>
        <v>7736.3861386138615</v>
      </c>
      <c r="CP83">
        <f t="shared" si="219"/>
        <v>640</v>
      </c>
      <c r="CQ83" s="9">
        <f t="shared" si="209"/>
        <v>7696.2025316455702</v>
      </c>
      <c r="CR83">
        <f t="shared" si="225"/>
        <v>618</v>
      </c>
      <c r="CS83" s="9">
        <f t="shared" si="220"/>
        <v>7644.53125</v>
      </c>
      <c r="CT83">
        <f t="shared" si="226"/>
        <v>610</v>
      </c>
      <c r="CU83" s="9">
        <f t="shared" si="221"/>
        <v>7625</v>
      </c>
      <c r="CV83">
        <v>0</v>
      </c>
      <c r="CW83" s="9">
        <f t="shared" si="231"/>
        <v>0</v>
      </c>
    </row>
    <row r="84" spans="1:101" x14ac:dyDescent="0.25">
      <c r="A84">
        <v>10000</v>
      </c>
      <c r="B84">
        <v>0</v>
      </c>
      <c r="C84" s="9">
        <f t="shared" si="251"/>
        <v>0</v>
      </c>
      <c r="D84">
        <v>0</v>
      </c>
      <c r="E84" s="9">
        <f t="shared" si="252"/>
        <v>0</v>
      </c>
      <c r="F84">
        <v>0</v>
      </c>
      <c r="G84" s="9">
        <f t="shared" si="253"/>
        <v>0</v>
      </c>
      <c r="H84">
        <v>0</v>
      </c>
      <c r="I84" s="9">
        <f t="shared" si="254"/>
        <v>0</v>
      </c>
      <c r="J84">
        <v>0</v>
      </c>
      <c r="K84" s="9">
        <f t="shared" si="255"/>
        <v>0</v>
      </c>
      <c r="M84">
        <v>10000</v>
      </c>
      <c r="N84">
        <v>0</v>
      </c>
      <c r="O84" s="9">
        <f t="shared" si="256"/>
        <v>0</v>
      </c>
      <c r="P84">
        <v>0</v>
      </c>
      <c r="Q84" s="9">
        <f t="shared" si="257"/>
        <v>0</v>
      </c>
      <c r="R84">
        <v>0</v>
      </c>
      <c r="S84" s="9">
        <f t="shared" si="258"/>
        <v>0</v>
      </c>
      <c r="T84">
        <v>0</v>
      </c>
      <c r="U84" s="9">
        <f t="shared" si="259"/>
        <v>0</v>
      </c>
      <c r="V84">
        <v>0</v>
      </c>
      <c r="W84" s="9">
        <f t="shared" si="260"/>
        <v>0</v>
      </c>
      <c r="Y84">
        <v>10000</v>
      </c>
      <c r="Z84">
        <v>0</v>
      </c>
      <c r="AA84" s="9">
        <f t="shared" si="261"/>
        <v>0</v>
      </c>
      <c r="AB84">
        <v>0</v>
      </c>
      <c r="AC84" s="9">
        <f t="shared" si="262"/>
        <v>0</v>
      </c>
      <c r="AD84">
        <v>0</v>
      </c>
      <c r="AE84" s="9">
        <f t="shared" si="263"/>
        <v>0</v>
      </c>
      <c r="AF84">
        <v>0</v>
      </c>
      <c r="AG84" s="9">
        <f t="shared" si="264"/>
        <v>0</v>
      </c>
      <c r="AH84">
        <v>0</v>
      </c>
      <c r="AI84" s="9">
        <f t="shared" si="265"/>
        <v>0</v>
      </c>
      <c r="AK84">
        <v>10000</v>
      </c>
      <c r="AL84">
        <v>0</v>
      </c>
      <c r="AM84" s="9">
        <f t="shared" si="266"/>
        <v>0</v>
      </c>
      <c r="AN84">
        <v>0</v>
      </c>
      <c r="AO84" s="9">
        <f t="shared" si="267"/>
        <v>0</v>
      </c>
      <c r="AP84">
        <v>0</v>
      </c>
      <c r="AQ84" s="9">
        <f t="shared" si="268"/>
        <v>0</v>
      </c>
      <c r="AR84">
        <v>0</v>
      </c>
      <c r="AS84" s="9">
        <f t="shared" si="269"/>
        <v>0</v>
      </c>
      <c r="AT84">
        <v>0</v>
      </c>
      <c r="AU84" s="9">
        <f t="shared" si="270"/>
        <v>0</v>
      </c>
      <c r="AW84">
        <v>10000</v>
      </c>
      <c r="AX84">
        <v>0</v>
      </c>
      <c r="AY84" s="9">
        <f t="shared" si="271"/>
        <v>0</v>
      </c>
      <c r="AZ84">
        <v>0</v>
      </c>
      <c r="BA84" s="9">
        <f t="shared" si="272"/>
        <v>0</v>
      </c>
      <c r="BB84">
        <v>0</v>
      </c>
      <c r="BC84" s="9">
        <f t="shared" si="273"/>
        <v>0</v>
      </c>
      <c r="BD84">
        <v>0</v>
      </c>
      <c r="BE84" s="9">
        <f t="shared" si="274"/>
        <v>0</v>
      </c>
      <c r="BF84">
        <v>0</v>
      </c>
      <c r="BG84" s="9">
        <f t="shared" si="275"/>
        <v>0</v>
      </c>
      <c r="BI84">
        <v>10000</v>
      </c>
      <c r="BJ84">
        <v>0</v>
      </c>
      <c r="BK84" s="9">
        <f t="shared" si="276"/>
        <v>0</v>
      </c>
      <c r="BL84">
        <v>0</v>
      </c>
      <c r="BM84" s="9">
        <f t="shared" si="277"/>
        <v>0</v>
      </c>
      <c r="BN84">
        <v>0</v>
      </c>
      <c r="BO84" s="9">
        <f t="shared" si="278"/>
        <v>0</v>
      </c>
      <c r="BP84">
        <v>0</v>
      </c>
      <c r="BQ84" s="9">
        <f t="shared" si="279"/>
        <v>0</v>
      </c>
      <c r="BR84">
        <v>0</v>
      </c>
      <c r="BS84" s="9">
        <f t="shared" si="280"/>
        <v>0</v>
      </c>
      <c r="BU84">
        <v>10000</v>
      </c>
      <c r="BV84">
        <v>0</v>
      </c>
      <c r="BW84" s="9">
        <f t="shared" si="281"/>
        <v>0</v>
      </c>
      <c r="BX84">
        <v>0</v>
      </c>
      <c r="BY84" s="9">
        <f t="shared" si="282"/>
        <v>0</v>
      </c>
      <c r="BZ84">
        <v>0</v>
      </c>
      <c r="CA84" s="9">
        <f t="shared" si="283"/>
        <v>0</v>
      </c>
      <c r="CB84">
        <v>0</v>
      </c>
      <c r="CC84" s="9">
        <f t="shared" si="284"/>
        <v>0</v>
      </c>
      <c r="CD84">
        <v>0</v>
      </c>
      <c r="CE84" s="9">
        <f t="shared" si="285"/>
        <v>0</v>
      </c>
      <c r="CF84">
        <v>0</v>
      </c>
      <c r="CG84" s="9">
        <f t="shared" si="218"/>
        <v>0</v>
      </c>
      <c r="CI84">
        <v>10000</v>
      </c>
      <c r="CJ84">
        <f t="shared" si="200"/>
        <v>698</v>
      </c>
      <c r="CK84" s="9">
        <f t="shared" si="169"/>
        <v>8231.132075471698</v>
      </c>
      <c r="CL84">
        <f t="shared" si="201"/>
        <v>675</v>
      </c>
      <c r="CM84" s="9">
        <f t="shared" si="170"/>
        <v>8181.818181818182</v>
      </c>
      <c r="CN84">
        <f t="shared" si="208"/>
        <v>654</v>
      </c>
      <c r="CO84" s="9">
        <f t="shared" si="178"/>
        <v>8134.3283582089553</v>
      </c>
      <c r="CP84">
        <f t="shared" si="219"/>
        <v>635</v>
      </c>
      <c r="CQ84" s="9">
        <f t="shared" si="209"/>
        <v>8089.1719745222927</v>
      </c>
      <c r="CR84">
        <f t="shared" si="225"/>
        <v>612</v>
      </c>
      <c r="CS84" s="9">
        <f t="shared" si="220"/>
        <v>8031.4960629921261</v>
      </c>
      <c r="CT84">
        <f t="shared" si="226"/>
        <v>603</v>
      </c>
      <c r="CU84" s="9">
        <f t="shared" si="221"/>
        <v>8007.9681274900395</v>
      </c>
      <c r="CV84">
        <v>0</v>
      </c>
      <c r="CW84" s="9">
        <f t="shared" si="231"/>
        <v>0</v>
      </c>
    </row>
    <row r="85" spans="1:101" x14ac:dyDescent="0.25">
      <c r="A85">
        <v>10500</v>
      </c>
      <c r="B85">
        <v>0</v>
      </c>
      <c r="C85" s="9">
        <f t="shared" si="251"/>
        <v>0</v>
      </c>
      <c r="D85">
        <v>0</v>
      </c>
      <c r="E85" s="9">
        <f t="shared" si="252"/>
        <v>0</v>
      </c>
      <c r="F85">
        <v>0</v>
      </c>
      <c r="G85" s="9">
        <f t="shared" si="253"/>
        <v>0</v>
      </c>
      <c r="H85">
        <v>0</v>
      </c>
      <c r="I85" s="9">
        <f t="shared" si="254"/>
        <v>0</v>
      </c>
      <c r="J85">
        <v>0</v>
      </c>
      <c r="K85" s="9">
        <f t="shared" si="255"/>
        <v>0</v>
      </c>
      <c r="M85">
        <v>10500</v>
      </c>
      <c r="N85">
        <v>0</v>
      </c>
      <c r="O85" s="9">
        <f t="shared" si="256"/>
        <v>0</v>
      </c>
      <c r="P85">
        <v>0</v>
      </c>
      <c r="Q85" s="9">
        <f t="shared" si="257"/>
        <v>0</v>
      </c>
      <c r="R85">
        <v>0</v>
      </c>
      <c r="S85" s="9">
        <f t="shared" si="258"/>
        <v>0</v>
      </c>
      <c r="T85">
        <v>0</v>
      </c>
      <c r="U85" s="9">
        <f t="shared" si="259"/>
        <v>0</v>
      </c>
      <c r="V85">
        <v>0</v>
      </c>
      <c r="W85" s="9">
        <f t="shared" si="260"/>
        <v>0</v>
      </c>
      <c r="Y85">
        <v>10500</v>
      </c>
      <c r="Z85">
        <v>0</v>
      </c>
      <c r="AA85" s="9">
        <f t="shared" si="261"/>
        <v>0</v>
      </c>
      <c r="AB85">
        <v>0</v>
      </c>
      <c r="AC85" s="9">
        <f t="shared" si="262"/>
        <v>0</v>
      </c>
      <c r="AD85">
        <v>0</v>
      </c>
      <c r="AE85" s="9">
        <f t="shared" si="263"/>
        <v>0</v>
      </c>
      <c r="AF85">
        <v>0</v>
      </c>
      <c r="AG85" s="9">
        <f t="shared" si="264"/>
        <v>0</v>
      </c>
      <c r="AH85">
        <v>0</v>
      </c>
      <c r="AI85" s="9">
        <f t="shared" si="265"/>
        <v>0</v>
      </c>
      <c r="AK85">
        <v>10500</v>
      </c>
      <c r="AL85">
        <v>0</v>
      </c>
      <c r="AM85" s="9">
        <f t="shared" si="266"/>
        <v>0</v>
      </c>
      <c r="AN85">
        <v>0</v>
      </c>
      <c r="AO85" s="9">
        <f t="shared" si="267"/>
        <v>0</v>
      </c>
      <c r="AP85">
        <v>0</v>
      </c>
      <c r="AQ85" s="9">
        <f t="shared" si="268"/>
        <v>0</v>
      </c>
      <c r="AR85">
        <v>0</v>
      </c>
      <c r="AS85" s="9">
        <f t="shared" si="269"/>
        <v>0</v>
      </c>
      <c r="AT85">
        <v>0</v>
      </c>
      <c r="AU85" s="9">
        <f t="shared" si="270"/>
        <v>0</v>
      </c>
      <c r="AW85">
        <v>10500</v>
      </c>
      <c r="AX85">
        <v>0</v>
      </c>
      <c r="AY85" s="9">
        <f t="shared" si="271"/>
        <v>0</v>
      </c>
      <c r="AZ85">
        <v>0</v>
      </c>
      <c r="BA85" s="9">
        <f t="shared" si="272"/>
        <v>0</v>
      </c>
      <c r="BB85">
        <v>0</v>
      </c>
      <c r="BC85" s="9">
        <f t="shared" si="273"/>
        <v>0</v>
      </c>
      <c r="BD85">
        <v>0</v>
      </c>
      <c r="BE85" s="9">
        <f t="shared" si="274"/>
        <v>0</v>
      </c>
      <c r="BF85">
        <v>0</v>
      </c>
      <c r="BG85" s="9">
        <f t="shared" si="275"/>
        <v>0</v>
      </c>
      <c r="BI85">
        <v>10500</v>
      </c>
      <c r="BJ85">
        <v>0</v>
      </c>
      <c r="BK85" s="9">
        <f t="shared" si="276"/>
        <v>0</v>
      </c>
      <c r="BL85">
        <v>0</v>
      </c>
      <c r="BM85" s="9">
        <f t="shared" si="277"/>
        <v>0</v>
      </c>
      <c r="BN85">
        <v>0</v>
      </c>
      <c r="BO85" s="9">
        <f t="shared" si="278"/>
        <v>0</v>
      </c>
      <c r="BP85">
        <v>0</v>
      </c>
      <c r="BQ85" s="9">
        <f t="shared" si="279"/>
        <v>0</v>
      </c>
      <c r="BR85">
        <v>0</v>
      </c>
      <c r="BS85" s="9">
        <f t="shared" si="280"/>
        <v>0</v>
      </c>
      <c r="BU85">
        <v>10500</v>
      </c>
      <c r="BV85">
        <v>0</v>
      </c>
      <c r="BW85" s="9">
        <f t="shared" si="281"/>
        <v>0</v>
      </c>
      <c r="BX85">
        <v>0</v>
      </c>
      <c r="BY85" s="9">
        <f t="shared" si="282"/>
        <v>0</v>
      </c>
      <c r="BZ85">
        <v>0</v>
      </c>
      <c r="CA85" s="9">
        <f t="shared" si="283"/>
        <v>0</v>
      </c>
      <c r="CB85">
        <v>0</v>
      </c>
      <c r="CC85" s="9">
        <f t="shared" si="284"/>
        <v>0</v>
      </c>
      <c r="CD85">
        <v>0</v>
      </c>
      <c r="CE85" s="9">
        <f t="shared" si="285"/>
        <v>0</v>
      </c>
      <c r="CF85">
        <v>0</v>
      </c>
      <c r="CG85" s="9">
        <f t="shared" si="218"/>
        <v>0</v>
      </c>
      <c r="CI85">
        <v>10500</v>
      </c>
      <c r="CJ85">
        <f t="shared" si="200"/>
        <v>696</v>
      </c>
      <c r="CK85" s="9">
        <f t="shared" si="169"/>
        <v>8638.2978723404249</v>
      </c>
      <c r="CL85">
        <f t="shared" si="201"/>
        <v>672</v>
      </c>
      <c r="CM85" s="9">
        <f t="shared" si="170"/>
        <v>8583.9416058394163</v>
      </c>
      <c r="CN85">
        <f t="shared" si="208"/>
        <v>650</v>
      </c>
      <c r="CO85" s="9">
        <f t="shared" si="178"/>
        <v>8531.25</v>
      </c>
      <c r="CP85">
        <f t="shared" si="219"/>
        <v>630</v>
      </c>
      <c r="CQ85" s="9">
        <f t="shared" si="209"/>
        <v>8480.7692307692305</v>
      </c>
      <c r="CR85">
        <f t="shared" si="225"/>
        <v>606</v>
      </c>
      <c r="CS85" s="9">
        <f t="shared" si="220"/>
        <v>8416.6666666666661</v>
      </c>
      <c r="CT85">
        <f t="shared" si="226"/>
        <v>596</v>
      </c>
      <c r="CU85" s="9">
        <f t="shared" si="221"/>
        <v>8388.7399463806978</v>
      </c>
      <c r="CV85">
        <v>0</v>
      </c>
      <c r="CW85" s="9">
        <f t="shared" si="231"/>
        <v>0</v>
      </c>
    </row>
    <row r="86" spans="1:101" x14ac:dyDescent="0.25">
      <c r="A86">
        <v>11000</v>
      </c>
      <c r="B86">
        <v>0</v>
      </c>
      <c r="C86" s="9">
        <f t="shared" si="251"/>
        <v>0</v>
      </c>
      <c r="D86">
        <v>0</v>
      </c>
      <c r="E86" s="9">
        <f t="shared" si="252"/>
        <v>0</v>
      </c>
      <c r="F86">
        <v>0</v>
      </c>
      <c r="G86" s="9">
        <f t="shared" si="253"/>
        <v>0</v>
      </c>
      <c r="H86">
        <v>0</v>
      </c>
      <c r="I86" s="9">
        <f t="shared" si="254"/>
        <v>0</v>
      </c>
      <c r="J86">
        <v>0</v>
      </c>
      <c r="K86" s="9">
        <f t="shared" si="255"/>
        <v>0</v>
      </c>
      <c r="M86">
        <v>11000</v>
      </c>
      <c r="N86">
        <v>0</v>
      </c>
      <c r="O86" s="9">
        <f t="shared" si="256"/>
        <v>0</v>
      </c>
      <c r="P86">
        <v>0</v>
      </c>
      <c r="Q86" s="9">
        <f t="shared" si="257"/>
        <v>0</v>
      </c>
      <c r="R86">
        <v>0</v>
      </c>
      <c r="S86" s="9">
        <f t="shared" si="258"/>
        <v>0</v>
      </c>
      <c r="T86">
        <v>0</v>
      </c>
      <c r="U86" s="9">
        <f t="shared" si="259"/>
        <v>0</v>
      </c>
      <c r="V86">
        <v>0</v>
      </c>
      <c r="W86" s="9">
        <f t="shared" si="260"/>
        <v>0</v>
      </c>
      <c r="Y86">
        <v>11000</v>
      </c>
      <c r="Z86">
        <v>0</v>
      </c>
      <c r="AA86" s="9">
        <f t="shared" si="261"/>
        <v>0</v>
      </c>
      <c r="AB86">
        <v>0</v>
      </c>
      <c r="AC86" s="9">
        <f t="shared" si="262"/>
        <v>0</v>
      </c>
      <c r="AD86">
        <v>0</v>
      </c>
      <c r="AE86" s="9">
        <f t="shared" si="263"/>
        <v>0</v>
      </c>
      <c r="AF86">
        <v>0</v>
      </c>
      <c r="AG86" s="9">
        <f t="shared" si="264"/>
        <v>0</v>
      </c>
      <c r="AH86">
        <v>0</v>
      </c>
      <c r="AI86" s="9">
        <f t="shared" si="265"/>
        <v>0</v>
      </c>
      <c r="AK86">
        <v>11000</v>
      </c>
      <c r="AL86">
        <v>0</v>
      </c>
      <c r="AM86" s="9">
        <f t="shared" si="266"/>
        <v>0</v>
      </c>
      <c r="AN86">
        <v>0</v>
      </c>
      <c r="AO86" s="9">
        <f t="shared" si="267"/>
        <v>0</v>
      </c>
      <c r="AP86">
        <v>0</v>
      </c>
      <c r="AQ86" s="9">
        <f t="shared" si="268"/>
        <v>0</v>
      </c>
      <c r="AR86">
        <v>0</v>
      </c>
      <c r="AS86" s="9">
        <f t="shared" si="269"/>
        <v>0</v>
      </c>
      <c r="AT86">
        <v>0</v>
      </c>
      <c r="AU86" s="9">
        <f t="shared" si="270"/>
        <v>0</v>
      </c>
      <c r="AW86">
        <v>11000</v>
      </c>
      <c r="AX86">
        <v>0</v>
      </c>
      <c r="AY86" s="9">
        <f t="shared" si="271"/>
        <v>0</v>
      </c>
      <c r="AZ86">
        <v>0</v>
      </c>
      <c r="BA86" s="9">
        <f t="shared" si="272"/>
        <v>0</v>
      </c>
      <c r="BB86">
        <v>0</v>
      </c>
      <c r="BC86" s="9">
        <f t="shared" si="273"/>
        <v>0</v>
      </c>
      <c r="BD86">
        <v>0</v>
      </c>
      <c r="BE86" s="9">
        <f t="shared" si="274"/>
        <v>0</v>
      </c>
      <c r="BF86">
        <v>0</v>
      </c>
      <c r="BG86" s="9">
        <f t="shared" si="275"/>
        <v>0</v>
      </c>
      <c r="BI86">
        <v>11000</v>
      </c>
      <c r="BJ86">
        <v>0</v>
      </c>
      <c r="BK86" s="9">
        <f t="shared" si="276"/>
        <v>0</v>
      </c>
      <c r="BL86">
        <v>0</v>
      </c>
      <c r="BM86" s="9">
        <f t="shared" si="277"/>
        <v>0</v>
      </c>
      <c r="BN86">
        <v>0</v>
      </c>
      <c r="BO86" s="9">
        <f t="shared" si="278"/>
        <v>0</v>
      </c>
      <c r="BP86">
        <v>0</v>
      </c>
      <c r="BQ86" s="9">
        <f t="shared" si="279"/>
        <v>0</v>
      </c>
      <c r="BR86">
        <v>0</v>
      </c>
      <c r="BS86" s="9">
        <f t="shared" si="280"/>
        <v>0</v>
      </c>
      <c r="BU86">
        <v>11000</v>
      </c>
      <c r="BV86">
        <v>0</v>
      </c>
      <c r="BW86" s="9">
        <f t="shared" si="281"/>
        <v>0</v>
      </c>
      <c r="BX86">
        <v>0</v>
      </c>
      <c r="BY86" s="9">
        <f t="shared" si="282"/>
        <v>0</v>
      </c>
      <c r="BZ86">
        <v>0</v>
      </c>
      <c r="CA86" s="9">
        <f t="shared" si="283"/>
        <v>0</v>
      </c>
      <c r="CB86">
        <v>0</v>
      </c>
      <c r="CC86" s="9">
        <f t="shared" si="284"/>
        <v>0</v>
      </c>
      <c r="CD86">
        <v>0</v>
      </c>
      <c r="CE86" s="9">
        <f t="shared" si="285"/>
        <v>0</v>
      </c>
      <c r="CF86">
        <v>0</v>
      </c>
      <c r="CG86" s="9">
        <f t="shared" si="218"/>
        <v>0</v>
      </c>
      <c r="CI86">
        <v>11000</v>
      </c>
      <c r="CJ86">
        <f t="shared" si="200"/>
        <v>694</v>
      </c>
      <c r="CK86" s="9">
        <f t="shared" si="169"/>
        <v>9045.023696682465</v>
      </c>
      <c r="CL86">
        <f t="shared" si="201"/>
        <v>669</v>
      </c>
      <c r="CM86" s="9">
        <f t="shared" si="170"/>
        <v>8985.3479853479857</v>
      </c>
      <c r="CN86">
        <f t="shared" si="208"/>
        <v>646</v>
      </c>
      <c r="CO86" s="9">
        <f t="shared" si="178"/>
        <v>8927.13567839196</v>
      </c>
      <c r="CP86">
        <f t="shared" si="219"/>
        <v>625</v>
      </c>
      <c r="CQ86" s="9">
        <f t="shared" si="209"/>
        <v>8870.967741935483</v>
      </c>
      <c r="CR86">
        <f t="shared" si="225"/>
        <v>600</v>
      </c>
      <c r="CS86" s="9">
        <f t="shared" si="220"/>
        <v>8800</v>
      </c>
      <c r="CT86">
        <f t="shared" si="226"/>
        <v>589</v>
      </c>
      <c r="CU86" s="9">
        <f t="shared" si="221"/>
        <v>8767.253044654939</v>
      </c>
      <c r="CV86">
        <v>0</v>
      </c>
      <c r="CW86" s="9">
        <f t="shared" si="231"/>
        <v>0</v>
      </c>
    </row>
    <row r="87" spans="1:101" x14ac:dyDescent="0.25">
      <c r="A87">
        <v>11500</v>
      </c>
      <c r="B87">
        <v>0</v>
      </c>
      <c r="C87" s="9">
        <f t="shared" si="251"/>
        <v>0</v>
      </c>
      <c r="D87">
        <v>0</v>
      </c>
      <c r="E87" s="9">
        <f t="shared" si="252"/>
        <v>0</v>
      </c>
      <c r="F87">
        <v>0</v>
      </c>
      <c r="G87" s="9">
        <f t="shared" si="253"/>
        <v>0</v>
      </c>
      <c r="H87">
        <v>0</v>
      </c>
      <c r="I87" s="9">
        <f t="shared" si="254"/>
        <v>0</v>
      </c>
      <c r="J87">
        <v>0</v>
      </c>
      <c r="K87" s="9">
        <f t="shared" si="255"/>
        <v>0</v>
      </c>
      <c r="M87">
        <v>11500</v>
      </c>
      <c r="N87">
        <v>0</v>
      </c>
      <c r="O87" s="9">
        <f t="shared" si="256"/>
        <v>0</v>
      </c>
      <c r="P87">
        <v>0</v>
      </c>
      <c r="Q87" s="9">
        <f t="shared" si="257"/>
        <v>0</v>
      </c>
      <c r="R87">
        <v>0</v>
      </c>
      <c r="S87" s="9">
        <f t="shared" si="258"/>
        <v>0</v>
      </c>
      <c r="T87">
        <v>0</v>
      </c>
      <c r="U87" s="9">
        <f t="shared" si="259"/>
        <v>0</v>
      </c>
      <c r="V87">
        <v>0</v>
      </c>
      <c r="W87" s="9">
        <f t="shared" si="260"/>
        <v>0</v>
      </c>
      <c r="Y87">
        <v>11500</v>
      </c>
      <c r="Z87">
        <v>0</v>
      </c>
      <c r="AA87" s="9">
        <f t="shared" si="261"/>
        <v>0</v>
      </c>
      <c r="AB87">
        <v>0</v>
      </c>
      <c r="AC87" s="9">
        <f t="shared" si="262"/>
        <v>0</v>
      </c>
      <c r="AD87">
        <v>0</v>
      </c>
      <c r="AE87" s="9">
        <f t="shared" si="263"/>
        <v>0</v>
      </c>
      <c r="AF87">
        <v>0</v>
      </c>
      <c r="AG87" s="9">
        <f t="shared" si="264"/>
        <v>0</v>
      </c>
      <c r="AH87">
        <v>0</v>
      </c>
      <c r="AI87" s="9">
        <f t="shared" si="265"/>
        <v>0</v>
      </c>
      <c r="AK87">
        <v>11500</v>
      </c>
      <c r="AL87">
        <v>0</v>
      </c>
      <c r="AM87" s="9">
        <f t="shared" si="266"/>
        <v>0</v>
      </c>
      <c r="AN87">
        <v>0</v>
      </c>
      <c r="AO87" s="9">
        <f t="shared" si="267"/>
        <v>0</v>
      </c>
      <c r="AP87">
        <v>0</v>
      </c>
      <c r="AQ87" s="9">
        <f t="shared" si="268"/>
        <v>0</v>
      </c>
      <c r="AR87">
        <v>0</v>
      </c>
      <c r="AS87" s="9">
        <f t="shared" si="269"/>
        <v>0</v>
      </c>
      <c r="AT87">
        <v>0</v>
      </c>
      <c r="AU87" s="9">
        <f t="shared" si="270"/>
        <v>0</v>
      </c>
      <c r="AW87">
        <v>11500</v>
      </c>
      <c r="AX87">
        <v>0</v>
      </c>
      <c r="AY87" s="9">
        <f t="shared" si="271"/>
        <v>0</v>
      </c>
      <c r="AZ87">
        <v>0</v>
      </c>
      <c r="BA87" s="9">
        <f t="shared" si="272"/>
        <v>0</v>
      </c>
      <c r="BB87">
        <v>0</v>
      </c>
      <c r="BC87" s="9">
        <f t="shared" si="273"/>
        <v>0</v>
      </c>
      <c r="BD87">
        <v>0</v>
      </c>
      <c r="BE87" s="9">
        <f t="shared" si="274"/>
        <v>0</v>
      </c>
      <c r="BF87">
        <v>0</v>
      </c>
      <c r="BG87" s="9">
        <f t="shared" si="275"/>
        <v>0</v>
      </c>
      <c r="BI87">
        <v>11500</v>
      </c>
      <c r="BJ87">
        <v>0</v>
      </c>
      <c r="BK87" s="9">
        <f t="shared" si="276"/>
        <v>0</v>
      </c>
      <c r="BL87">
        <v>0</v>
      </c>
      <c r="BM87" s="9">
        <f t="shared" si="277"/>
        <v>0</v>
      </c>
      <c r="BN87">
        <v>0</v>
      </c>
      <c r="BO87" s="9">
        <f t="shared" si="278"/>
        <v>0</v>
      </c>
      <c r="BP87">
        <v>0</v>
      </c>
      <c r="BQ87" s="9">
        <f t="shared" si="279"/>
        <v>0</v>
      </c>
      <c r="BR87">
        <v>0</v>
      </c>
      <c r="BS87" s="9">
        <f t="shared" si="280"/>
        <v>0</v>
      </c>
      <c r="BU87">
        <v>11500</v>
      </c>
      <c r="BV87">
        <v>0</v>
      </c>
      <c r="BW87" s="9">
        <f t="shared" si="281"/>
        <v>0</v>
      </c>
      <c r="BX87">
        <v>0</v>
      </c>
      <c r="BY87" s="9">
        <f t="shared" si="282"/>
        <v>0</v>
      </c>
      <c r="BZ87">
        <v>0</v>
      </c>
      <c r="CA87" s="9">
        <f t="shared" si="283"/>
        <v>0</v>
      </c>
      <c r="CB87">
        <v>0</v>
      </c>
      <c r="CC87" s="9">
        <f t="shared" si="284"/>
        <v>0</v>
      </c>
      <c r="CD87">
        <v>0</v>
      </c>
      <c r="CE87" s="9">
        <f t="shared" si="285"/>
        <v>0</v>
      </c>
      <c r="CF87">
        <v>0</v>
      </c>
      <c r="CG87" s="9">
        <f t="shared" si="218"/>
        <v>0</v>
      </c>
      <c r="CI87">
        <v>11500</v>
      </c>
      <c r="CJ87">
        <f t="shared" si="200"/>
        <v>692</v>
      </c>
      <c r="CK87" s="9">
        <f t="shared" si="169"/>
        <v>9451.3064133016633</v>
      </c>
      <c r="CL87">
        <f t="shared" si="201"/>
        <v>666</v>
      </c>
      <c r="CM87" s="9">
        <f t="shared" si="170"/>
        <v>9386.0294117647063</v>
      </c>
      <c r="CN87">
        <f t="shared" si="208"/>
        <v>642</v>
      </c>
      <c r="CO87" s="9">
        <f t="shared" si="178"/>
        <v>9321.9696969696979</v>
      </c>
      <c r="CP87">
        <f t="shared" si="219"/>
        <v>620</v>
      </c>
      <c r="CQ87" s="9">
        <f t="shared" si="209"/>
        <v>9259.7402597402597</v>
      </c>
      <c r="CR87">
        <f t="shared" si="225"/>
        <v>594</v>
      </c>
      <c r="CS87" s="9">
        <f t="shared" si="220"/>
        <v>9181.4516129032272</v>
      </c>
      <c r="CT87">
        <f t="shared" si="226"/>
        <v>582</v>
      </c>
      <c r="CU87" s="9">
        <f t="shared" si="221"/>
        <v>9143.442622950819</v>
      </c>
      <c r="CV87">
        <v>0</v>
      </c>
      <c r="CW87" s="9">
        <f t="shared" si="231"/>
        <v>0</v>
      </c>
    </row>
    <row r="88" spans="1:101" x14ac:dyDescent="0.25">
      <c r="A88">
        <v>12000</v>
      </c>
      <c r="B88">
        <v>0</v>
      </c>
      <c r="C88" s="9">
        <f t="shared" si="251"/>
        <v>0</v>
      </c>
      <c r="D88">
        <v>0</v>
      </c>
      <c r="E88" s="9">
        <f t="shared" si="252"/>
        <v>0</v>
      </c>
      <c r="F88">
        <v>0</v>
      </c>
      <c r="G88" s="9">
        <f t="shared" si="253"/>
        <v>0</v>
      </c>
      <c r="H88">
        <v>0</v>
      </c>
      <c r="I88" s="9">
        <f t="shared" si="254"/>
        <v>0</v>
      </c>
      <c r="J88">
        <v>0</v>
      </c>
      <c r="K88" s="9">
        <f t="shared" si="255"/>
        <v>0</v>
      </c>
      <c r="M88">
        <v>12000</v>
      </c>
      <c r="N88">
        <v>0</v>
      </c>
      <c r="O88" s="9">
        <f t="shared" si="256"/>
        <v>0</v>
      </c>
      <c r="P88">
        <v>0</v>
      </c>
      <c r="Q88" s="9">
        <f t="shared" si="257"/>
        <v>0</v>
      </c>
      <c r="R88">
        <v>0</v>
      </c>
      <c r="S88" s="9">
        <f t="shared" si="258"/>
        <v>0</v>
      </c>
      <c r="T88">
        <v>0</v>
      </c>
      <c r="U88" s="9">
        <f t="shared" si="259"/>
        <v>0</v>
      </c>
      <c r="V88">
        <v>0</v>
      </c>
      <c r="W88" s="9">
        <f t="shared" si="260"/>
        <v>0</v>
      </c>
      <c r="Y88">
        <v>12000</v>
      </c>
      <c r="Z88">
        <v>0</v>
      </c>
      <c r="AA88" s="9">
        <f t="shared" si="261"/>
        <v>0</v>
      </c>
      <c r="AB88">
        <v>0</v>
      </c>
      <c r="AC88" s="9">
        <f t="shared" si="262"/>
        <v>0</v>
      </c>
      <c r="AD88">
        <v>0</v>
      </c>
      <c r="AE88" s="9">
        <f t="shared" si="263"/>
        <v>0</v>
      </c>
      <c r="AF88">
        <v>0</v>
      </c>
      <c r="AG88" s="9">
        <f t="shared" si="264"/>
        <v>0</v>
      </c>
      <c r="AH88">
        <v>0</v>
      </c>
      <c r="AI88" s="9">
        <f t="shared" si="265"/>
        <v>0</v>
      </c>
      <c r="AK88">
        <v>12000</v>
      </c>
      <c r="AL88">
        <v>0</v>
      </c>
      <c r="AM88" s="9">
        <f t="shared" si="266"/>
        <v>0</v>
      </c>
      <c r="AN88">
        <v>0</v>
      </c>
      <c r="AO88" s="9">
        <f t="shared" si="267"/>
        <v>0</v>
      </c>
      <c r="AP88">
        <v>0</v>
      </c>
      <c r="AQ88" s="9">
        <f t="shared" si="268"/>
        <v>0</v>
      </c>
      <c r="AR88">
        <v>0</v>
      </c>
      <c r="AS88" s="9">
        <f t="shared" si="269"/>
        <v>0</v>
      </c>
      <c r="AT88">
        <v>0</v>
      </c>
      <c r="AU88" s="9">
        <f t="shared" si="270"/>
        <v>0</v>
      </c>
      <c r="AW88">
        <v>12000</v>
      </c>
      <c r="AX88">
        <v>0</v>
      </c>
      <c r="AY88" s="9">
        <f t="shared" si="271"/>
        <v>0</v>
      </c>
      <c r="AZ88">
        <v>0</v>
      </c>
      <c r="BA88" s="9">
        <f t="shared" si="272"/>
        <v>0</v>
      </c>
      <c r="BB88">
        <v>0</v>
      </c>
      <c r="BC88" s="9">
        <f t="shared" si="273"/>
        <v>0</v>
      </c>
      <c r="BD88">
        <v>0</v>
      </c>
      <c r="BE88" s="9">
        <f t="shared" si="274"/>
        <v>0</v>
      </c>
      <c r="BF88">
        <v>0</v>
      </c>
      <c r="BG88" s="9">
        <f t="shared" si="275"/>
        <v>0</v>
      </c>
      <c r="BI88">
        <v>12000</v>
      </c>
      <c r="BJ88">
        <v>0</v>
      </c>
      <c r="BK88" s="9">
        <f t="shared" si="276"/>
        <v>0</v>
      </c>
      <c r="BL88">
        <v>0</v>
      </c>
      <c r="BM88" s="9">
        <f t="shared" si="277"/>
        <v>0</v>
      </c>
      <c r="BN88">
        <v>0</v>
      </c>
      <c r="BO88" s="9">
        <f t="shared" si="278"/>
        <v>0</v>
      </c>
      <c r="BP88">
        <v>0</v>
      </c>
      <c r="BQ88" s="9">
        <f t="shared" si="279"/>
        <v>0</v>
      </c>
      <c r="BR88">
        <v>0</v>
      </c>
      <c r="BS88" s="9">
        <f t="shared" si="280"/>
        <v>0</v>
      </c>
      <c r="BU88">
        <v>12000</v>
      </c>
      <c r="BV88">
        <v>0</v>
      </c>
      <c r="BW88" s="9">
        <f t="shared" si="281"/>
        <v>0</v>
      </c>
      <c r="BX88">
        <v>0</v>
      </c>
      <c r="BY88" s="9">
        <f t="shared" si="282"/>
        <v>0</v>
      </c>
      <c r="BZ88">
        <v>0</v>
      </c>
      <c r="CA88" s="9">
        <f t="shared" si="283"/>
        <v>0</v>
      </c>
      <c r="CB88">
        <v>0</v>
      </c>
      <c r="CC88" s="9">
        <f t="shared" si="284"/>
        <v>0</v>
      </c>
      <c r="CD88">
        <v>0</v>
      </c>
      <c r="CE88" s="9">
        <f t="shared" si="285"/>
        <v>0</v>
      </c>
      <c r="CF88">
        <v>0</v>
      </c>
      <c r="CG88" s="9">
        <f t="shared" si="218"/>
        <v>0</v>
      </c>
      <c r="CI88">
        <v>12000</v>
      </c>
      <c r="CJ88">
        <f t="shared" si="200"/>
        <v>690</v>
      </c>
      <c r="CK88" s="9">
        <f t="shared" si="169"/>
        <v>9857.1428571428587</v>
      </c>
      <c r="CL88">
        <f t="shared" si="201"/>
        <v>663</v>
      </c>
      <c r="CM88" s="9">
        <f t="shared" si="170"/>
        <v>9785.9778597785989</v>
      </c>
      <c r="CN88">
        <f t="shared" si="208"/>
        <v>638</v>
      </c>
      <c r="CO88" s="9">
        <f t="shared" si="178"/>
        <v>9715.7360406091357</v>
      </c>
      <c r="CP88">
        <f t="shared" si="219"/>
        <v>615</v>
      </c>
      <c r="CQ88" s="9">
        <f t="shared" si="209"/>
        <v>9647.0588235294108</v>
      </c>
      <c r="CR88">
        <f t="shared" si="225"/>
        <v>588</v>
      </c>
      <c r="CS88" s="9">
        <f t="shared" si="220"/>
        <v>9560.9756097560967</v>
      </c>
      <c r="CT88">
        <f t="shared" si="226"/>
        <v>575</v>
      </c>
      <c r="CU88" s="9">
        <f t="shared" si="221"/>
        <v>9517.2413793103442</v>
      </c>
      <c r="CV88">
        <v>0</v>
      </c>
      <c r="CW88" s="9">
        <f t="shared" si="231"/>
        <v>0</v>
      </c>
    </row>
    <row r="89" spans="1:101" x14ac:dyDescent="0.25">
      <c r="A89">
        <v>12500</v>
      </c>
      <c r="B89">
        <v>0</v>
      </c>
      <c r="C89" s="9">
        <v>0</v>
      </c>
      <c r="D89">
        <v>0</v>
      </c>
      <c r="E89" s="9">
        <v>0</v>
      </c>
      <c r="F89">
        <v>0</v>
      </c>
      <c r="G89" s="9">
        <v>0</v>
      </c>
      <c r="H89">
        <v>0</v>
      </c>
      <c r="I89" s="9">
        <v>0</v>
      </c>
      <c r="J89">
        <v>0</v>
      </c>
      <c r="K89" s="9">
        <v>0</v>
      </c>
      <c r="M89">
        <v>12500</v>
      </c>
      <c r="N89">
        <v>0</v>
      </c>
      <c r="O89" s="9">
        <v>0</v>
      </c>
      <c r="P89">
        <v>0</v>
      </c>
      <c r="Q89" s="9">
        <v>0</v>
      </c>
      <c r="R89">
        <v>0</v>
      </c>
      <c r="S89" s="9">
        <v>0</v>
      </c>
      <c r="T89">
        <v>0</v>
      </c>
      <c r="U89" s="9">
        <v>0</v>
      </c>
      <c r="V89">
        <v>0</v>
      </c>
      <c r="W89" s="9">
        <v>0</v>
      </c>
      <c r="Y89">
        <v>12500</v>
      </c>
      <c r="Z89">
        <v>0</v>
      </c>
      <c r="AA89" s="9">
        <v>0</v>
      </c>
      <c r="AB89">
        <v>0</v>
      </c>
      <c r="AC89" s="9">
        <v>0</v>
      </c>
      <c r="AD89">
        <v>0</v>
      </c>
      <c r="AE89" s="9">
        <v>0</v>
      </c>
      <c r="AF89">
        <v>0</v>
      </c>
      <c r="AG89" s="9">
        <v>0</v>
      </c>
      <c r="AH89">
        <v>0</v>
      </c>
      <c r="AI89" s="9">
        <v>0</v>
      </c>
      <c r="AK89">
        <v>12500</v>
      </c>
      <c r="AL89">
        <v>0</v>
      </c>
      <c r="AM89" s="9">
        <v>0</v>
      </c>
      <c r="AN89">
        <v>0</v>
      </c>
      <c r="AO89" s="9">
        <v>0</v>
      </c>
      <c r="AP89">
        <v>0</v>
      </c>
      <c r="AQ89" s="9">
        <v>0</v>
      </c>
      <c r="AR89">
        <v>0</v>
      </c>
      <c r="AS89" s="9">
        <v>0</v>
      </c>
      <c r="AT89">
        <v>0</v>
      </c>
      <c r="AU89" s="9">
        <v>0</v>
      </c>
      <c r="AW89">
        <v>12500</v>
      </c>
      <c r="AX89">
        <v>0</v>
      </c>
      <c r="AY89" s="9">
        <v>0</v>
      </c>
      <c r="AZ89">
        <v>0</v>
      </c>
      <c r="BA89" s="9">
        <v>0</v>
      </c>
      <c r="BB89">
        <v>0</v>
      </c>
      <c r="BC89" s="9">
        <v>0</v>
      </c>
      <c r="BD89">
        <v>0</v>
      </c>
      <c r="BE89" s="9">
        <v>0</v>
      </c>
      <c r="BF89">
        <v>0</v>
      </c>
      <c r="BG89" s="9">
        <v>0</v>
      </c>
      <c r="BI89">
        <v>12500</v>
      </c>
      <c r="BJ89">
        <v>0</v>
      </c>
      <c r="BK89" s="9">
        <v>0</v>
      </c>
      <c r="BL89">
        <v>0</v>
      </c>
      <c r="BM89" s="9">
        <v>0</v>
      </c>
      <c r="BN89">
        <v>0</v>
      </c>
      <c r="BO89" s="9">
        <v>0</v>
      </c>
      <c r="BP89">
        <v>0</v>
      </c>
      <c r="BQ89" s="9">
        <v>0</v>
      </c>
      <c r="BR89">
        <v>0</v>
      </c>
      <c r="BS89" s="9">
        <v>0</v>
      </c>
      <c r="BU89">
        <v>12500</v>
      </c>
      <c r="BV89">
        <v>0</v>
      </c>
      <c r="BW89" s="9">
        <v>0</v>
      </c>
      <c r="BX89">
        <v>0</v>
      </c>
      <c r="BY89" s="9">
        <v>0</v>
      </c>
      <c r="BZ89">
        <v>0</v>
      </c>
      <c r="CA89" s="9">
        <v>0</v>
      </c>
      <c r="CB89">
        <v>0</v>
      </c>
      <c r="CC89" s="9">
        <v>0</v>
      </c>
      <c r="CD89">
        <v>0</v>
      </c>
      <c r="CE89" s="9">
        <v>0</v>
      </c>
      <c r="CF89">
        <v>0</v>
      </c>
      <c r="CG89" s="9">
        <f t="shared" si="218"/>
        <v>0</v>
      </c>
      <c r="CI89">
        <v>12500</v>
      </c>
      <c r="CJ89">
        <f t="shared" si="200"/>
        <v>688</v>
      </c>
      <c r="CK89" s="9">
        <f t="shared" si="169"/>
        <v>10262.529832935561</v>
      </c>
      <c r="CL89">
        <f t="shared" si="201"/>
        <v>660</v>
      </c>
      <c r="CM89" s="9">
        <f t="shared" si="170"/>
        <v>10185.185185185184</v>
      </c>
      <c r="CN89">
        <f t="shared" si="208"/>
        <v>634</v>
      </c>
      <c r="CO89" s="9">
        <f t="shared" si="178"/>
        <v>10108.418367346938</v>
      </c>
      <c r="CP89">
        <f t="shared" si="219"/>
        <v>610</v>
      </c>
      <c r="CQ89" s="9">
        <f t="shared" si="209"/>
        <v>10032.894736842105</v>
      </c>
      <c r="CR89">
        <f t="shared" si="225"/>
        <v>582</v>
      </c>
      <c r="CS89" s="9">
        <f t="shared" si="220"/>
        <v>9938.5245901639337</v>
      </c>
      <c r="CT89">
        <f t="shared" si="226"/>
        <v>568</v>
      </c>
      <c r="CU89" s="9">
        <f t="shared" si="221"/>
        <v>9888.5793871866299</v>
      </c>
      <c r="CV89">
        <v>0</v>
      </c>
      <c r="CW89" s="9">
        <f t="shared" si="231"/>
        <v>0</v>
      </c>
    </row>
    <row r="90" spans="1:101" x14ac:dyDescent="0.25">
      <c r="A90">
        <v>13000</v>
      </c>
      <c r="B90">
        <v>0</v>
      </c>
      <c r="C90" s="9">
        <v>0</v>
      </c>
      <c r="D90">
        <v>0</v>
      </c>
      <c r="E90" s="9">
        <v>0</v>
      </c>
      <c r="F90">
        <v>0</v>
      </c>
      <c r="G90" s="9">
        <v>0</v>
      </c>
      <c r="H90">
        <v>0</v>
      </c>
      <c r="I90" s="9">
        <v>0</v>
      </c>
      <c r="J90">
        <v>0</v>
      </c>
      <c r="K90" s="9">
        <v>0</v>
      </c>
      <c r="M90">
        <v>13000</v>
      </c>
      <c r="N90">
        <v>0</v>
      </c>
      <c r="O90" s="9">
        <v>0</v>
      </c>
      <c r="P90">
        <v>0</v>
      </c>
      <c r="Q90" s="9">
        <v>0</v>
      </c>
      <c r="R90">
        <v>0</v>
      </c>
      <c r="S90" s="9">
        <v>0</v>
      </c>
      <c r="T90">
        <v>0</v>
      </c>
      <c r="U90" s="9">
        <v>0</v>
      </c>
      <c r="V90">
        <v>0</v>
      </c>
      <c r="W90" s="9">
        <v>0</v>
      </c>
      <c r="Y90">
        <v>13000</v>
      </c>
      <c r="Z90">
        <v>0</v>
      </c>
      <c r="AA90" s="9">
        <v>0</v>
      </c>
      <c r="AB90">
        <v>0</v>
      </c>
      <c r="AC90" s="9">
        <v>0</v>
      </c>
      <c r="AD90">
        <v>0</v>
      </c>
      <c r="AE90" s="9">
        <v>0</v>
      </c>
      <c r="AF90">
        <v>0</v>
      </c>
      <c r="AG90" s="9">
        <v>0</v>
      </c>
      <c r="AH90">
        <v>0</v>
      </c>
      <c r="AI90" s="9">
        <v>0</v>
      </c>
      <c r="AK90">
        <v>13000</v>
      </c>
      <c r="AL90">
        <v>0</v>
      </c>
      <c r="AM90" s="9">
        <v>0</v>
      </c>
      <c r="AN90">
        <v>0</v>
      </c>
      <c r="AO90" s="9">
        <v>0</v>
      </c>
      <c r="AP90">
        <v>0</v>
      </c>
      <c r="AQ90" s="9">
        <v>0</v>
      </c>
      <c r="AR90">
        <v>0</v>
      </c>
      <c r="AS90" s="9">
        <v>0</v>
      </c>
      <c r="AT90">
        <v>0</v>
      </c>
      <c r="AU90" s="9">
        <v>0</v>
      </c>
      <c r="AW90">
        <v>13000</v>
      </c>
      <c r="AX90">
        <v>0</v>
      </c>
      <c r="AY90" s="9">
        <v>0</v>
      </c>
      <c r="AZ90">
        <v>0</v>
      </c>
      <c r="BA90" s="9">
        <v>0</v>
      </c>
      <c r="BB90">
        <v>0</v>
      </c>
      <c r="BC90" s="9">
        <v>0</v>
      </c>
      <c r="BD90">
        <v>0</v>
      </c>
      <c r="BE90" s="9">
        <v>0</v>
      </c>
      <c r="BF90">
        <v>0</v>
      </c>
      <c r="BG90" s="9">
        <v>0</v>
      </c>
      <c r="BI90">
        <v>13000</v>
      </c>
      <c r="BJ90">
        <v>0</v>
      </c>
      <c r="BK90" s="9">
        <v>0</v>
      </c>
      <c r="BL90">
        <v>0</v>
      </c>
      <c r="BM90" s="9">
        <v>0</v>
      </c>
      <c r="BN90">
        <v>0</v>
      </c>
      <c r="BO90" s="9">
        <v>0</v>
      </c>
      <c r="BP90">
        <v>0</v>
      </c>
      <c r="BQ90" s="9">
        <v>0</v>
      </c>
      <c r="BR90">
        <v>0</v>
      </c>
      <c r="BS90" s="9">
        <v>0</v>
      </c>
      <c r="BU90">
        <v>13000</v>
      </c>
      <c r="BV90">
        <v>0</v>
      </c>
      <c r="BW90" s="9">
        <v>0</v>
      </c>
      <c r="BX90">
        <v>0</v>
      </c>
      <c r="BY90" s="9">
        <v>0</v>
      </c>
      <c r="BZ90">
        <v>0</v>
      </c>
      <c r="CA90" s="9">
        <v>0</v>
      </c>
      <c r="CB90">
        <v>0</v>
      </c>
      <c r="CC90" s="9">
        <v>0</v>
      </c>
      <c r="CD90">
        <v>0</v>
      </c>
      <c r="CE90" s="9">
        <v>0</v>
      </c>
      <c r="CF90">
        <v>0</v>
      </c>
      <c r="CG90" s="9">
        <f t="shared" si="218"/>
        <v>0</v>
      </c>
      <c r="CI90">
        <v>13000</v>
      </c>
      <c r="CJ90">
        <f t="shared" si="200"/>
        <v>686</v>
      </c>
      <c r="CK90" s="9">
        <f t="shared" si="169"/>
        <v>10667.464114832535</v>
      </c>
      <c r="CL90">
        <f t="shared" si="201"/>
        <v>657</v>
      </c>
      <c r="CM90" s="9">
        <f t="shared" si="170"/>
        <v>10583.64312267658</v>
      </c>
      <c r="CN90">
        <f t="shared" si="208"/>
        <v>630</v>
      </c>
      <c r="CO90" s="9">
        <f t="shared" si="178"/>
        <v>10500</v>
      </c>
      <c r="CP90">
        <f t="shared" si="219"/>
        <v>605</v>
      </c>
      <c r="CQ90" s="9">
        <f t="shared" si="209"/>
        <v>10417.218543046358</v>
      </c>
      <c r="CR90">
        <f t="shared" si="225"/>
        <v>576</v>
      </c>
      <c r="CS90" s="9">
        <f t="shared" si="220"/>
        <v>10314.04958677686</v>
      </c>
      <c r="CT90">
        <f t="shared" si="226"/>
        <v>561</v>
      </c>
      <c r="CU90" s="9">
        <f t="shared" si="221"/>
        <v>10257.383966244726</v>
      </c>
      <c r="CV90">
        <v>0</v>
      </c>
      <c r="CW90" s="9">
        <f t="shared" si="231"/>
        <v>0</v>
      </c>
    </row>
    <row r="91" spans="1:101" x14ac:dyDescent="0.25">
      <c r="A91">
        <v>13500</v>
      </c>
      <c r="B91">
        <v>0</v>
      </c>
      <c r="C91" s="9">
        <f t="shared" ref="C91:C97" si="286">PRODUCT(A92,B91,1/(B91+300))</f>
        <v>0</v>
      </c>
      <c r="D91">
        <v>0</v>
      </c>
      <c r="E91" s="9">
        <f t="shared" ref="E91:E97" si="287">PRODUCT(C91,D91,1/(D91+300))</f>
        <v>0</v>
      </c>
      <c r="F91">
        <v>0</v>
      </c>
      <c r="G91" s="9">
        <f t="shared" ref="G91:G97" si="288">PRODUCT(E91,F91,1/(F91+300))</f>
        <v>0</v>
      </c>
      <c r="H91">
        <v>0</v>
      </c>
      <c r="I91" s="9">
        <f t="shared" ref="I91:I97" si="289">PRODUCT(G91,H91,1/(H91+300))</f>
        <v>0</v>
      </c>
      <c r="J91">
        <v>0</v>
      </c>
      <c r="K91" s="9">
        <f t="shared" ref="K91:K97" si="290">PRODUCT(I91,J91,1/(J91+300))</f>
        <v>0</v>
      </c>
      <c r="M91">
        <v>13500</v>
      </c>
      <c r="N91">
        <v>0</v>
      </c>
      <c r="O91" s="9">
        <f t="shared" ref="O91:O97" si="291">PRODUCT(M92,N91,1/(N91+300))</f>
        <v>0</v>
      </c>
      <c r="P91">
        <v>0</v>
      </c>
      <c r="Q91" s="9">
        <f t="shared" ref="Q91:Q97" si="292">PRODUCT(O91,P91,1/(P91+300))</f>
        <v>0</v>
      </c>
      <c r="R91">
        <v>0</v>
      </c>
      <c r="S91" s="9">
        <f t="shared" ref="S91:S97" si="293">PRODUCT(Q91,R91,1/(R91+300))</f>
        <v>0</v>
      </c>
      <c r="T91">
        <v>0</v>
      </c>
      <c r="U91" s="9">
        <f t="shared" ref="U91:U97" si="294">PRODUCT(S91,T91,1/(T91+300))</f>
        <v>0</v>
      </c>
      <c r="V91">
        <v>0</v>
      </c>
      <c r="W91" s="9">
        <f t="shared" ref="W91:W97" si="295">PRODUCT(U91,V91,1/(V91+300))</f>
        <v>0</v>
      </c>
      <c r="Y91">
        <v>13500</v>
      </c>
      <c r="Z91">
        <v>0</v>
      </c>
      <c r="AA91" s="9">
        <f t="shared" ref="AA91:AA97" si="296">PRODUCT(Y92,Z91,1/(Z91+300))</f>
        <v>0</v>
      </c>
      <c r="AB91">
        <v>0</v>
      </c>
      <c r="AC91" s="9">
        <f t="shared" ref="AC91:AC97" si="297">PRODUCT(AA91,AB91,1/(AB91+300))</f>
        <v>0</v>
      </c>
      <c r="AD91">
        <v>0</v>
      </c>
      <c r="AE91" s="9">
        <f t="shared" ref="AE91:AE97" si="298">PRODUCT(AC91,AD91,1/(AD91+300))</f>
        <v>0</v>
      </c>
      <c r="AF91">
        <v>0</v>
      </c>
      <c r="AG91" s="9">
        <f t="shared" ref="AG91:AG97" si="299">PRODUCT(AE91,AF91,1/(AF91+300))</f>
        <v>0</v>
      </c>
      <c r="AH91">
        <v>0</v>
      </c>
      <c r="AI91" s="9">
        <f t="shared" ref="AI91:AI97" si="300">PRODUCT(AG91,AH91,1/(AH91+300))</f>
        <v>0</v>
      </c>
      <c r="AK91">
        <v>13500</v>
      </c>
      <c r="AL91">
        <v>0</v>
      </c>
      <c r="AM91" s="9">
        <f t="shared" ref="AM91:AM97" si="301">PRODUCT(AK92,AL91,1/(AL91+300))</f>
        <v>0</v>
      </c>
      <c r="AN91">
        <v>0</v>
      </c>
      <c r="AO91" s="9">
        <f t="shared" ref="AO91:AO97" si="302">PRODUCT(AM91,AN91,1/(AN91+300))</f>
        <v>0</v>
      </c>
      <c r="AP91">
        <v>0</v>
      </c>
      <c r="AQ91" s="9">
        <f t="shared" ref="AQ91:AQ97" si="303">PRODUCT(AO91,AP91,1/(AP91+300))</f>
        <v>0</v>
      </c>
      <c r="AR91">
        <v>0</v>
      </c>
      <c r="AS91" s="9">
        <f t="shared" ref="AS91:AS97" si="304">PRODUCT(AQ91,AR91,1/(AR91+300))</f>
        <v>0</v>
      </c>
      <c r="AT91">
        <v>0</v>
      </c>
      <c r="AU91" s="9">
        <f t="shared" ref="AU91:AU97" si="305">PRODUCT(AS91,AT91,1/(AT91+300))</f>
        <v>0</v>
      </c>
      <c r="AW91">
        <v>13500</v>
      </c>
      <c r="AX91">
        <v>0</v>
      </c>
      <c r="AY91" s="9">
        <f t="shared" ref="AY91:AY97" si="306">PRODUCT(AW92,AX91,1/(AX91+300))</f>
        <v>0</v>
      </c>
      <c r="AZ91">
        <v>0</v>
      </c>
      <c r="BA91" s="9">
        <f t="shared" ref="BA91:BA97" si="307">PRODUCT(AY91,AZ91,1/(AZ91+300))</f>
        <v>0</v>
      </c>
      <c r="BB91">
        <v>0</v>
      </c>
      <c r="BC91" s="9">
        <f t="shared" ref="BC91:BC97" si="308">PRODUCT(BA91,BB91,1/(BB91+300))</f>
        <v>0</v>
      </c>
      <c r="BD91">
        <v>0</v>
      </c>
      <c r="BE91" s="9">
        <f t="shared" ref="BE91:BE97" si="309">PRODUCT(BC91,BD91,1/(BD91+300))</f>
        <v>0</v>
      </c>
      <c r="BF91">
        <v>0</v>
      </c>
      <c r="BG91" s="9">
        <f t="shared" ref="BG91:BG97" si="310">PRODUCT(BE91,BF91,1/(BF91+300))</f>
        <v>0</v>
      </c>
      <c r="BI91">
        <v>13500</v>
      </c>
      <c r="BJ91">
        <v>0</v>
      </c>
      <c r="BK91" s="9">
        <f t="shared" ref="BK91:BK97" si="311">PRODUCT(BI92,BJ91,1/(BJ91+300))</f>
        <v>0</v>
      </c>
      <c r="BL91">
        <v>0</v>
      </c>
      <c r="BM91" s="9">
        <f t="shared" ref="BM91:BM97" si="312">PRODUCT(BK91,BL91,1/(BL91+300))</f>
        <v>0</v>
      </c>
      <c r="BN91">
        <v>0</v>
      </c>
      <c r="BO91" s="9">
        <f t="shared" ref="BO91:BO97" si="313">PRODUCT(BM91,BN91,1/(BN91+300))</f>
        <v>0</v>
      </c>
      <c r="BP91">
        <v>0</v>
      </c>
      <c r="BQ91" s="9">
        <f t="shared" ref="BQ91:BQ97" si="314">PRODUCT(BO91,BP91,1/(BP91+300))</f>
        <v>0</v>
      </c>
      <c r="BR91">
        <v>0</v>
      </c>
      <c r="BS91" s="9">
        <f t="shared" ref="BS91:BS97" si="315">PRODUCT(BQ91,BR91,1/(BR91+300))</f>
        <v>0</v>
      </c>
      <c r="BU91">
        <v>13500</v>
      </c>
      <c r="BV91">
        <v>0</v>
      </c>
      <c r="BW91" s="9">
        <f t="shared" ref="BW91:BW97" si="316">PRODUCT(BU92,BV91,1/(BV91+300))</f>
        <v>0</v>
      </c>
      <c r="BX91">
        <v>0</v>
      </c>
      <c r="BY91" s="9">
        <f t="shared" ref="BY91:BY97" si="317">PRODUCT(BW91,BX91,1/(BX91+300))</f>
        <v>0</v>
      </c>
      <c r="BZ91">
        <v>0</v>
      </c>
      <c r="CA91" s="9">
        <f t="shared" ref="CA91:CA97" si="318">PRODUCT(BY91,BZ91,1/(BZ91+300))</f>
        <v>0</v>
      </c>
      <c r="CB91">
        <v>0</v>
      </c>
      <c r="CC91" s="9">
        <f t="shared" ref="CC91:CC97" si="319">PRODUCT(CA91,CB91,1/(CB91+300))</f>
        <v>0</v>
      </c>
      <c r="CD91">
        <v>0</v>
      </c>
      <c r="CE91" s="9">
        <f t="shared" ref="CE91:CE97" si="320">PRODUCT(CC91,CD91,1/(CD91+300))</f>
        <v>0</v>
      </c>
      <c r="CF91">
        <v>0</v>
      </c>
      <c r="CG91" s="9">
        <f t="shared" si="218"/>
        <v>0</v>
      </c>
      <c r="CI91">
        <v>13500</v>
      </c>
      <c r="CJ91">
        <f t="shared" si="200"/>
        <v>684</v>
      </c>
      <c r="CK91" s="9">
        <f t="shared" si="169"/>
        <v>11071.942446043166</v>
      </c>
      <c r="CL91">
        <f t="shared" si="201"/>
        <v>654</v>
      </c>
      <c r="CM91" s="9">
        <f t="shared" si="170"/>
        <v>10981.343283582089</v>
      </c>
      <c r="CN91">
        <f t="shared" si="208"/>
        <v>626</v>
      </c>
      <c r="CO91" s="9">
        <f t="shared" si="178"/>
        <v>10890.463917525773</v>
      </c>
      <c r="CP91">
        <f t="shared" si="219"/>
        <v>600</v>
      </c>
      <c r="CQ91" s="9">
        <f t="shared" si="209"/>
        <v>10800</v>
      </c>
      <c r="CR91">
        <f t="shared" si="225"/>
        <v>570</v>
      </c>
      <c r="CS91" s="9">
        <f t="shared" si="220"/>
        <v>10687.5</v>
      </c>
      <c r="CT91">
        <v>0</v>
      </c>
      <c r="CU91" s="9">
        <f t="shared" si="221"/>
        <v>0</v>
      </c>
      <c r="CV91">
        <v>0</v>
      </c>
      <c r="CW91" s="9">
        <f t="shared" si="231"/>
        <v>0</v>
      </c>
    </row>
    <row r="92" spans="1:101" x14ac:dyDescent="0.25">
      <c r="A92">
        <v>14000</v>
      </c>
      <c r="B92">
        <v>0</v>
      </c>
      <c r="C92" s="9">
        <f t="shared" si="286"/>
        <v>0</v>
      </c>
      <c r="D92">
        <v>0</v>
      </c>
      <c r="E92" s="9">
        <f t="shared" si="287"/>
        <v>0</v>
      </c>
      <c r="F92">
        <v>0</v>
      </c>
      <c r="G92" s="9">
        <f t="shared" si="288"/>
        <v>0</v>
      </c>
      <c r="H92">
        <v>0</v>
      </c>
      <c r="I92" s="9">
        <f t="shared" si="289"/>
        <v>0</v>
      </c>
      <c r="J92">
        <v>0</v>
      </c>
      <c r="K92" s="9">
        <f t="shared" si="290"/>
        <v>0</v>
      </c>
      <c r="M92">
        <v>14000</v>
      </c>
      <c r="N92">
        <v>0</v>
      </c>
      <c r="O92" s="9">
        <f t="shared" si="291"/>
        <v>0</v>
      </c>
      <c r="P92">
        <v>0</v>
      </c>
      <c r="Q92" s="9">
        <f t="shared" si="292"/>
        <v>0</v>
      </c>
      <c r="R92">
        <v>0</v>
      </c>
      <c r="S92" s="9">
        <f t="shared" si="293"/>
        <v>0</v>
      </c>
      <c r="T92">
        <v>0</v>
      </c>
      <c r="U92" s="9">
        <f t="shared" si="294"/>
        <v>0</v>
      </c>
      <c r="V92">
        <v>0</v>
      </c>
      <c r="W92" s="9">
        <f t="shared" si="295"/>
        <v>0</v>
      </c>
      <c r="Y92">
        <v>14000</v>
      </c>
      <c r="Z92">
        <v>0</v>
      </c>
      <c r="AA92" s="9">
        <f t="shared" si="296"/>
        <v>0</v>
      </c>
      <c r="AB92">
        <v>0</v>
      </c>
      <c r="AC92" s="9">
        <f t="shared" si="297"/>
        <v>0</v>
      </c>
      <c r="AD92">
        <v>0</v>
      </c>
      <c r="AE92" s="9">
        <f t="shared" si="298"/>
        <v>0</v>
      </c>
      <c r="AF92">
        <v>0</v>
      </c>
      <c r="AG92" s="9">
        <f t="shared" si="299"/>
        <v>0</v>
      </c>
      <c r="AH92">
        <v>0</v>
      </c>
      <c r="AI92" s="9">
        <f t="shared" si="300"/>
        <v>0</v>
      </c>
      <c r="AK92">
        <v>14000</v>
      </c>
      <c r="AL92">
        <v>0</v>
      </c>
      <c r="AM92" s="9">
        <f t="shared" si="301"/>
        <v>0</v>
      </c>
      <c r="AN92">
        <v>0</v>
      </c>
      <c r="AO92" s="9">
        <f t="shared" si="302"/>
        <v>0</v>
      </c>
      <c r="AP92">
        <v>0</v>
      </c>
      <c r="AQ92" s="9">
        <f t="shared" si="303"/>
        <v>0</v>
      </c>
      <c r="AR92">
        <v>0</v>
      </c>
      <c r="AS92" s="9">
        <f t="shared" si="304"/>
        <v>0</v>
      </c>
      <c r="AT92">
        <v>0</v>
      </c>
      <c r="AU92" s="9">
        <f t="shared" si="305"/>
        <v>0</v>
      </c>
      <c r="AW92">
        <v>14000</v>
      </c>
      <c r="AX92">
        <v>0</v>
      </c>
      <c r="AY92" s="9">
        <f t="shared" si="306"/>
        <v>0</v>
      </c>
      <c r="AZ92">
        <v>0</v>
      </c>
      <c r="BA92" s="9">
        <f t="shared" si="307"/>
        <v>0</v>
      </c>
      <c r="BB92">
        <v>0</v>
      </c>
      <c r="BC92" s="9">
        <f t="shared" si="308"/>
        <v>0</v>
      </c>
      <c r="BD92">
        <v>0</v>
      </c>
      <c r="BE92" s="9">
        <f t="shared" si="309"/>
        <v>0</v>
      </c>
      <c r="BF92">
        <v>0</v>
      </c>
      <c r="BG92" s="9">
        <f t="shared" si="310"/>
        <v>0</v>
      </c>
      <c r="BI92">
        <v>14000</v>
      </c>
      <c r="BJ92">
        <v>0</v>
      </c>
      <c r="BK92" s="9">
        <f t="shared" si="311"/>
        <v>0</v>
      </c>
      <c r="BL92">
        <v>0</v>
      </c>
      <c r="BM92" s="9">
        <f t="shared" si="312"/>
        <v>0</v>
      </c>
      <c r="BN92">
        <v>0</v>
      </c>
      <c r="BO92" s="9">
        <f t="shared" si="313"/>
        <v>0</v>
      </c>
      <c r="BP92">
        <v>0</v>
      </c>
      <c r="BQ92" s="9">
        <f t="shared" si="314"/>
        <v>0</v>
      </c>
      <c r="BR92">
        <v>0</v>
      </c>
      <c r="BS92" s="9">
        <f t="shared" si="315"/>
        <v>0</v>
      </c>
      <c r="BU92">
        <v>14000</v>
      </c>
      <c r="BV92">
        <v>0</v>
      </c>
      <c r="BW92" s="9">
        <f t="shared" si="316"/>
        <v>0</v>
      </c>
      <c r="BX92">
        <v>0</v>
      </c>
      <c r="BY92" s="9">
        <f t="shared" si="317"/>
        <v>0</v>
      </c>
      <c r="BZ92">
        <v>0</v>
      </c>
      <c r="CA92" s="9">
        <f t="shared" si="318"/>
        <v>0</v>
      </c>
      <c r="CB92">
        <v>0</v>
      </c>
      <c r="CC92" s="9">
        <f t="shared" si="319"/>
        <v>0</v>
      </c>
      <c r="CD92">
        <v>0</v>
      </c>
      <c r="CE92" s="9">
        <f t="shared" si="320"/>
        <v>0</v>
      </c>
      <c r="CF92">
        <v>0</v>
      </c>
      <c r="CG92" s="9">
        <f t="shared" si="218"/>
        <v>0</v>
      </c>
      <c r="CI92">
        <v>14000</v>
      </c>
      <c r="CJ92">
        <f t="shared" si="200"/>
        <v>682</v>
      </c>
      <c r="CK92" s="9">
        <f t="shared" si="169"/>
        <v>11475.961538461539</v>
      </c>
      <c r="CL92">
        <f t="shared" si="201"/>
        <v>651</v>
      </c>
      <c r="CM92" s="9">
        <f t="shared" si="170"/>
        <v>11378.277153558052</v>
      </c>
      <c r="CN92">
        <f t="shared" si="208"/>
        <v>622</v>
      </c>
      <c r="CO92" s="9">
        <f t="shared" si="178"/>
        <v>11279.79274611399</v>
      </c>
      <c r="CP92">
        <f t="shared" si="219"/>
        <v>595</v>
      </c>
      <c r="CQ92" s="9">
        <f t="shared" si="209"/>
        <v>11181.208053691274</v>
      </c>
      <c r="CR92">
        <f t="shared" si="225"/>
        <v>564</v>
      </c>
      <c r="CS92" s="9">
        <f t="shared" si="220"/>
        <v>11058.823529411764</v>
      </c>
      <c r="CT92">
        <v>0</v>
      </c>
      <c r="CU92" s="9">
        <f t="shared" si="221"/>
        <v>0</v>
      </c>
      <c r="CV92">
        <v>0</v>
      </c>
      <c r="CW92" s="9">
        <f t="shared" si="231"/>
        <v>0</v>
      </c>
    </row>
    <row r="93" spans="1:101" x14ac:dyDescent="0.25">
      <c r="A93">
        <v>14500</v>
      </c>
      <c r="B93">
        <v>0</v>
      </c>
      <c r="C93" s="9">
        <f t="shared" si="286"/>
        <v>0</v>
      </c>
      <c r="D93">
        <v>0</v>
      </c>
      <c r="E93" s="9">
        <f t="shared" si="287"/>
        <v>0</v>
      </c>
      <c r="F93">
        <v>0</v>
      </c>
      <c r="G93" s="9">
        <f t="shared" si="288"/>
        <v>0</v>
      </c>
      <c r="H93">
        <v>0</v>
      </c>
      <c r="I93" s="9">
        <f t="shared" si="289"/>
        <v>0</v>
      </c>
      <c r="J93">
        <v>0</v>
      </c>
      <c r="K93" s="9">
        <f t="shared" si="290"/>
        <v>0</v>
      </c>
      <c r="M93">
        <v>14500</v>
      </c>
      <c r="N93">
        <v>0</v>
      </c>
      <c r="O93" s="9">
        <f t="shared" si="291"/>
        <v>0</v>
      </c>
      <c r="P93">
        <v>0</v>
      </c>
      <c r="Q93" s="9">
        <f t="shared" si="292"/>
        <v>0</v>
      </c>
      <c r="R93">
        <v>0</v>
      </c>
      <c r="S93" s="9">
        <f t="shared" si="293"/>
        <v>0</v>
      </c>
      <c r="T93">
        <v>0</v>
      </c>
      <c r="U93" s="9">
        <f t="shared" si="294"/>
        <v>0</v>
      </c>
      <c r="V93">
        <v>0</v>
      </c>
      <c r="W93" s="9">
        <f t="shared" si="295"/>
        <v>0</v>
      </c>
      <c r="Y93">
        <v>14500</v>
      </c>
      <c r="Z93">
        <v>0</v>
      </c>
      <c r="AA93" s="9">
        <f t="shared" si="296"/>
        <v>0</v>
      </c>
      <c r="AB93">
        <v>0</v>
      </c>
      <c r="AC93" s="9">
        <f t="shared" si="297"/>
        <v>0</v>
      </c>
      <c r="AD93">
        <v>0</v>
      </c>
      <c r="AE93" s="9">
        <f t="shared" si="298"/>
        <v>0</v>
      </c>
      <c r="AF93">
        <v>0</v>
      </c>
      <c r="AG93" s="9">
        <f t="shared" si="299"/>
        <v>0</v>
      </c>
      <c r="AH93">
        <v>0</v>
      </c>
      <c r="AI93" s="9">
        <f t="shared" si="300"/>
        <v>0</v>
      </c>
      <c r="AK93">
        <v>14500</v>
      </c>
      <c r="AL93">
        <v>0</v>
      </c>
      <c r="AM93" s="9">
        <f t="shared" si="301"/>
        <v>0</v>
      </c>
      <c r="AN93">
        <v>0</v>
      </c>
      <c r="AO93" s="9">
        <f t="shared" si="302"/>
        <v>0</v>
      </c>
      <c r="AP93">
        <v>0</v>
      </c>
      <c r="AQ93" s="9">
        <f t="shared" si="303"/>
        <v>0</v>
      </c>
      <c r="AR93">
        <v>0</v>
      </c>
      <c r="AS93" s="9">
        <f t="shared" si="304"/>
        <v>0</v>
      </c>
      <c r="AT93">
        <v>0</v>
      </c>
      <c r="AU93" s="9">
        <f t="shared" si="305"/>
        <v>0</v>
      </c>
      <c r="AW93">
        <v>14500</v>
      </c>
      <c r="AX93">
        <v>0</v>
      </c>
      <c r="AY93" s="9">
        <f t="shared" si="306"/>
        <v>0</v>
      </c>
      <c r="AZ93">
        <v>0</v>
      </c>
      <c r="BA93" s="9">
        <f t="shared" si="307"/>
        <v>0</v>
      </c>
      <c r="BB93">
        <v>0</v>
      </c>
      <c r="BC93" s="9">
        <f t="shared" si="308"/>
        <v>0</v>
      </c>
      <c r="BD93">
        <v>0</v>
      </c>
      <c r="BE93" s="9">
        <f t="shared" si="309"/>
        <v>0</v>
      </c>
      <c r="BF93">
        <v>0</v>
      </c>
      <c r="BG93" s="9">
        <f t="shared" si="310"/>
        <v>0</v>
      </c>
      <c r="BI93">
        <v>14500</v>
      </c>
      <c r="BJ93">
        <v>0</v>
      </c>
      <c r="BK93" s="9">
        <f t="shared" si="311"/>
        <v>0</v>
      </c>
      <c r="BL93">
        <v>0</v>
      </c>
      <c r="BM93" s="9">
        <f t="shared" si="312"/>
        <v>0</v>
      </c>
      <c r="BN93">
        <v>0</v>
      </c>
      <c r="BO93" s="9">
        <f t="shared" si="313"/>
        <v>0</v>
      </c>
      <c r="BP93">
        <v>0</v>
      </c>
      <c r="BQ93" s="9">
        <f t="shared" si="314"/>
        <v>0</v>
      </c>
      <c r="BR93">
        <v>0</v>
      </c>
      <c r="BS93" s="9">
        <f t="shared" si="315"/>
        <v>0</v>
      </c>
      <c r="BU93">
        <v>14500</v>
      </c>
      <c r="BV93">
        <v>0</v>
      </c>
      <c r="BW93" s="9">
        <f t="shared" si="316"/>
        <v>0</v>
      </c>
      <c r="BX93">
        <v>0</v>
      </c>
      <c r="BY93" s="9">
        <f t="shared" si="317"/>
        <v>0</v>
      </c>
      <c r="BZ93">
        <v>0</v>
      </c>
      <c r="CA93" s="9">
        <f t="shared" si="318"/>
        <v>0</v>
      </c>
      <c r="CB93">
        <v>0</v>
      </c>
      <c r="CC93" s="9">
        <f t="shared" si="319"/>
        <v>0</v>
      </c>
      <c r="CD93">
        <v>0</v>
      </c>
      <c r="CE93" s="9">
        <f t="shared" si="320"/>
        <v>0</v>
      </c>
      <c r="CF93">
        <v>0</v>
      </c>
      <c r="CG93" s="9">
        <f t="shared" si="218"/>
        <v>0</v>
      </c>
      <c r="CI93">
        <v>14500</v>
      </c>
      <c r="CJ93">
        <f t="shared" si="200"/>
        <v>680</v>
      </c>
      <c r="CK93" s="9">
        <f t="shared" si="169"/>
        <v>11879.518072289158</v>
      </c>
      <c r="CL93">
        <f t="shared" si="201"/>
        <v>648</v>
      </c>
      <c r="CM93" s="9">
        <f t="shared" si="170"/>
        <v>11774.436090225563</v>
      </c>
      <c r="CN93">
        <f t="shared" si="208"/>
        <v>618</v>
      </c>
      <c r="CO93" s="9">
        <f t="shared" si="178"/>
        <v>11667.96875</v>
      </c>
      <c r="CP93">
        <f t="shared" si="219"/>
        <v>590</v>
      </c>
      <c r="CQ93" s="9">
        <f t="shared" si="209"/>
        <v>11560.810810810812</v>
      </c>
      <c r="CR93">
        <v>0</v>
      </c>
      <c r="CS93" s="9">
        <f t="shared" si="220"/>
        <v>0</v>
      </c>
      <c r="CT93">
        <v>0</v>
      </c>
      <c r="CU93" s="9">
        <f t="shared" si="221"/>
        <v>0</v>
      </c>
      <c r="CV93">
        <v>0</v>
      </c>
      <c r="CW93" s="9">
        <f t="shared" si="231"/>
        <v>0</v>
      </c>
    </row>
    <row r="94" spans="1:101" x14ac:dyDescent="0.25">
      <c r="A94">
        <v>15000</v>
      </c>
      <c r="B94">
        <v>0</v>
      </c>
      <c r="C94" s="9">
        <f t="shared" si="286"/>
        <v>0</v>
      </c>
      <c r="D94">
        <v>0</v>
      </c>
      <c r="E94" s="9">
        <f t="shared" si="287"/>
        <v>0</v>
      </c>
      <c r="F94">
        <v>0</v>
      </c>
      <c r="G94" s="9">
        <f t="shared" si="288"/>
        <v>0</v>
      </c>
      <c r="H94">
        <v>0</v>
      </c>
      <c r="I94" s="9">
        <f t="shared" si="289"/>
        <v>0</v>
      </c>
      <c r="J94">
        <v>0</v>
      </c>
      <c r="K94" s="9">
        <f t="shared" si="290"/>
        <v>0</v>
      </c>
      <c r="M94">
        <v>15000</v>
      </c>
      <c r="N94">
        <v>0</v>
      </c>
      <c r="O94" s="9">
        <f t="shared" si="291"/>
        <v>0</v>
      </c>
      <c r="P94">
        <v>0</v>
      </c>
      <c r="Q94" s="9">
        <f t="shared" si="292"/>
        <v>0</v>
      </c>
      <c r="R94">
        <v>0</v>
      </c>
      <c r="S94" s="9">
        <f t="shared" si="293"/>
        <v>0</v>
      </c>
      <c r="T94">
        <v>0</v>
      </c>
      <c r="U94" s="9">
        <f t="shared" si="294"/>
        <v>0</v>
      </c>
      <c r="V94">
        <v>0</v>
      </c>
      <c r="W94" s="9">
        <f t="shared" si="295"/>
        <v>0</v>
      </c>
      <c r="Y94">
        <v>15000</v>
      </c>
      <c r="Z94">
        <v>0</v>
      </c>
      <c r="AA94" s="9">
        <f t="shared" si="296"/>
        <v>0</v>
      </c>
      <c r="AB94">
        <v>0</v>
      </c>
      <c r="AC94" s="9">
        <f t="shared" si="297"/>
        <v>0</v>
      </c>
      <c r="AD94">
        <v>0</v>
      </c>
      <c r="AE94" s="9">
        <f t="shared" si="298"/>
        <v>0</v>
      </c>
      <c r="AF94">
        <v>0</v>
      </c>
      <c r="AG94" s="9">
        <f t="shared" si="299"/>
        <v>0</v>
      </c>
      <c r="AH94">
        <v>0</v>
      </c>
      <c r="AI94" s="9">
        <f t="shared" si="300"/>
        <v>0</v>
      </c>
      <c r="AK94">
        <v>15000</v>
      </c>
      <c r="AL94">
        <v>0</v>
      </c>
      <c r="AM94" s="9">
        <f t="shared" si="301"/>
        <v>0</v>
      </c>
      <c r="AN94">
        <v>0</v>
      </c>
      <c r="AO94" s="9">
        <f t="shared" si="302"/>
        <v>0</v>
      </c>
      <c r="AP94">
        <v>0</v>
      </c>
      <c r="AQ94" s="9">
        <f t="shared" si="303"/>
        <v>0</v>
      </c>
      <c r="AR94">
        <v>0</v>
      </c>
      <c r="AS94" s="9">
        <f t="shared" si="304"/>
        <v>0</v>
      </c>
      <c r="AT94">
        <v>0</v>
      </c>
      <c r="AU94" s="9">
        <f t="shared" si="305"/>
        <v>0</v>
      </c>
      <c r="AW94">
        <v>15000</v>
      </c>
      <c r="AX94">
        <v>0</v>
      </c>
      <c r="AY94" s="9">
        <f t="shared" si="306"/>
        <v>0</v>
      </c>
      <c r="AZ94">
        <v>0</v>
      </c>
      <c r="BA94" s="9">
        <f t="shared" si="307"/>
        <v>0</v>
      </c>
      <c r="BB94">
        <v>0</v>
      </c>
      <c r="BC94" s="9">
        <f t="shared" si="308"/>
        <v>0</v>
      </c>
      <c r="BD94">
        <v>0</v>
      </c>
      <c r="BE94" s="9">
        <f t="shared" si="309"/>
        <v>0</v>
      </c>
      <c r="BF94">
        <v>0</v>
      </c>
      <c r="BG94" s="9">
        <f t="shared" si="310"/>
        <v>0</v>
      </c>
      <c r="BI94">
        <v>15000</v>
      </c>
      <c r="BJ94">
        <v>0</v>
      </c>
      <c r="BK94" s="9">
        <f t="shared" si="311"/>
        <v>0</v>
      </c>
      <c r="BL94">
        <v>0</v>
      </c>
      <c r="BM94" s="9">
        <f t="shared" si="312"/>
        <v>0</v>
      </c>
      <c r="BN94">
        <v>0</v>
      </c>
      <c r="BO94" s="9">
        <f t="shared" si="313"/>
        <v>0</v>
      </c>
      <c r="BP94">
        <v>0</v>
      </c>
      <c r="BQ94" s="9">
        <f t="shared" si="314"/>
        <v>0</v>
      </c>
      <c r="BR94">
        <v>0</v>
      </c>
      <c r="BS94" s="9">
        <f t="shared" si="315"/>
        <v>0</v>
      </c>
      <c r="BU94">
        <v>15000</v>
      </c>
      <c r="BV94">
        <v>0</v>
      </c>
      <c r="BW94" s="9">
        <f t="shared" si="316"/>
        <v>0</v>
      </c>
      <c r="BX94">
        <v>0</v>
      </c>
      <c r="BY94" s="9">
        <f t="shared" si="317"/>
        <v>0</v>
      </c>
      <c r="BZ94">
        <v>0</v>
      </c>
      <c r="CA94" s="9">
        <f t="shared" si="318"/>
        <v>0</v>
      </c>
      <c r="CB94">
        <v>0</v>
      </c>
      <c r="CC94" s="9">
        <f t="shared" si="319"/>
        <v>0</v>
      </c>
      <c r="CD94">
        <v>0</v>
      </c>
      <c r="CE94" s="9">
        <f t="shared" si="320"/>
        <v>0</v>
      </c>
      <c r="CF94">
        <v>0</v>
      </c>
      <c r="CG94" s="9">
        <f t="shared" si="218"/>
        <v>0</v>
      </c>
      <c r="CI94">
        <v>14700</v>
      </c>
      <c r="CJ94">
        <f t="shared" si="200"/>
        <v>678</v>
      </c>
      <c r="CK94" s="9">
        <f t="shared" si="169"/>
        <v>12036.95652173913</v>
      </c>
      <c r="CL94">
        <f t="shared" si="201"/>
        <v>645</v>
      </c>
      <c r="CM94" s="9">
        <f t="shared" si="170"/>
        <v>11926.415094339622</v>
      </c>
      <c r="CN94">
        <f t="shared" si="208"/>
        <v>614</v>
      </c>
      <c r="CO94" s="9">
        <f t="shared" si="178"/>
        <v>11813.874345549739</v>
      </c>
      <c r="CP94">
        <f t="shared" si="219"/>
        <v>585</v>
      </c>
      <c r="CQ94" s="9">
        <f t="shared" si="209"/>
        <v>11700</v>
      </c>
      <c r="CR94">
        <v>0</v>
      </c>
      <c r="CS94" s="9">
        <v>0</v>
      </c>
      <c r="CT94">
        <v>0</v>
      </c>
      <c r="CU94" s="9">
        <f t="shared" si="221"/>
        <v>0</v>
      </c>
      <c r="CV94">
        <v>0</v>
      </c>
      <c r="CW94" s="9">
        <f t="shared" si="231"/>
        <v>0</v>
      </c>
    </row>
    <row r="95" spans="1:101" x14ac:dyDescent="0.25">
      <c r="A95">
        <v>15500</v>
      </c>
      <c r="B95">
        <v>0</v>
      </c>
      <c r="C95" s="9">
        <f t="shared" si="286"/>
        <v>0</v>
      </c>
      <c r="D95">
        <v>0</v>
      </c>
      <c r="E95" s="9">
        <f t="shared" si="287"/>
        <v>0</v>
      </c>
      <c r="F95">
        <v>0</v>
      </c>
      <c r="G95" s="9">
        <f t="shared" si="288"/>
        <v>0</v>
      </c>
      <c r="H95">
        <v>0</v>
      </c>
      <c r="I95" s="9">
        <f t="shared" si="289"/>
        <v>0</v>
      </c>
      <c r="J95">
        <v>0</v>
      </c>
      <c r="K95" s="9">
        <f t="shared" si="290"/>
        <v>0</v>
      </c>
      <c r="M95">
        <v>15500</v>
      </c>
      <c r="N95">
        <v>0</v>
      </c>
      <c r="O95" s="9">
        <f t="shared" si="291"/>
        <v>0</v>
      </c>
      <c r="P95">
        <v>0</v>
      </c>
      <c r="Q95" s="9">
        <f t="shared" si="292"/>
        <v>0</v>
      </c>
      <c r="R95">
        <v>0</v>
      </c>
      <c r="S95" s="9">
        <f t="shared" si="293"/>
        <v>0</v>
      </c>
      <c r="T95">
        <v>0</v>
      </c>
      <c r="U95" s="9">
        <f t="shared" si="294"/>
        <v>0</v>
      </c>
      <c r="V95">
        <v>0</v>
      </c>
      <c r="W95" s="9">
        <f t="shared" si="295"/>
        <v>0</v>
      </c>
      <c r="Y95">
        <v>15500</v>
      </c>
      <c r="Z95">
        <v>0</v>
      </c>
      <c r="AA95" s="9">
        <f t="shared" si="296"/>
        <v>0</v>
      </c>
      <c r="AB95">
        <v>0</v>
      </c>
      <c r="AC95" s="9">
        <f t="shared" si="297"/>
        <v>0</v>
      </c>
      <c r="AD95">
        <v>0</v>
      </c>
      <c r="AE95" s="9">
        <f t="shared" si="298"/>
        <v>0</v>
      </c>
      <c r="AF95">
        <v>0</v>
      </c>
      <c r="AG95" s="9">
        <f t="shared" si="299"/>
        <v>0</v>
      </c>
      <c r="AH95">
        <v>0</v>
      </c>
      <c r="AI95" s="9">
        <f t="shared" si="300"/>
        <v>0</v>
      </c>
      <c r="AK95">
        <v>15500</v>
      </c>
      <c r="AL95">
        <v>0</v>
      </c>
      <c r="AM95" s="9">
        <f t="shared" si="301"/>
        <v>0</v>
      </c>
      <c r="AN95">
        <v>0</v>
      </c>
      <c r="AO95" s="9">
        <f t="shared" si="302"/>
        <v>0</v>
      </c>
      <c r="AP95">
        <v>0</v>
      </c>
      <c r="AQ95" s="9">
        <f t="shared" si="303"/>
        <v>0</v>
      </c>
      <c r="AR95">
        <v>0</v>
      </c>
      <c r="AS95" s="9">
        <f t="shared" si="304"/>
        <v>0</v>
      </c>
      <c r="AT95">
        <v>0</v>
      </c>
      <c r="AU95" s="9">
        <f t="shared" si="305"/>
        <v>0</v>
      </c>
      <c r="AW95">
        <v>15500</v>
      </c>
      <c r="AX95">
        <v>0</v>
      </c>
      <c r="AY95" s="9">
        <f t="shared" si="306"/>
        <v>0</v>
      </c>
      <c r="AZ95">
        <v>0</v>
      </c>
      <c r="BA95" s="9">
        <f t="shared" si="307"/>
        <v>0</v>
      </c>
      <c r="BB95">
        <v>0</v>
      </c>
      <c r="BC95" s="9">
        <f t="shared" si="308"/>
        <v>0</v>
      </c>
      <c r="BD95">
        <v>0</v>
      </c>
      <c r="BE95" s="9">
        <f t="shared" si="309"/>
        <v>0</v>
      </c>
      <c r="BF95">
        <v>0</v>
      </c>
      <c r="BG95" s="9">
        <f t="shared" si="310"/>
        <v>0</v>
      </c>
      <c r="BI95">
        <v>15500</v>
      </c>
      <c r="BJ95">
        <v>0</v>
      </c>
      <c r="BK95" s="9">
        <f t="shared" si="311"/>
        <v>0</v>
      </c>
      <c r="BL95">
        <v>0</v>
      </c>
      <c r="BM95" s="9">
        <f t="shared" si="312"/>
        <v>0</v>
      </c>
      <c r="BN95">
        <v>0</v>
      </c>
      <c r="BO95" s="9">
        <f t="shared" si="313"/>
        <v>0</v>
      </c>
      <c r="BP95">
        <v>0</v>
      </c>
      <c r="BQ95" s="9">
        <f t="shared" si="314"/>
        <v>0</v>
      </c>
      <c r="BR95">
        <v>0</v>
      </c>
      <c r="BS95" s="9">
        <f t="shared" si="315"/>
        <v>0</v>
      </c>
      <c r="BU95">
        <v>15500</v>
      </c>
      <c r="BV95">
        <v>0</v>
      </c>
      <c r="BW95" s="9">
        <f t="shared" si="316"/>
        <v>0</v>
      </c>
      <c r="BX95">
        <v>0</v>
      </c>
      <c r="BY95" s="9">
        <f t="shared" si="317"/>
        <v>0</v>
      </c>
      <c r="BZ95">
        <v>0</v>
      </c>
      <c r="CA95" s="9">
        <f t="shared" si="318"/>
        <v>0</v>
      </c>
      <c r="CB95">
        <v>0</v>
      </c>
      <c r="CC95" s="9">
        <f t="shared" si="319"/>
        <v>0</v>
      </c>
      <c r="CD95">
        <v>0</v>
      </c>
      <c r="CE95" s="9">
        <f t="shared" si="320"/>
        <v>0</v>
      </c>
      <c r="CF95">
        <v>0</v>
      </c>
      <c r="CG95" s="9">
        <f t="shared" si="218"/>
        <v>0</v>
      </c>
      <c r="CI95">
        <v>15500</v>
      </c>
      <c r="CJ95">
        <v>0</v>
      </c>
      <c r="CK95" s="9">
        <f t="shared" si="169"/>
        <v>0</v>
      </c>
      <c r="CL95">
        <v>0</v>
      </c>
      <c r="CM95" s="9">
        <f t="shared" ref="CM95:CM97" si="321">PRODUCT(CK95,CL95,1/(CL95+300))</f>
        <v>0</v>
      </c>
      <c r="CN95">
        <v>0</v>
      </c>
      <c r="CO95" s="9">
        <f t="shared" ref="CO95:CO97" si="322">PRODUCT(CM95,CN95,1/(CN95+300))</f>
        <v>0</v>
      </c>
      <c r="CP95">
        <v>0</v>
      </c>
      <c r="CQ95" s="9">
        <f t="shared" ref="CQ95:CQ97" si="323">PRODUCT(CO95,CP95,1/(CP95+300))</f>
        <v>0</v>
      </c>
      <c r="CR95">
        <v>0</v>
      </c>
      <c r="CS95" s="9">
        <v>0</v>
      </c>
      <c r="CT95">
        <v>0</v>
      </c>
      <c r="CU95" s="9">
        <f t="shared" si="221"/>
        <v>0</v>
      </c>
      <c r="CV95">
        <v>0</v>
      </c>
      <c r="CW95" s="9">
        <f t="shared" si="231"/>
        <v>0</v>
      </c>
    </row>
    <row r="96" spans="1:101" x14ac:dyDescent="0.25">
      <c r="A96">
        <v>16000</v>
      </c>
      <c r="B96">
        <v>0</v>
      </c>
      <c r="C96" s="9">
        <f t="shared" si="286"/>
        <v>0</v>
      </c>
      <c r="D96">
        <v>0</v>
      </c>
      <c r="E96" s="9">
        <f t="shared" si="287"/>
        <v>0</v>
      </c>
      <c r="F96">
        <v>0</v>
      </c>
      <c r="G96" s="9">
        <f t="shared" si="288"/>
        <v>0</v>
      </c>
      <c r="H96">
        <v>0</v>
      </c>
      <c r="I96" s="9">
        <f t="shared" si="289"/>
        <v>0</v>
      </c>
      <c r="J96">
        <v>0</v>
      </c>
      <c r="K96" s="9">
        <f t="shared" si="290"/>
        <v>0</v>
      </c>
      <c r="M96">
        <v>16000</v>
      </c>
      <c r="N96">
        <v>0</v>
      </c>
      <c r="O96" s="9">
        <f t="shared" si="291"/>
        <v>0</v>
      </c>
      <c r="P96">
        <v>0</v>
      </c>
      <c r="Q96" s="9">
        <f t="shared" si="292"/>
        <v>0</v>
      </c>
      <c r="R96">
        <v>0</v>
      </c>
      <c r="S96" s="9">
        <f t="shared" si="293"/>
        <v>0</v>
      </c>
      <c r="T96">
        <v>0</v>
      </c>
      <c r="U96" s="9">
        <f t="shared" si="294"/>
        <v>0</v>
      </c>
      <c r="V96">
        <v>0</v>
      </c>
      <c r="W96" s="9">
        <f t="shared" si="295"/>
        <v>0</v>
      </c>
      <c r="Y96">
        <v>16000</v>
      </c>
      <c r="Z96">
        <v>0</v>
      </c>
      <c r="AA96" s="9">
        <f t="shared" si="296"/>
        <v>0</v>
      </c>
      <c r="AB96">
        <v>0</v>
      </c>
      <c r="AC96" s="9">
        <f t="shared" si="297"/>
        <v>0</v>
      </c>
      <c r="AD96">
        <v>0</v>
      </c>
      <c r="AE96" s="9">
        <f t="shared" si="298"/>
        <v>0</v>
      </c>
      <c r="AF96">
        <v>0</v>
      </c>
      <c r="AG96" s="9">
        <f t="shared" si="299"/>
        <v>0</v>
      </c>
      <c r="AH96">
        <v>0</v>
      </c>
      <c r="AI96" s="9">
        <f t="shared" si="300"/>
        <v>0</v>
      </c>
      <c r="AK96">
        <v>16000</v>
      </c>
      <c r="AL96">
        <v>0</v>
      </c>
      <c r="AM96" s="9">
        <f t="shared" si="301"/>
        <v>0</v>
      </c>
      <c r="AN96">
        <v>0</v>
      </c>
      <c r="AO96" s="9">
        <f t="shared" si="302"/>
        <v>0</v>
      </c>
      <c r="AP96">
        <v>0</v>
      </c>
      <c r="AQ96" s="9">
        <f t="shared" si="303"/>
        <v>0</v>
      </c>
      <c r="AR96">
        <v>0</v>
      </c>
      <c r="AS96" s="9">
        <f t="shared" si="304"/>
        <v>0</v>
      </c>
      <c r="AT96">
        <v>0</v>
      </c>
      <c r="AU96" s="9">
        <f t="shared" si="305"/>
        <v>0</v>
      </c>
      <c r="AW96">
        <v>16000</v>
      </c>
      <c r="AX96">
        <v>0</v>
      </c>
      <c r="AY96" s="9">
        <f t="shared" si="306"/>
        <v>0</v>
      </c>
      <c r="AZ96">
        <v>0</v>
      </c>
      <c r="BA96" s="9">
        <f t="shared" si="307"/>
        <v>0</v>
      </c>
      <c r="BB96">
        <v>0</v>
      </c>
      <c r="BC96" s="9">
        <f t="shared" si="308"/>
        <v>0</v>
      </c>
      <c r="BD96">
        <v>0</v>
      </c>
      <c r="BE96" s="9">
        <f t="shared" si="309"/>
        <v>0</v>
      </c>
      <c r="BF96">
        <v>0</v>
      </c>
      <c r="BG96" s="9">
        <f t="shared" si="310"/>
        <v>0</v>
      </c>
      <c r="BI96">
        <v>16000</v>
      </c>
      <c r="BJ96">
        <v>0</v>
      </c>
      <c r="BK96" s="9">
        <f t="shared" si="311"/>
        <v>0</v>
      </c>
      <c r="BL96">
        <v>0</v>
      </c>
      <c r="BM96" s="9">
        <f t="shared" si="312"/>
        <v>0</v>
      </c>
      <c r="BN96">
        <v>0</v>
      </c>
      <c r="BO96" s="9">
        <f t="shared" si="313"/>
        <v>0</v>
      </c>
      <c r="BP96">
        <v>0</v>
      </c>
      <c r="BQ96" s="9">
        <f t="shared" si="314"/>
        <v>0</v>
      </c>
      <c r="BR96">
        <v>0</v>
      </c>
      <c r="BS96" s="9">
        <f t="shared" si="315"/>
        <v>0</v>
      </c>
      <c r="BU96">
        <v>16000</v>
      </c>
      <c r="BV96">
        <v>0</v>
      </c>
      <c r="BW96" s="9">
        <f t="shared" si="316"/>
        <v>0</v>
      </c>
      <c r="BX96">
        <v>0</v>
      </c>
      <c r="BY96" s="9">
        <f t="shared" si="317"/>
        <v>0</v>
      </c>
      <c r="BZ96">
        <v>0</v>
      </c>
      <c r="CA96" s="9">
        <f t="shared" si="318"/>
        <v>0</v>
      </c>
      <c r="CB96">
        <v>0</v>
      </c>
      <c r="CC96" s="9">
        <f t="shared" si="319"/>
        <v>0</v>
      </c>
      <c r="CD96">
        <v>0</v>
      </c>
      <c r="CE96" s="9">
        <f t="shared" si="320"/>
        <v>0</v>
      </c>
      <c r="CF96">
        <v>0</v>
      </c>
      <c r="CG96" s="9">
        <f t="shared" si="218"/>
        <v>0</v>
      </c>
      <c r="CI96">
        <v>16000</v>
      </c>
      <c r="CJ96">
        <v>0</v>
      </c>
      <c r="CK96" s="9">
        <f t="shared" si="169"/>
        <v>0</v>
      </c>
      <c r="CL96">
        <v>0</v>
      </c>
      <c r="CM96" s="9">
        <f t="shared" si="321"/>
        <v>0</v>
      </c>
      <c r="CN96">
        <v>0</v>
      </c>
      <c r="CO96" s="9">
        <f t="shared" si="322"/>
        <v>0</v>
      </c>
      <c r="CP96">
        <v>0</v>
      </c>
      <c r="CQ96" s="9">
        <f t="shared" si="323"/>
        <v>0</v>
      </c>
      <c r="CR96">
        <v>0</v>
      </c>
      <c r="CS96" s="9">
        <f t="shared" ref="CS96:CS97" si="324">PRODUCT(CQ96,CR96,1/(CR96+300))</f>
        <v>0</v>
      </c>
      <c r="CT96">
        <v>0</v>
      </c>
      <c r="CU96" s="9">
        <f t="shared" si="221"/>
        <v>0</v>
      </c>
      <c r="CV96">
        <v>0</v>
      </c>
      <c r="CW96" s="9">
        <f t="shared" si="231"/>
        <v>0</v>
      </c>
    </row>
    <row r="97" spans="1:103" x14ac:dyDescent="0.25">
      <c r="A97">
        <v>16500</v>
      </c>
      <c r="B97">
        <v>0</v>
      </c>
      <c r="C97" s="9">
        <f t="shared" si="286"/>
        <v>0</v>
      </c>
      <c r="D97">
        <v>0</v>
      </c>
      <c r="E97" s="9">
        <f t="shared" si="287"/>
        <v>0</v>
      </c>
      <c r="F97">
        <v>0</v>
      </c>
      <c r="G97" s="9">
        <f t="shared" si="288"/>
        <v>0</v>
      </c>
      <c r="H97">
        <v>0</v>
      </c>
      <c r="I97" s="9">
        <f t="shared" si="289"/>
        <v>0</v>
      </c>
      <c r="J97">
        <v>0</v>
      </c>
      <c r="K97" s="9">
        <f t="shared" si="290"/>
        <v>0</v>
      </c>
      <c r="M97">
        <v>16500</v>
      </c>
      <c r="N97">
        <v>0</v>
      </c>
      <c r="O97" s="9">
        <f t="shared" si="291"/>
        <v>0</v>
      </c>
      <c r="P97">
        <v>0</v>
      </c>
      <c r="Q97" s="9">
        <f t="shared" si="292"/>
        <v>0</v>
      </c>
      <c r="R97">
        <v>0</v>
      </c>
      <c r="S97" s="9">
        <f t="shared" si="293"/>
        <v>0</v>
      </c>
      <c r="T97">
        <v>0</v>
      </c>
      <c r="U97" s="9">
        <f t="shared" si="294"/>
        <v>0</v>
      </c>
      <c r="V97">
        <v>0</v>
      </c>
      <c r="W97" s="9">
        <f t="shared" si="295"/>
        <v>0</v>
      </c>
      <c r="Y97">
        <v>16500</v>
      </c>
      <c r="Z97">
        <v>0</v>
      </c>
      <c r="AA97" s="9">
        <f t="shared" si="296"/>
        <v>0</v>
      </c>
      <c r="AB97">
        <v>0</v>
      </c>
      <c r="AC97" s="9">
        <f t="shared" si="297"/>
        <v>0</v>
      </c>
      <c r="AD97">
        <v>0</v>
      </c>
      <c r="AE97" s="9">
        <f t="shared" si="298"/>
        <v>0</v>
      </c>
      <c r="AF97">
        <v>0</v>
      </c>
      <c r="AG97" s="9">
        <f t="shared" si="299"/>
        <v>0</v>
      </c>
      <c r="AH97">
        <v>0</v>
      </c>
      <c r="AI97" s="9">
        <f t="shared" si="300"/>
        <v>0</v>
      </c>
      <c r="AK97">
        <v>16500</v>
      </c>
      <c r="AL97">
        <v>0</v>
      </c>
      <c r="AM97" s="9">
        <f t="shared" si="301"/>
        <v>0</v>
      </c>
      <c r="AN97">
        <v>0</v>
      </c>
      <c r="AO97" s="9">
        <f t="shared" si="302"/>
        <v>0</v>
      </c>
      <c r="AP97">
        <v>0</v>
      </c>
      <c r="AQ97" s="9">
        <f t="shared" si="303"/>
        <v>0</v>
      </c>
      <c r="AR97">
        <v>0</v>
      </c>
      <c r="AS97" s="9">
        <f t="shared" si="304"/>
        <v>0</v>
      </c>
      <c r="AT97">
        <v>0</v>
      </c>
      <c r="AU97" s="9">
        <f t="shared" si="305"/>
        <v>0</v>
      </c>
      <c r="AW97">
        <v>16500</v>
      </c>
      <c r="AX97">
        <v>0</v>
      </c>
      <c r="AY97" s="9">
        <f t="shared" si="306"/>
        <v>0</v>
      </c>
      <c r="AZ97">
        <v>0</v>
      </c>
      <c r="BA97" s="9">
        <f t="shared" si="307"/>
        <v>0</v>
      </c>
      <c r="BB97">
        <v>0</v>
      </c>
      <c r="BC97" s="9">
        <f t="shared" si="308"/>
        <v>0</v>
      </c>
      <c r="BD97">
        <v>0</v>
      </c>
      <c r="BE97" s="9">
        <f t="shared" si="309"/>
        <v>0</v>
      </c>
      <c r="BF97">
        <v>0</v>
      </c>
      <c r="BG97" s="9">
        <f t="shared" si="310"/>
        <v>0</v>
      </c>
      <c r="BI97">
        <v>16500</v>
      </c>
      <c r="BJ97">
        <v>0</v>
      </c>
      <c r="BK97" s="9">
        <f t="shared" si="311"/>
        <v>0</v>
      </c>
      <c r="BL97">
        <v>0</v>
      </c>
      <c r="BM97" s="9">
        <f t="shared" si="312"/>
        <v>0</v>
      </c>
      <c r="BN97">
        <v>0</v>
      </c>
      <c r="BO97" s="9">
        <f t="shared" si="313"/>
        <v>0</v>
      </c>
      <c r="BP97">
        <v>0</v>
      </c>
      <c r="BQ97" s="9">
        <f t="shared" si="314"/>
        <v>0</v>
      </c>
      <c r="BR97">
        <v>0</v>
      </c>
      <c r="BS97" s="9">
        <f t="shared" si="315"/>
        <v>0</v>
      </c>
      <c r="BU97">
        <v>16500</v>
      </c>
      <c r="BV97">
        <v>0</v>
      </c>
      <c r="BW97" s="9">
        <f t="shared" si="316"/>
        <v>0</v>
      </c>
      <c r="BX97">
        <v>0</v>
      </c>
      <c r="BY97" s="9">
        <f t="shared" si="317"/>
        <v>0</v>
      </c>
      <c r="BZ97">
        <v>0</v>
      </c>
      <c r="CA97" s="9">
        <f t="shared" si="318"/>
        <v>0</v>
      </c>
      <c r="CB97">
        <v>0</v>
      </c>
      <c r="CC97" s="9">
        <f t="shared" si="319"/>
        <v>0</v>
      </c>
      <c r="CD97">
        <v>0</v>
      </c>
      <c r="CE97" s="9">
        <f t="shared" si="320"/>
        <v>0</v>
      </c>
      <c r="CF97">
        <v>0</v>
      </c>
      <c r="CG97" s="9">
        <f t="shared" si="218"/>
        <v>0</v>
      </c>
      <c r="CI97">
        <v>16500</v>
      </c>
      <c r="CJ97">
        <v>0</v>
      </c>
      <c r="CK97" s="9">
        <f t="shared" si="169"/>
        <v>0</v>
      </c>
      <c r="CL97">
        <v>0</v>
      </c>
      <c r="CM97" s="9">
        <f t="shared" si="321"/>
        <v>0</v>
      </c>
      <c r="CN97">
        <v>0</v>
      </c>
      <c r="CO97" s="9">
        <f t="shared" si="322"/>
        <v>0</v>
      </c>
      <c r="CP97">
        <v>0</v>
      </c>
      <c r="CQ97" s="9">
        <f t="shared" si="323"/>
        <v>0</v>
      </c>
      <c r="CR97">
        <v>0</v>
      </c>
      <c r="CS97" s="9">
        <f t="shared" si="324"/>
        <v>0</v>
      </c>
      <c r="CT97">
        <v>0</v>
      </c>
      <c r="CU97" s="9">
        <f t="shared" si="221"/>
        <v>0</v>
      </c>
      <c r="CV97">
        <v>0</v>
      </c>
      <c r="CW97" s="9">
        <f t="shared" si="231"/>
        <v>0</v>
      </c>
    </row>
    <row r="98" spans="1:103" x14ac:dyDescent="0.25">
      <c r="A98">
        <v>17000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M98">
        <v>17000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Y98">
        <v>17000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K98">
        <v>17000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W98">
        <v>17000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I98">
        <v>17000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U98">
        <v>17000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 s="9">
        <f t="shared" si="218"/>
        <v>0</v>
      </c>
      <c r="CI98">
        <v>17000</v>
      </c>
      <c r="CJ98">
        <v>0</v>
      </c>
      <c r="CK98" s="9">
        <f t="shared" si="169"/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 s="9">
        <f t="shared" si="221"/>
        <v>0</v>
      </c>
      <c r="CV98">
        <v>0</v>
      </c>
      <c r="CW98" s="9">
        <f t="shared" si="231"/>
        <v>0</v>
      </c>
    </row>
    <row r="99" spans="1:103" x14ac:dyDescent="0.25">
      <c r="A99">
        <v>17500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M99">
        <v>17500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Y99">
        <v>17500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K99">
        <v>17500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W99">
        <v>17500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I99">
        <v>17500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U99">
        <v>17500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 s="9">
        <f t="shared" si="218"/>
        <v>0</v>
      </c>
      <c r="CI99">
        <v>17500</v>
      </c>
      <c r="CJ99">
        <v>0</v>
      </c>
      <c r="CK99" s="9">
        <f t="shared" si="169"/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 s="9">
        <f t="shared" si="221"/>
        <v>0</v>
      </c>
      <c r="CV99">
        <v>0</v>
      </c>
      <c r="CW99" s="9">
        <f t="shared" si="231"/>
        <v>0</v>
      </c>
    </row>
    <row r="100" spans="1:103" x14ac:dyDescent="0.25">
      <c r="A100" t="s">
        <v>106</v>
      </c>
      <c r="C100" s="16">
        <v>25</v>
      </c>
      <c r="D100" s="16"/>
      <c r="E100" s="16">
        <v>50</v>
      </c>
      <c r="F100" s="16"/>
      <c r="G100" s="16">
        <v>100</v>
      </c>
      <c r="I100" s="9">
        <v>0</v>
      </c>
      <c r="K100" s="9">
        <v>0</v>
      </c>
      <c r="M100" t="s">
        <v>106</v>
      </c>
      <c r="O100" s="16">
        <v>25</v>
      </c>
      <c r="P100" s="16"/>
      <c r="Q100" s="16">
        <v>50</v>
      </c>
      <c r="R100" s="16"/>
      <c r="S100" s="16">
        <v>100</v>
      </c>
      <c r="U100" s="9">
        <v>200</v>
      </c>
      <c r="W100" s="9">
        <v>0</v>
      </c>
      <c r="Y100" t="s">
        <v>106</v>
      </c>
      <c r="AA100" s="16">
        <v>25</v>
      </c>
      <c r="AB100" s="16"/>
      <c r="AC100" s="16">
        <v>50</v>
      </c>
      <c r="AD100" s="16"/>
      <c r="AE100" s="16">
        <v>100</v>
      </c>
      <c r="AG100" s="9">
        <v>200</v>
      </c>
      <c r="AI100" s="9">
        <v>0</v>
      </c>
      <c r="AK100" t="s">
        <v>106</v>
      </c>
      <c r="AM100" s="16">
        <v>25</v>
      </c>
      <c r="AN100" s="16"/>
      <c r="AO100" s="16">
        <v>50</v>
      </c>
      <c r="AP100" s="16"/>
      <c r="AQ100" s="16">
        <v>100</v>
      </c>
      <c r="AS100" s="9">
        <v>200</v>
      </c>
      <c r="AU100" s="9">
        <v>0</v>
      </c>
      <c r="AW100" t="s">
        <v>106</v>
      </c>
      <c r="AY100" s="16">
        <v>25</v>
      </c>
      <c r="AZ100" s="16"/>
      <c r="BA100" s="16">
        <v>50</v>
      </c>
      <c r="BB100" s="16"/>
      <c r="BC100" s="16">
        <v>100</v>
      </c>
      <c r="BE100" s="9">
        <v>200</v>
      </c>
      <c r="BG100" s="9">
        <v>350</v>
      </c>
      <c r="BI100" t="s">
        <v>106</v>
      </c>
      <c r="BK100" s="16">
        <v>25</v>
      </c>
      <c r="BL100" s="16"/>
      <c r="BM100" s="16">
        <v>50</v>
      </c>
      <c r="BN100" s="16"/>
      <c r="BO100" s="16">
        <v>100</v>
      </c>
      <c r="BQ100" s="9">
        <v>200</v>
      </c>
      <c r="BS100" s="9">
        <v>0</v>
      </c>
      <c r="BU100" t="s">
        <v>106</v>
      </c>
      <c r="BW100" s="16">
        <v>25</v>
      </c>
      <c r="BX100" s="16"/>
      <c r="BY100" s="16">
        <v>50</v>
      </c>
      <c r="BZ100" s="16"/>
      <c r="CA100" s="16">
        <v>100</v>
      </c>
      <c r="CC100" s="9">
        <v>200</v>
      </c>
      <c r="CE100" s="9">
        <v>350</v>
      </c>
      <c r="CG100">
        <v>500</v>
      </c>
      <c r="CI100" t="s">
        <v>106</v>
      </c>
      <c r="CK100" s="16">
        <v>25</v>
      </c>
      <c r="CL100" s="16"/>
      <c r="CM100" s="16">
        <v>80</v>
      </c>
      <c r="CN100" s="16"/>
      <c r="CO100" s="16">
        <v>150</v>
      </c>
      <c r="CQ100" s="9">
        <v>300</v>
      </c>
      <c r="CS100" s="9">
        <v>450</v>
      </c>
      <c r="CU100">
        <v>900</v>
      </c>
      <c r="CW100">
        <v>1700</v>
      </c>
    </row>
    <row r="101" spans="1:103" x14ac:dyDescent="0.25">
      <c r="A101" t="s">
        <v>107</v>
      </c>
      <c r="C101" s="16">
        <v>1800</v>
      </c>
      <c r="D101" s="16"/>
      <c r="E101" s="16">
        <v>1500</v>
      </c>
      <c r="F101" s="16"/>
      <c r="G101" s="16">
        <v>1200</v>
      </c>
      <c r="I101" s="9">
        <v>0</v>
      </c>
      <c r="K101" s="9">
        <v>0</v>
      </c>
      <c r="M101" t="s">
        <v>107</v>
      </c>
      <c r="O101" s="16">
        <v>3000</v>
      </c>
      <c r="P101" s="16"/>
      <c r="Q101" s="16">
        <v>3000</v>
      </c>
      <c r="R101" s="16"/>
      <c r="S101" s="16">
        <v>2800</v>
      </c>
      <c r="U101" s="9">
        <v>1800</v>
      </c>
      <c r="W101" s="9">
        <v>0</v>
      </c>
      <c r="Y101" t="s">
        <v>107</v>
      </c>
      <c r="AA101" s="16">
        <v>3000</v>
      </c>
      <c r="AB101" s="16"/>
      <c r="AC101" s="16">
        <v>3000</v>
      </c>
      <c r="AD101" s="16"/>
      <c r="AE101" s="16">
        <v>2800</v>
      </c>
      <c r="AG101" s="9">
        <v>1800</v>
      </c>
      <c r="AI101" s="9">
        <v>0</v>
      </c>
      <c r="AK101" t="s">
        <v>107</v>
      </c>
      <c r="AM101" s="16">
        <v>3500</v>
      </c>
      <c r="AN101" s="16"/>
      <c r="AO101" s="16">
        <v>3500</v>
      </c>
      <c r="AP101" s="16"/>
      <c r="AQ101" s="16">
        <v>3200</v>
      </c>
      <c r="AS101" s="9">
        <v>2700</v>
      </c>
      <c r="AU101" s="9">
        <v>0</v>
      </c>
      <c r="AW101" t="s">
        <v>107</v>
      </c>
      <c r="AY101" s="16">
        <v>5000</v>
      </c>
      <c r="AZ101" s="16"/>
      <c r="BA101" s="16">
        <v>4800</v>
      </c>
      <c r="BB101" s="16"/>
      <c r="BC101" s="16">
        <v>4600</v>
      </c>
      <c r="BE101" s="9">
        <v>4200</v>
      </c>
      <c r="BG101" s="9">
        <v>1800</v>
      </c>
      <c r="BI101" t="s">
        <v>107</v>
      </c>
      <c r="BK101" s="16">
        <v>3000</v>
      </c>
      <c r="BL101" s="16"/>
      <c r="BM101" s="16">
        <v>3000</v>
      </c>
      <c r="BN101" s="16"/>
      <c r="BO101" s="16">
        <v>2800</v>
      </c>
      <c r="BQ101" s="9">
        <v>1800</v>
      </c>
      <c r="BS101" s="9">
        <v>0</v>
      </c>
      <c r="BU101" t="s">
        <v>107</v>
      </c>
      <c r="BW101" s="16">
        <v>7500</v>
      </c>
      <c r="BX101" s="16"/>
      <c r="BY101" s="16">
        <v>7300</v>
      </c>
      <c r="BZ101" s="16"/>
      <c r="CA101" s="16">
        <v>7200</v>
      </c>
      <c r="CC101" s="9">
        <v>7100</v>
      </c>
      <c r="CE101" s="9">
        <v>5800</v>
      </c>
      <c r="CG101">
        <v>2700</v>
      </c>
      <c r="CI101" t="s">
        <v>107</v>
      </c>
      <c r="CK101" s="16">
        <v>14700</v>
      </c>
      <c r="CL101" s="16"/>
      <c r="CM101" s="16">
        <v>14700</v>
      </c>
      <c r="CN101" s="16"/>
      <c r="CO101" s="16">
        <v>14700</v>
      </c>
      <c r="CQ101" s="9">
        <v>14700</v>
      </c>
      <c r="CS101" s="9">
        <v>14000</v>
      </c>
      <c r="CU101">
        <v>13300</v>
      </c>
      <c r="CW101">
        <v>8100</v>
      </c>
    </row>
    <row r="102" spans="1:103" x14ac:dyDescent="0.25">
      <c r="A102" t="s">
        <v>108</v>
      </c>
      <c r="C102" s="16">
        <v>5</v>
      </c>
      <c r="D102" s="16"/>
      <c r="E102" s="16">
        <v>25</v>
      </c>
      <c r="F102" s="16"/>
      <c r="G102" s="16">
        <v>50</v>
      </c>
      <c r="I102" s="9">
        <v>0</v>
      </c>
      <c r="K102" s="9">
        <v>0</v>
      </c>
      <c r="M102" t="s">
        <v>108</v>
      </c>
      <c r="O102" s="16">
        <v>5</v>
      </c>
      <c r="P102" s="16"/>
      <c r="Q102" s="16">
        <v>25</v>
      </c>
      <c r="R102" s="16"/>
      <c r="S102" s="16">
        <v>50</v>
      </c>
      <c r="U102" s="9">
        <v>100</v>
      </c>
      <c r="W102" s="9">
        <v>0</v>
      </c>
      <c r="Y102" t="s">
        <v>108</v>
      </c>
      <c r="AA102" s="16">
        <v>5</v>
      </c>
      <c r="AB102" s="16"/>
      <c r="AC102" s="16">
        <v>25</v>
      </c>
      <c r="AD102" s="16"/>
      <c r="AE102" s="16">
        <v>50</v>
      </c>
      <c r="AG102" s="9">
        <v>100</v>
      </c>
      <c r="AI102" s="9">
        <v>0</v>
      </c>
      <c r="AK102" t="s">
        <v>108</v>
      </c>
      <c r="AM102" s="16">
        <v>5</v>
      </c>
      <c r="AN102" s="16"/>
      <c r="AO102" s="16">
        <v>25</v>
      </c>
      <c r="AP102" s="16"/>
      <c r="AQ102" s="16">
        <v>50</v>
      </c>
      <c r="AS102" s="9">
        <v>100</v>
      </c>
      <c r="AU102" s="9">
        <v>0</v>
      </c>
      <c r="AW102" t="s">
        <v>108</v>
      </c>
      <c r="AY102" s="16">
        <v>5</v>
      </c>
      <c r="AZ102" s="16"/>
      <c r="BA102" s="16">
        <v>25</v>
      </c>
      <c r="BB102" s="16"/>
      <c r="BC102" s="16">
        <v>50</v>
      </c>
      <c r="BE102" s="9">
        <v>100</v>
      </c>
      <c r="BG102" s="9">
        <v>200</v>
      </c>
      <c r="BI102" t="s">
        <v>108</v>
      </c>
      <c r="BK102" s="16">
        <v>5</v>
      </c>
      <c r="BL102" s="16"/>
      <c r="BM102" s="16">
        <v>25</v>
      </c>
      <c r="BN102" s="16"/>
      <c r="BO102" s="16">
        <v>50</v>
      </c>
      <c r="BQ102" s="9">
        <v>100</v>
      </c>
      <c r="BS102" s="9">
        <v>0</v>
      </c>
      <c r="BU102" t="s">
        <v>108</v>
      </c>
      <c r="BW102" s="16">
        <v>5</v>
      </c>
      <c r="BX102" s="16"/>
      <c r="BY102" s="16">
        <v>25</v>
      </c>
      <c r="BZ102" s="16"/>
      <c r="CA102" s="16">
        <v>50</v>
      </c>
      <c r="CC102" s="9">
        <v>100</v>
      </c>
      <c r="CE102" s="9">
        <v>200</v>
      </c>
      <c r="CG102">
        <v>340</v>
      </c>
      <c r="CI102" t="s">
        <v>108</v>
      </c>
      <c r="CK102" s="16">
        <v>10</v>
      </c>
      <c r="CL102" s="16"/>
      <c r="CM102" s="16">
        <v>50</v>
      </c>
      <c r="CN102" s="16"/>
      <c r="CO102" s="16">
        <v>100</v>
      </c>
      <c r="CQ102" s="9">
        <v>200</v>
      </c>
      <c r="CS102" s="9">
        <v>340</v>
      </c>
      <c r="CU102">
        <v>680</v>
      </c>
      <c r="CW102">
        <v>1300</v>
      </c>
    </row>
    <row r="103" spans="1:103" x14ac:dyDescent="0.25">
      <c r="A103" t="s">
        <v>109</v>
      </c>
      <c r="C103" s="16">
        <v>1500</v>
      </c>
      <c r="D103" s="16"/>
      <c r="E103" s="16">
        <v>1350</v>
      </c>
      <c r="F103" s="16"/>
      <c r="G103" s="16">
        <v>1100</v>
      </c>
      <c r="I103" s="9">
        <v>0</v>
      </c>
      <c r="K103" s="9">
        <v>0</v>
      </c>
      <c r="M103" t="s">
        <v>109</v>
      </c>
      <c r="O103" s="16">
        <v>2500</v>
      </c>
      <c r="P103" s="16"/>
      <c r="Q103" s="16">
        <v>2450</v>
      </c>
      <c r="R103" s="16"/>
      <c r="S103" s="16">
        <v>2300</v>
      </c>
      <c r="U103" s="9">
        <v>1520</v>
      </c>
      <c r="W103" s="9">
        <v>0</v>
      </c>
      <c r="Y103" t="s">
        <v>109</v>
      </c>
      <c r="AA103" s="16">
        <v>2500</v>
      </c>
      <c r="AB103" s="16"/>
      <c r="AC103" s="16">
        <v>2480</v>
      </c>
      <c r="AD103" s="16"/>
      <c r="AE103" s="16">
        <v>2300</v>
      </c>
      <c r="AG103" s="9">
        <v>1520</v>
      </c>
      <c r="AI103" s="9">
        <v>0</v>
      </c>
      <c r="AK103" t="s">
        <v>109</v>
      </c>
      <c r="AM103" s="16">
        <v>3000</v>
      </c>
      <c r="AN103" s="16"/>
      <c r="AO103" s="16">
        <v>2960</v>
      </c>
      <c r="AP103" s="16"/>
      <c r="AQ103" s="16">
        <v>2860</v>
      </c>
      <c r="AS103" s="9">
        <v>2250</v>
      </c>
      <c r="AU103" s="9">
        <v>0</v>
      </c>
      <c r="AW103" t="s">
        <v>109</v>
      </c>
      <c r="AY103" s="16">
        <v>4100</v>
      </c>
      <c r="AZ103" s="16"/>
      <c r="BA103" s="16">
        <v>3970</v>
      </c>
      <c r="BB103" s="16"/>
      <c r="BC103" s="16">
        <v>3880</v>
      </c>
      <c r="BE103" s="9">
        <v>3470</v>
      </c>
      <c r="BG103" s="9">
        <v>1480</v>
      </c>
      <c r="BI103" t="s">
        <v>109</v>
      </c>
      <c r="BK103" s="16">
        <v>2500</v>
      </c>
      <c r="BL103" s="16"/>
      <c r="BM103" s="16">
        <v>2480</v>
      </c>
      <c r="BN103" s="16"/>
      <c r="BO103" s="16">
        <v>2300</v>
      </c>
      <c r="BQ103" s="9">
        <v>1520</v>
      </c>
      <c r="BS103" s="9">
        <v>0</v>
      </c>
      <c r="BU103" t="s">
        <v>109</v>
      </c>
      <c r="BW103" s="16">
        <v>6270</v>
      </c>
      <c r="BX103" s="16"/>
      <c r="BY103" s="16">
        <v>6100</v>
      </c>
      <c r="BZ103" s="16"/>
      <c r="CA103" s="16">
        <v>5990</v>
      </c>
      <c r="CC103" s="9">
        <v>5870</v>
      </c>
      <c r="CE103" s="9">
        <v>4740</v>
      </c>
      <c r="CG103">
        <v>2250</v>
      </c>
      <c r="CI103" t="s">
        <v>109</v>
      </c>
      <c r="CK103" s="16">
        <v>12100</v>
      </c>
      <c r="CL103" s="16"/>
      <c r="CM103" s="16">
        <v>12000</v>
      </c>
      <c r="CN103" s="16"/>
      <c r="CO103" s="16">
        <v>11950</v>
      </c>
      <c r="CQ103" s="9">
        <v>11850</v>
      </c>
      <c r="CS103" s="9">
        <v>11100</v>
      </c>
      <c r="CU103">
        <v>10400</v>
      </c>
      <c r="CW103">
        <v>6650</v>
      </c>
    </row>
    <row r="104" spans="1:103" ht="31.5" customHeight="1" x14ac:dyDescent="0.25">
      <c r="A104" s="25" t="s">
        <v>110</v>
      </c>
      <c r="B104" s="26"/>
      <c r="C104" s="16">
        <v>775</v>
      </c>
      <c r="D104" s="16"/>
      <c r="E104" s="16">
        <v>800</v>
      </c>
      <c r="F104" s="16"/>
      <c r="G104" s="16">
        <v>850</v>
      </c>
      <c r="I104" s="9">
        <v>0</v>
      </c>
      <c r="K104" s="9">
        <v>0</v>
      </c>
      <c r="M104" s="25" t="s">
        <v>110</v>
      </c>
      <c r="N104" s="26"/>
      <c r="O104" s="16">
        <v>775</v>
      </c>
      <c r="P104" s="16"/>
      <c r="Q104" s="16">
        <v>800</v>
      </c>
      <c r="R104" s="16"/>
      <c r="S104" s="16">
        <v>850</v>
      </c>
      <c r="U104" s="9">
        <v>950</v>
      </c>
      <c r="W104" s="9">
        <v>0</v>
      </c>
      <c r="Y104" s="25" t="s">
        <v>110</v>
      </c>
      <c r="Z104" s="26"/>
      <c r="AA104" s="16">
        <v>775</v>
      </c>
      <c r="AB104" s="16"/>
      <c r="AC104" s="16">
        <v>800</v>
      </c>
      <c r="AD104" s="16"/>
      <c r="AE104" s="16">
        <v>850</v>
      </c>
      <c r="AG104" s="9">
        <v>950</v>
      </c>
      <c r="AI104" s="9">
        <v>0</v>
      </c>
      <c r="AK104" s="25" t="s">
        <v>110</v>
      </c>
      <c r="AL104" s="26"/>
      <c r="AM104" s="16">
        <v>775</v>
      </c>
      <c r="AN104" s="16"/>
      <c r="AO104" s="16">
        <v>800</v>
      </c>
      <c r="AP104" s="16"/>
      <c r="AQ104" s="16">
        <v>850</v>
      </c>
      <c r="AS104" s="9">
        <v>950</v>
      </c>
      <c r="AU104" s="9">
        <v>0</v>
      </c>
      <c r="AW104" s="25" t="s">
        <v>110</v>
      </c>
      <c r="AX104" s="26"/>
      <c r="AY104" s="16">
        <v>775</v>
      </c>
      <c r="AZ104" s="16"/>
      <c r="BA104" s="16">
        <v>800</v>
      </c>
      <c r="BB104" s="16"/>
      <c r="BC104" s="16">
        <v>850</v>
      </c>
      <c r="BE104" s="9">
        <v>950</v>
      </c>
      <c r="BG104" s="9">
        <v>1100</v>
      </c>
      <c r="BI104" s="25" t="s">
        <v>126</v>
      </c>
      <c r="BJ104" s="26"/>
      <c r="BK104" s="16">
        <v>1525</v>
      </c>
      <c r="BL104" s="16"/>
      <c r="BM104" s="16">
        <v>1550</v>
      </c>
      <c r="BN104" s="16"/>
      <c r="BO104" s="16">
        <v>1600</v>
      </c>
      <c r="BQ104" s="9">
        <v>1700</v>
      </c>
      <c r="BS104" s="9">
        <v>0</v>
      </c>
      <c r="BU104" s="25" t="s">
        <v>110</v>
      </c>
      <c r="BV104" s="26"/>
      <c r="BW104" s="16">
        <v>775</v>
      </c>
      <c r="BX104" s="16"/>
      <c r="BY104" s="16">
        <v>800</v>
      </c>
      <c r="BZ104" s="16"/>
      <c r="CA104" s="16">
        <v>850</v>
      </c>
      <c r="CC104" s="9">
        <v>950</v>
      </c>
      <c r="CE104" s="9">
        <v>1100</v>
      </c>
      <c r="CG104">
        <v>1250</v>
      </c>
      <c r="CI104" s="25" t="s">
        <v>110</v>
      </c>
      <c r="CJ104" s="26"/>
      <c r="CK104" s="16">
        <v>775</v>
      </c>
      <c r="CL104" s="16"/>
      <c r="CM104" s="16">
        <v>830</v>
      </c>
      <c r="CN104" s="16"/>
      <c r="CO104" s="16">
        <v>900</v>
      </c>
      <c r="CQ104" s="9">
        <v>1050</v>
      </c>
      <c r="CS104" s="9">
        <v>1200</v>
      </c>
      <c r="CU104">
        <v>1650</v>
      </c>
      <c r="CW104">
        <v>2650</v>
      </c>
    </row>
    <row r="105" spans="1:103" ht="30" customHeight="1" x14ac:dyDescent="0.25">
      <c r="A105" s="25" t="s">
        <v>111</v>
      </c>
      <c r="B105" s="26"/>
      <c r="C105" s="16">
        <v>325</v>
      </c>
      <c r="D105" s="16"/>
      <c r="E105" s="16">
        <v>350</v>
      </c>
      <c r="F105" s="16"/>
      <c r="G105" s="16">
        <v>400</v>
      </c>
      <c r="I105" s="9">
        <v>0</v>
      </c>
      <c r="K105" s="9">
        <v>0</v>
      </c>
      <c r="M105" s="25" t="s">
        <v>111</v>
      </c>
      <c r="N105" s="26"/>
      <c r="O105" s="16">
        <v>325</v>
      </c>
      <c r="P105" s="16"/>
      <c r="Q105" s="16">
        <v>350</v>
      </c>
      <c r="R105" s="16"/>
      <c r="S105" s="16">
        <v>400</v>
      </c>
      <c r="U105" s="9">
        <v>500</v>
      </c>
      <c r="W105" s="9">
        <v>0</v>
      </c>
      <c r="Y105" s="25" t="s">
        <v>111</v>
      </c>
      <c r="Z105" s="26"/>
      <c r="AA105" s="16">
        <v>325</v>
      </c>
      <c r="AB105" s="16"/>
      <c r="AC105" s="16">
        <v>350</v>
      </c>
      <c r="AD105" s="16"/>
      <c r="AE105" s="16">
        <v>400</v>
      </c>
      <c r="AG105" s="9">
        <v>500</v>
      </c>
      <c r="AI105" s="9">
        <v>0</v>
      </c>
      <c r="AK105" s="25" t="s">
        <v>111</v>
      </c>
      <c r="AL105" s="26"/>
      <c r="AM105" s="16">
        <v>325</v>
      </c>
      <c r="AN105" s="16"/>
      <c r="AO105" s="16">
        <v>350</v>
      </c>
      <c r="AP105" s="16"/>
      <c r="AQ105" s="16">
        <v>400</v>
      </c>
      <c r="AS105" s="9">
        <v>500</v>
      </c>
      <c r="AU105" s="9">
        <v>0</v>
      </c>
      <c r="AW105" s="25" t="s">
        <v>111</v>
      </c>
      <c r="AX105" s="26"/>
      <c r="AY105" s="16">
        <v>325</v>
      </c>
      <c r="AZ105" s="16"/>
      <c r="BA105" s="16">
        <v>350</v>
      </c>
      <c r="BB105" s="16"/>
      <c r="BC105" s="16">
        <v>400</v>
      </c>
      <c r="BE105" s="9">
        <v>500</v>
      </c>
      <c r="BG105" s="9">
        <v>650</v>
      </c>
      <c r="BI105" s="25" t="s">
        <v>111</v>
      </c>
      <c r="BJ105" s="26"/>
      <c r="BK105" s="16">
        <v>325</v>
      </c>
      <c r="BL105" s="16"/>
      <c r="BM105" s="16">
        <v>350</v>
      </c>
      <c r="BN105" s="16"/>
      <c r="BO105" s="16">
        <v>400</v>
      </c>
      <c r="BQ105" s="9">
        <v>500</v>
      </c>
      <c r="BS105" s="9">
        <v>0</v>
      </c>
      <c r="BU105" s="25" t="s">
        <v>111</v>
      </c>
      <c r="BV105" s="26"/>
      <c r="BW105" s="16">
        <v>325</v>
      </c>
      <c r="BX105" s="16"/>
      <c r="BY105" s="16">
        <v>350</v>
      </c>
      <c r="BZ105" s="16"/>
      <c r="CA105" s="16">
        <v>400</v>
      </c>
      <c r="CC105" s="9">
        <v>500</v>
      </c>
      <c r="CE105" s="9">
        <v>650</v>
      </c>
      <c r="CG105">
        <v>800</v>
      </c>
      <c r="CI105" s="25" t="s">
        <v>111</v>
      </c>
      <c r="CJ105" s="26"/>
      <c r="CK105" s="16">
        <v>325</v>
      </c>
      <c r="CL105" s="16"/>
      <c r="CM105" s="16">
        <v>380</v>
      </c>
      <c r="CN105" s="16"/>
      <c r="CO105" s="16">
        <v>450</v>
      </c>
      <c r="CQ105" s="9">
        <v>600</v>
      </c>
      <c r="CS105" s="9">
        <v>750</v>
      </c>
      <c r="CU105">
        <v>1200</v>
      </c>
      <c r="CW105">
        <v>2500</v>
      </c>
    </row>
    <row r="107" spans="1:103" ht="44.25" customHeight="1" x14ac:dyDescent="0.25">
      <c r="A107" s="25" t="s">
        <v>121</v>
      </c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M107" s="25" t="s">
        <v>120</v>
      </c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Y107" s="25" t="s">
        <v>119</v>
      </c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K107" s="25" t="s">
        <v>118</v>
      </c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W107" s="25" t="s">
        <v>124</v>
      </c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I107" s="25" t="s">
        <v>128</v>
      </c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U107" s="25" t="s">
        <v>118</v>
      </c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I107" s="25" t="s">
        <v>135</v>
      </c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</row>
    <row r="108" spans="1:103" ht="21.75" customHeight="1" x14ac:dyDescent="0.25">
      <c r="A108" s="25" t="s">
        <v>97</v>
      </c>
      <c r="B108" s="24" t="s">
        <v>98</v>
      </c>
      <c r="C108" s="24"/>
      <c r="D108" s="24" t="s">
        <v>100</v>
      </c>
      <c r="E108" s="24"/>
      <c r="F108" s="24" t="s">
        <v>99</v>
      </c>
      <c r="G108" s="24"/>
      <c r="H108" s="24" t="s">
        <v>101</v>
      </c>
      <c r="I108" s="24"/>
      <c r="J108" s="24" t="s">
        <v>104</v>
      </c>
      <c r="K108" s="24"/>
      <c r="M108" s="25" t="s">
        <v>97</v>
      </c>
      <c r="N108" s="24" t="s">
        <v>98</v>
      </c>
      <c r="O108" s="24"/>
      <c r="P108" s="24" t="s">
        <v>100</v>
      </c>
      <c r="Q108" s="24"/>
      <c r="R108" s="24" t="s">
        <v>99</v>
      </c>
      <c r="S108" s="24"/>
      <c r="T108" s="24" t="s">
        <v>101</v>
      </c>
      <c r="U108" s="24"/>
      <c r="V108" s="24" t="s">
        <v>104</v>
      </c>
      <c r="W108" s="24"/>
      <c r="Y108" s="25" t="s">
        <v>97</v>
      </c>
      <c r="Z108" s="24" t="s">
        <v>98</v>
      </c>
      <c r="AA108" s="24"/>
      <c r="AB108" s="24" t="s">
        <v>100</v>
      </c>
      <c r="AC108" s="24"/>
      <c r="AD108" s="24" t="s">
        <v>99</v>
      </c>
      <c r="AE108" s="24"/>
      <c r="AF108" s="24" t="s">
        <v>101</v>
      </c>
      <c r="AG108" s="24"/>
      <c r="AH108" s="24" t="s">
        <v>104</v>
      </c>
      <c r="AI108" s="24"/>
      <c r="AK108" s="25" t="s">
        <v>97</v>
      </c>
      <c r="AL108" s="24" t="s">
        <v>98</v>
      </c>
      <c r="AM108" s="24"/>
      <c r="AN108" s="24" t="s">
        <v>100</v>
      </c>
      <c r="AO108" s="24"/>
      <c r="AP108" s="24" t="s">
        <v>99</v>
      </c>
      <c r="AQ108" s="24"/>
      <c r="AR108" s="24" t="s">
        <v>101</v>
      </c>
      <c r="AS108" s="24"/>
      <c r="AT108" s="24" t="s">
        <v>104</v>
      </c>
      <c r="AU108" s="24"/>
      <c r="AW108" s="25" t="s">
        <v>97</v>
      </c>
      <c r="AX108" s="24" t="s">
        <v>98</v>
      </c>
      <c r="AY108" s="24"/>
      <c r="AZ108" s="24" t="s">
        <v>100</v>
      </c>
      <c r="BA108" s="24"/>
      <c r="BB108" s="24" t="s">
        <v>99</v>
      </c>
      <c r="BC108" s="24"/>
      <c r="BD108" s="24" t="s">
        <v>101</v>
      </c>
      <c r="BE108" s="24"/>
      <c r="BF108" s="24" t="s">
        <v>104</v>
      </c>
      <c r="BG108" s="24"/>
      <c r="BI108" s="25" t="s">
        <v>97</v>
      </c>
      <c r="BJ108" s="24" t="s">
        <v>98</v>
      </c>
      <c r="BK108" s="24"/>
      <c r="BL108" s="24" t="s">
        <v>100</v>
      </c>
      <c r="BM108" s="24"/>
      <c r="BN108" s="24" t="s">
        <v>99</v>
      </c>
      <c r="BO108" s="24"/>
      <c r="BP108" s="24" t="s">
        <v>101</v>
      </c>
      <c r="BQ108" s="24"/>
      <c r="BR108" s="24" t="s">
        <v>104</v>
      </c>
      <c r="BS108" s="24"/>
      <c r="BU108" s="25" t="s">
        <v>97</v>
      </c>
      <c r="BV108" s="24" t="s">
        <v>98</v>
      </c>
      <c r="BW108" s="24"/>
      <c r="BX108" s="24" t="s">
        <v>100</v>
      </c>
      <c r="BY108" s="24"/>
      <c r="BZ108" s="24" t="s">
        <v>99</v>
      </c>
      <c r="CA108" s="24"/>
      <c r="CB108" s="24" t="s">
        <v>101</v>
      </c>
      <c r="CC108" s="24"/>
      <c r="CD108" s="24" t="s">
        <v>104</v>
      </c>
      <c r="CE108" s="24"/>
      <c r="CF108" s="24" t="s">
        <v>130</v>
      </c>
      <c r="CG108" s="24"/>
      <c r="CI108" s="25" t="s">
        <v>97</v>
      </c>
      <c r="CJ108" s="24" t="s">
        <v>98</v>
      </c>
      <c r="CK108" s="24"/>
      <c r="CL108" s="24" t="s">
        <v>100</v>
      </c>
      <c r="CM108" s="24"/>
      <c r="CN108" s="24" t="s">
        <v>99</v>
      </c>
      <c r="CO108" s="24"/>
      <c r="CP108" s="24" t="s">
        <v>101</v>
      </c>
      <c r="CQ108" s="24"/>
      <c r="CR108" s="24" t="s">
        <v>104</v>
      </c>
      <c r="CS108" s="24"/>
      <c r="CT108" s="24" t="s">
        <v>130</v>
      </c>
      <c r="CU108" s="24"/>
      <c r="CV108" s="24" t="s">
        <v>133</v>
      </c>
      <c r="CW108" s="24"/>
    </row>
    <row r="109" spans="1:103" ht="23.25" customHeight="1" x14ac:dyDescent="0.25">
      <c r="A109" s="25"/>
      <c r="B109" t="s">
        <v>102</v>
      </c>
      <c r="C109" t="s">
        <v>103</v>
      </c>
      <c r="D109" t="s">
        <v>102</v>
      </c>
      <c r="E109" t="s">
        <v>103</v>
      </c>
      <c r="F109" t="s">
        <v>102</v>
      </c>
      <c r="G109" t="s">
        <v>103</v>
      </c>
      <c r="H109" t="s">
        <v>102</v>
      </c>
      <c r="I109" t="s">
        <v>103</v>
      </c>
      <c r="J109" t="s">
        <v>102</v>
      </c>
      <c r="K109" t="s">
        <v>103</v>
      </c>
      <c r="M109" s="25"/>
      <c r="N109" t="s">
        <v>102</v>
      </c>
      <c r="O109" t="s">
        <v>103</v>
      </c>
      <c r="P109" t="s">
        <v>102</v>
      </c>
      <c r="Q109" t="s">
        <v>103</v>
      </c>
      <c r="R109" t="s">
        <v>102</v>
      </c>
      <c r="S109" t="s">
        <v>103</v>
      </c>
      <c r="T109" t="s">
        <v>102</v>
      </c>
      <c r="U109" t="s">
        <v>103</v>
      </c>
      <c r="V109" t="s">
        <v>102</v>
      </c>
      <c r="W109" t="s">
        <v>103</v>
      </c>
      <c r="Y109" s="25"/>
      <c r="Z109" t="s">
        <v>102</v>
      </c>
      <c r="AA109" t="s">
        <v>103</v>
      </c>
      <c r="AB109" t="s">
        <v>102</v>
      </c>
      <c r="AC109" t="s">
        <v>103</v>
      </c>
      <c r="AD109" t="s">
        <v>102</v>
      </c>
      <c r="AE109" t="s">
        <v>103</v>
      </c>
      <c r="AF109" t="s">
        <v>102</v>
      </c>
      <c r="AG109" t="s">
        <v>103</v>
      </c>
      <c r="AH109" t="s">
        <v>102</v>
      </c>
      <c r="AI109" t="s">
        <v>103</v>
      </c>
      <c r="AK109" s="25"/>
      <c r="AL109" t="s">
        <v>102</v>
      </c>
      <c r="AM109" t="s">
        <v>103</v>
      </c>
      <c r="AN109" t="s">
        <v>102</v>
      </c>
      <c r="AO109" t="s">
        <v>103</v>
      </c>
      <c r="AP109" t="s">
        <v>102</v>
      </c>
      <c r="AQ109" t="s">
        <v>103</v>
      </c>
      <c r="AR109" t="s">
        <v>102</v>
      </c>
      <c r="AS109" t="s">
        <v>103</v>
      </c>
      <c r="AT109" t="s">
        <v>102</v>
      </c>
      <c r="AU109" t="s">
        <v>103</v>
      </c>
      <c r="AW109" s="25"/>
      <c r="AX109" t="s">
        <v>102</v>
      </c>
      <c r="AY109" t="s">
        <v>103</v>
      </c>
      <c r="AZ109" t="s">
        <v>102</v>
      </c>
      <c r="BA109" t="s">
        <v>103</v>
      </c>
      <c r="BB109" t="s">
        <v>102</v>
      </c>
      <c r="BC109" t="s">
        <v>103</v>
      </c>
      <c r="BD109" t="s">
        <v>102</v>
      </c>
      <c r="BE109" t="s">
        <v>103</v>
      </c>
      <c r="BF109" t="s">
        <v>102</v>
      </c>
      <c r="BG109" t="s">
        <v>103</v>
      </c>
      <c r="BI109" s="25"/>
      <c r="BJ109" t="s">
        <v>102</v>
      </c>
      <c r="BK109" t="s">
        <v>103</v>
      </c>
      <c r="BL109" t="s">
        <v>102</v>
      </c>
      <c r="BM109" t="s">
        <v>103</v>
      </c>
      <c r="BN109" t="s">
        <v>102</v>
      </c>
      <c r="BO109" t="s">
        <v>103</v>
      </c>
      <c r="BP109" t="s">
        <v>102</v>
      </c>
      <c r="BQ109" t="s">
        <v>103</v>
      </c>
      <c r="BR109" t="s">
        <v>102</v>
      </c>
      <c r="BS109" t="s">
        <v>103</v>
      </c>
      <c r="BU109" s="25"/>
      <c r="BV109" t="s">
        <v>102</v>
      </c>
      <c r="BW109" t="s">
        <v>103</v>
      </c>
      <c r="BX109" t="s">
        <v>102</v>
      </c>
      <c r="BY109" t="s">
        <v>103</v>
      </c>
      <c r="BZ109" t="s">
        <v>102</v>
      </c>
      <c r="CA109" t="s">
        <v>103</v>
      </c>
      <c r="CB109" t="s">
        <v>102</v>
      </c>
      <c r="CC109" t="s">
        <v>103</v>
      </c>
      <c r="CD109" t="s">
        <v>102</v>
      </c>
      <c r="CE109" t="s">
        <v>103</v>
      </c>
      <c r="CF109" t="s">
        <v>102</v>
      </c>
      <c r="CG109" t="s">
        <v>103</v>
      </c>
      <c r="CI109" s="25"/>
      <c r="CJ109" t="s">
        <v>102</v>
      </c>
      <c r="CK109" t="s">
        <v>103</v>
      </c>
      <c r="CL109" t="s">
        <v>102</v>
      </c>
      <c r="CM109" t="s">
        <v>103</v>
      </c>
      <c r="CN109" t="s">
        <v>102</v>
      </c>
      <c r="CO109" t="s">
        <v>103</v>
      </c>
      <c r="CP109" t="s">
        <v>102</v>
      </c>
      <c r="CQ109" t="s">
        <v>103</v>
      </c>
      <c r="CR109" t="s">
        <v>102</v>
      </c>
      <c r="CS109" t="s">
        <v>103</v>
      </c>
      <c r="CT109" t="s">
        <v>102</v>
      </c>
      <c r="CU109" t="s">
        <v>103</v>
      </c>
      <c r="CV109" t="s">
        <v>102</v>
      </c>
      <c r="CW109" t="s">
        <v>103</v>
      </c>
    </row>
    <row r="110" spans="1:103" x14ac:dyDescent="0.25">
      <c r="A110" s="4">
        <v>25</v>
      </c>
      <c r="B110">
        <v>650</v>
      </c>
      <c r="C110" s="9">
        <f>PRODUCT(A110,B110,1/(B110+420))</f>
        <v>15.186915887850468</v>
      </c>
      <c r="D110">
        <v>0</v>
      </c>
      <c r="E110" s="9">
        <f>PRODUCT(A110,D110,1/(D110+150))</f>
        <v>0</v>
      </c>
      <c r="M110" s="4">
        <v>25</v>
      </c>
      <c r="N110">
        <v>700</v>
      </c>
      <c r="O110" s="9">
        <f>PRODUCT(M110,N110,1/(N110+420))</f>
        <v>15.625</v>
      </c>
      <c r="P110">
        <v>0</v>
      </c>
      <c r="Q110" s="9">
        <f>PRODUCT(M110,P110,1/(P110+150))</f>
        <v>0</v>
      </c>
      <c r="Y110" s="4">
        <v>25</v>
      </c>
      <c r="Z110">
        <v>750</v>
      </c>
      <c r="AA110" s="9">
        <f>PRODUCT(Y110,Z110,1/(Z110+420))</f>
        <v>16.025641025641026</v>
      </c>
      <c r="AB110">
        <v>0</v>
      </c>
      <c r="AC110" s="9">
        <f>PRODUCT(Y110,AB110,1/(AB110+150))</f>
        <v>0</v>
      </c>
      <c r="AK110" s="4">
        <v>25</v>
      </c>
      <c r="AL110">
        <v>800</v>
      </c>
      <c r="AM110" s="9">
        <f>PRODUCT(AK110,AL110,1/(AL110+420))</f>
        <v>16.393442622950818</v>
      </c>
      <c r="AN110">
        <v>0</v>
      </c>
      <c r="AO110" s="9">
        <f>PRODUCT(AK110,AN110,1/(AN110+150))</f>
        <v>0</v>
      </c>
      <c r="AW110" s="4">
        <v>25</v>
      </c>
      <c r="AX110">
        <v>700</v>
      </c>
      <c r="AY110" s="9">
        <f>PRODUCT(AW110,AX110,1/(AX110+420))</f>
        <v>15.625</v>
      </c>
      <c r="AZ110">
        <v>0</v>
      </c>
      <c r="BA110" s="9">
        <f>PRODUCT(AW110,AZ110,1/(AZ110+150))</f>
        <v>0</v>
      </c>
      <c r="BI110" s="4">
        <v>25</v>
      </c>
      <c r="BJ110">
        <v>750</v>
      </c>
      <c r="BK110" s="9">
        <f>PRODUCT(BI110,BJ110,1/(BJ110+420))</f>
        <v>16.025641025641026</v>
      </c>
      <c r="BL110">
        <v>0</v>
      </c>
      <c r="BM110" s="9">
        <f>PRODUCT(BI110,BL110,1/(BL110+150))</f>
        <v>0</v>
      </c>
      <c r="BU110" s="4">
        <v>25</v>
      </c>
      <c r="BV110">
        <v>800</v>
      </c>
      <c r="BW110" s="9">
        <f>PRODUCT(BU110,BV110,1/(BV110+420))</f>
        <v>16.393442622950818</v>
      </c>
      <c r="BX110">
        <v>0</v>
      </c>
      <c r="BY110" s="9">
        <f>PRODUCT(BU110,BX110,1/(BX110+150))</f>
        <v>0</v>
      </c>
      <c r="CI110" s="4">
        <v>25</v>
      </c>
      <c r="CJ110">
        <v>750</v>
      </c>
      <c r="CK110" s="9">
        <f>PRODUCT(CI110,CJ110,1/(CJ110+420))</f>
        <v>16.025641025641026</v>
      </c>
      <c r="CL110">
        <v>0</v>
      </c>
      <c r="CM110" s="9">
        <f>PRODUCT(CI110,CL110,1/(CL110+150))</f>
        <v>0</v>
      </c>
      <c r="CN110">
        <v>0</v>
      </c>
      <c r="CO110" s="9">
        <v>0</v>
      </c>
      <c r="CP110">
        <v>0</v>
      </c>
      <c r="CQ110" s="9">
        <v>0</v>
      </c>
      <c r="CR110">
        <v>0</v>
      </c>
      <c r="CS110" s="9">
        <v>0</v>
      </c>
      <c r="CT110">
        <v>0</v>
      </c>
      <c r="CU110" s="9">
        <v>0</v>
      </c>
      <c r="CV110">
        <v>0</v>
      </c>
      <c r="CW110" s="9">
        <v>0</v>
      </c>
    </row>
    <row r="111" spans="1:103" x14ac:dyDescent="0.25">
      <c r="A111" s="4">
        <v>50</v>
      </c>
      <c r="B111">
        <v>650</v>
      </c>
      <c r="C111" s="9">
        <f t="shared" ref="C111:C122" si="325">PRODUCT(A111,B111,1/(B111+420))</f>
        <v>30.373831775700936</v>
      </c>
      <c r="D111">
        <v>650</v>
      </c>
      <c r="E111" s="9">
        <f>PRODUCT(A111,D111,1/(D111+420))</f>
        <v>30.373831775700936</v>
      </c>
      <c r="F111">
        <v>0</v>
      </c>
      <c r="G111" s="9">
        <f>PRODUCT(A111,F111,1/(F111+420))</f>
        <v>0</v>
      </c>
      <c r="H111">
        <v>0</v>
      </c>
      <c r="I111" s="9">
        <v>0</v>
      </c>
      <c r="J111">
        <v>0</v>
      </c>
      <c r="K111" s="9">
        <v>0</v>
      </c>
      <c r="M111" s="4">
        <v>50</v>
      </c>
      <c r="N111">
        <v>700</v>
      </c>
      <c r="O111" s="9">
        <f t="shared" ref="O111:O125" si="326">PRODUCT(M111,N111,1/(N111+420))</f>
        <v>31.25</v>
      </c>
      <c r="P111">
        <v>700</v>
      </c>
      <c r="Q111" s="9">
        <f>PRODUCT(M111,P111,1/(P111+420))</f>
        <v>31.25</v>
      </c>
      <c r="R111">
        <v>0</v>
      </c>
      <c r="S111" s="9">
        <f>PRODUCT(M111,R111,1/(R111+420))</f>
        <v>0</v>
      </c>
      <c r="T111">
        <v>0</v>
      </c>
      <c r="U111" s="9">
        <v>0</v>
      </c>
      <c r="V111">
        <v>0</v>
      </c>
      <c r="W111" s="9">
        <v>0</v>
      </c>
      <c r="Y111" s="4">
        <v>50</v>
      </c>
      <c r="Z111">
        <v>750</v>
      </c>
      <c r="AA111" s="9">
        <f t="shared" ref="AA111:AA125" si="327">PRODUCT(Y111,Z111,1/(Z111+420))</f>
        <v>32.051282051282051</v>
      </c>
      <c r="AB111">
        <v>750</v>
      </c>
      <c r="AC111" s="9">
        <f>PRODUCT(Y111,AB111,1/(AB111+420))</f>
        <v>32.051282051282051</v>
      </c>
      <c r="AD111">
        <v>0</v>
      </c>
      <c r="AE111" s="9">
        <f>PRODUCT(Y111,AD111,1/(AD111+420))</f>
        <v>0</v>
      </c>
      <c r="AF111">
        <v>0</v>
      </c>
      <c r="AG111" s="9">
        <v>0</v>
      </c>
      <c r="AH111">
        <v>0</v>
      </c>
      <c r="AI111" s="9">
        <v>0</v>
      </c>
      <c r="AK111" s="4">
        <v>50</v>
      </c>
      <c r="AL111">
        <v>800</v>
      </c>
      <c r="AM111" s="9">
        <f t="shared" ref="AM111:AM126" si="328">PRODUCT(AK111,AL111,1/(AL111+420))</f>
        <v>32.786885245901637</v>
      </c>
      <c r="AN111">
        <v>800</v>
      </c>
      <c r="AO111" s="9">
        <f>PRODUCT(AK111,AN111,1/(AN111+420))</f>
        <v>32.786885245901637</v>
      </c>
      <c r="AP111">
        <v>0</v>
      </c>
      <c r="AQ111" s="9">
        <f>PRODUCT(AK111,AP111,1/(AP111+420))</f>
        <v>0</v>
      </c>
      <c r="AR111">
        <v>0</v>
      </c>
      <c r="AS111" s="9">
        <v>0</v>
      </c>
      <c r="AT111">
        <v>0</v>
      </c>
      <c r="AU111" s="9">
        <v>0</v>
      </c>
      <c r="AW111" s="4">
        <v>50</v>
      </c>
      <c r="AX111">
        <v>700</v>
      </c>
      <c r="AY111" s="9">
        <f t="shared" ref="AY111:AY130" si="329">PRODUCT(AW111,AX111,1/(AX111+420))</f>
        <v>31.25</v>
      </c>
      <c r="AZ111">
        <v>700</v>
      </c>
      <c r="BA111" s="9">
        <f>PRODUCT(AW111,AZ111,1/(AZ111+420))</f>
        <v>31.25</v>
      </c>
      <c r="BB111">
        <v>0</v>
      </c>
      <c r="BC111" s="9">
        <f>PRODUCT(AW111,BB111,1/(BB111+420))</f>
        <v>0</v>
      </c>
      <c r="BD111">
        <v>0</v>
      </c>
      <c r="BE111" s="9">
        <v>0</v>
      </c>
      <c r="BF111">
        <v>0</v>
      </c>
      <c r="BG111" s="9">
        <v>0</v>
      </c>
      <c r="BI111" s="4">
        <v>50</v>
      </c>
      <c r="BJ111">
        <v>750</v>
      </c>
      <c r="BK111" s="9">
        <f t="shared" ref="BK111:BK125" si="330">PRODUCT(BI111,BJ111,1/(BJ111+420))</f>
        <v>32.051282051282051</v>
      </c>
      <c r="BL111">
        <v>750</v>
      </c>
      <c r="BM111" s="9">
        <f>PRODUCT(BI111,BL111,1/(BL111+420))</f>
        <v>32.051282051282051</v>
      </c>
      <c r="BN111">
        <v>0</v>
      </c>
      <c r="BO111" s="9">
        <f>PRODUCT(BI111,BN111,1/(BN111+420))</f>
        <v>0</v>
      </c>
      <c r="BP111">
        <v>0</v>
      </c>
      <c r="BQ111" s="9">
        <v>0</v>
      </c>
      <c r="BR111">
        <v>0</v>
      </c>
      <c r="BS111" s="9">
        <v>0</v>
      </c>
      <c r="BU111" s="4">
        <v>50</v>
      </c>
      <c r="BV111">
        <v>800</v>
      </c>
      <c r="BW111" s="9">
        <f t="shared" ref="BW111:BW137" si="331">PRODUCT(BU111,BV111,1/(BV111+420))</f>
        <v>32.786885245901637</v>
      </c>
      <c r="BX111">
        <v>800</v>
      </c>
      <c r="BY111" s="9">
        <f>PRODUCT(BU111,BX111,1/(BX111+420))</f>
        <v>32.786885245901637</v>
      </c>
      <c r="BZ111">
        <v>0</v>
      </c>
      <c r="CA111" s="9">
        <f>PRODUCT(BU111,BZ111,1/(BZ111+420))</f>
        <v>0</v>
      </c>
      <c r="CB111">
        <v>0</v>
      </c>
      <c r="CC111" s="9">
        <v>0</v>
      </c>
      <c r="CD111">
        <v>0</v>
      </c>
      <c r="CE111" s="9">
        <v>0</v>
      </c>
      <c r="CI111" s="4">
        <v>50</v>
      </c>
      <c r="CJ111">
        <v>750</v>
      </c>
      <c r="CK111" s="9">
        <f t="shared" ref="CK111:CK152" si="332">PRODUCT(CI111,CJ111,1/(CJ111+420))</f>
        <v>32.051282051282051</v>
      </c>
      <c r="CL111">
        <v>0</v>
      </c>
      <c r="CM111" s="9">
        <f>PRODUCT(CI111,CL111,1/(CL111+420))</f>
        <v>0</v>
      </c>
      <c r="CN111">
        <v>0</v>
      </c>
      <c r="CO111" s="9">
        <f>PRODUCT(CI111,CN111,1/(CN111+420))</f>
        <v>0</v>
      </c>
      <c r="CP111">
        <v>0</v>
      </c>
      <c r="CQ111" s="9">
        <v>0</v>
      </c>
      <c r="CR111">
        <v>0</v>
      </c>
      <c r="CS111" s="9">
        <v>0</v>
      </c>
      <c r="CT111">
        <v>0</v>
      </c>
      <c r="CU111" s="9">
        <v>0</v>
      </c>
      <c r="CV111">
        <v>0</v>
      </c>
      <c r="CW111" s="9">
        <v>0</v>
      </c>
    </row>
    <row r="112" spans="1:103" x14ac:dyDescent="0.25">
      <c r="A112" s="4">
        <v>100</v>
      </c>
      <c r="B112">
        <f>SUM(B111,-2)</f>
        <v>648</v>
      </c>
      <c r="C112" s="9">
        <f t="shared" si="325"/>
        <v>60.674157303370784</v>
      </c>
      <c r="D112">
        <f>SUM(D111,-3)</f>
        <v>647</v>
      </c>
      <c r="E112" s="9">
        <f t="shared" ref="E112:E121" si="333">PRODUCT(A112,D112,1/(D112+420))</f>
        <v>60.637300843486415</v>
      </c>
      <c r="F112">
        <v>650</v>
      </c>
      <c r="G112" s="9">
        <f t="shared" ref="G112:G119" si="334">PRODUCT(A112,F112,1/(F112+420))</f>
        <v>60.747663551401871</v>
      </c>
      <c r="H112">
        <v>0</v>
      </c>
      <c r="I112" s="9">
        <v>0</v>
      </c>
      <c r="J112">
        <v>0</v>
      </c>
      <c r="K112" s="9">
        <v>0</v>
      </c>
      <c r="M112" s="4">
        <v>100</v>
      </c>
      <c r="N112">
        <f>SUM(N111,-2)</f>
        <v>698</v>
      </c>
      <c r="O112" s="9">
        <f t="shared" si="326"/>
        <v>62.432915921288014</v>
      </c>
      <c r="P112">
        <f>SUM(P111,-3)</f>
        <v>697</v>
      </c>
      <c r="Q112" s="9">
        <f t="shared" ref="Q112:Q125" si="335">PRODUCT(M112,P112,1/(P112+420))</f>
        <v>62.399283795881828</v>
      </c>
      <c r="R112">
        <v>700</v>
      </c>
      <c r="S112" s="9">
        <f t="shared" ref="S112:S125" si="336">PRODUCT(M112,R112,1/(R112+420))</f>
        <v>62.5</v>
      </c>
      <c r="T112">
        <v>0</v>
      </c>
      <c r="U112" s="9">
        <v>0</v>
      </c>
      <c r="V112">
        <v>0</v>
      </c>
      <c r="W112" s="9">
        <v>0</v>
      </c>
      <c r="Y112" s="4">
        <v>100</v>
      </c>
      <c r="Z112">
        <f>SUM(Z111,-2)</f>
        <v>748</v>
      </c>
      <c r="AA112" s="9">
        <f t="shared" si="327"/>
        <v>64.041095890410958</v>
      </c>
      <c r="AB112">
        <f>SUM(AB111,-3)</f>
        <v>747</v>
      </c>
      <c r="AC112" s="9">
        <f t="shared" ref="AC112:AC125" si="337">PRODUCT(Y112,AB112,1/(AB112+420))</f>
        <v>64.010282776349612</v>
      </c>
      <c r="AD112">
        <v>750</v>
      </c>
      <c r="AE112" s="9">
        <f t="shared" ref="AE112:AE125" si="338">PRODUCT(Y112,AD112,1/(AD112+420))</f>
        <v>64.102564102564102</v>
      </c>
      <c r="AF112">
        <v>0</v>
      </c>
      <c r="AG112" s="9">
        <v>0</v>
      </c>
      <c r="AH112">
        <v>0</v>
      </c>
      <c r="AI112" s="9">
        <v>0</v>
      </c>
      <c r="AK112" s="4">
        <v>100</v>
      </c>
      <c r="AL112">
        <f>SUM(AL111,-2)</f>
        <v>798</v>
      </c>
      <c r="AM112" s="9">
        <f t="shared" si="328"/>
        <v>65.517241379310349</v>
      </c>
      <c r="AN112">
        <f>SUM(AN111,-3)</f>
        <v>797</v>
      </c>
      <c r="AO112" s="9">
        <f t="shared" ref="AO112:AO126" si="339">PRODUCT(AK112,AN112,1/(AN112+420))</f>
        <v>65.488907148726369</v>
      </c>
      <c r="AP112">
        <v>800</v>
      </c>
      <c r="AQ112" s="9">
        <f t="shared" ref="AQ112:AQ126" si="340">PRODUCT(AK112,AP112,1/(AP112+420))</f>
        <v>65.573770491803273</v>
      </c>
      <c r="AR112">
        <v>0</v>
      </c>
      <c r="AS112" s="9">
        <v>0</v>
      </c>
      <c r="AT112">
        <v>0</v>
      </c>
      <c r="AU112" s="9">
        <v>0</v>
      </c>
      <c r="AW112" s="4">
        <v>100</v>
      </c>
      <c r="AX112">
        <f>SUM(AX111,-2)</f>
        <v>698</v>
      </c>
      <c r="AY112" s="9">
        <f t="shared" si="329"/>
        <v>62.432915921288014</v>
      </c>
      <c r="AZ112">
        <f>SUM(AZ111,-3)</f>
        <v>697</v>
      </c>
      <c r="BA112" s="9">
        <f t="shared" ref="BA112:BA130" si="341">PRODUCT(AW112,AZ112,1/(AZ112+420))</f>
        <v>62.399283795881828</v>
      </c>
      <c r="BB112">
        <v>700</v>
      </c>
      <c r="BC112" s="9">
        <f t="shared" ref="BC112:BC130" si="342">PRODUCT(AW112,BB112,1/(BB112+420))</f>
        <v>62.5</v>
      </c>
      <c r="BD112">
        <v>0</v>
      </c>
      <c r="BE112" s="9">
        <v>0</v>
      </c>
      <c r="BF112">
        <v>0</v>
      </c>
      <c r="BG112" s="9">
        <v>0</v>
      </c>
      <c r="BI112" s="4">
        <v>100</v>
      </c>
      <c r="BJ112">
        <f>SUM(BJ111,-2)</f>
        <v>748</v>
      </c>
      <c r="BK112" s="9">
        <f t="shared" si="330"/>
        <v>64.041095890410958</v>
      </c>
      <c r="BL112">
        <f>SUM(BL111,-3)</f>
        <v>747</v>
      </c>
      <c r="BM112" s="9">
        <f t="shared" ref="BM112:BM125" si="343">PRODUCT(BI112,BL112,1/(BL112+420))</f>
        <v>64.010282776349612</v>
      </c>
      <c r="BN112">
        <v>750</v>
      </c>
      <c r="BO112" s="9">
        <f t="shared" ref="BO112:BO125" si="344">PRODUCT(BI112,BN112,1/(BN112+420))</f>
        <v>64.102564102564102</v>
      </c>
      <c r="BP112">
        <v>0</v>
      </c>
      <c r="BQ112" s="9">
        <v>0</v>
      </c>
      <c r="BR112">
        <v>0</v>
      </c>
      <c r="BS112" s="9">
        <v>0</v>
      </c>
      <c r="BU112" s="4">
        <v>100</v>
      </c>
      <c r="BV112">
        <f>SUM(BV111,-2)</f>
        <v>798</v>
      </c>
      <c r="BW112" s="9">
        <f t="shared" si="331"/>
        <v>65.517241379310349</v>
      </c>
      <c r="BX112">
        <f>SUM(BX111,-3)</f>
        <v>797</v>
      </c>
      <c r="BY112" s="9">
        <f t="shared" ref="BY112:BY136" si="345">PRODUCT(BU112,BX112,1/(BX112+420))</f>
        <v>65.488907148726369</v>
      </c>
      <c r="BZ112">
        <v>800</v>
      </c>
      <c r="CA112" s="9">
        <f t="shared" ref="CA112:CA136" si="346">PRODUCT(BU112,BZ112,1/(BZ112+420))</f>
        <v>65.573770491803273</v>
      </c>
      <c r="CB112">
        <v>0</v>
      </c>
      <c r="CC112" s="9">
        <v>0</v>
      </c>
      <c r="CD112">
        <v>0</v>
      </c>
      <c r="CE112" s="9">
        <v>0</v>
      </c>
      <c r="CI112" s="4">
        <v>100</v>
      </c>
      <c r="CJ112">
        <f>SUM(CJ111,-2)</f>
        <v>748</v>
      </c>
      <c r="CK112" s="9">
        <f t="shared" si="332"/>
        <v>64.041095890410958</v>
      </c>
      <c r="CL112">
        <v>750</v>
      </c>
      <c r="CM112" s="9">
        <f t="shared" ref="CM112:CM152" si="347">PRODUCT(CI112,CL112,1/(CL112+420))</f>
        <v>64.102564102564102</v>
      </c>
      <c r="CN112">
        <v>0</v>
      </c>
      <c r="CO112" s="9">
        <f t="shared" ref="CO112:CO152" si="348">PRODUCT(CI112,CN112,1/(CN112+420))</f>
        <v>0</v>
      </c>
      <c r="CP112">
        <v>0</v>
      </c>
      <c r="CQ112" s="9">
        <v>0</v>
      </c>
      <c r="CR112">
        <v>0</v>
      </c>
      <c r="CS112" s="9">
        <v>0</v>
      </c>
      <c r="CT112">
        <v>0</v>
      </c>
      <c r="CU112" s="9">
        <v>0</v>
      </c>
      <c r="CV112">
        <v>0</v>
      </c>
      <c r="CW112" s="9">
        <v>0</v>
      </c>
      <c r="CY112" s="9"/>
    </row>
    <row r="113" spans="1:101" x14ac:dyDescent="0.25">
      <c r="A113" s="4">
        <v>200</v>
      </c>
      <c r="B113">
        <f t="shared" ref="B113:B122" si="349">SUM(B112,-2)</f>
        <v>646</v>
      </c>
      <c r="C113" s="9">
        <f t="shared" si="325"/>
        <v>121.20075046904316</v>
      </c>
      <c r="D113">
        <f t="shared" ref="D113:D121" si="350">SUM(D112,-3)</f>
        <v>644</v>
      </c>
      <c r="E113" s="9">
        <f t="shared" si="333"/>
        <v>121.05263157894736</v>
      </c>
      <c r="F113">
        <f t="shared" ref="F113:F119" si="351">SUM(F112,-4)</f>
        <v>646</v>
      </c>
      <c r="G113" s="9">
        <f t="shared" si="334"/>
        <v>121.20075046904316</v>
      </c>
      <c r="H113">
        <v>0</v>
      </c>
      <c r="I113" s="9">
        <v>0</v>
      </c>
      <c r="J113">
        <v>0</v>
      </c>
      <c r="K113" s="9">
        <v>0</v>
      </c>
      <c r="M113" s="4">
        <v>200</v>
      </c>
      <c r="N113">
        <f t="shared" ref="N113:N125" si="352">SUM(N112,-2)</f>
        <v>696</v>
      </c>
      <c r="O113" s="9">
        <f t="shared" si="326"/>
        <v>124.73118279569893</v>
      </c>
      <c r="P113">
        <f t="shared" ref="P113:P125" si="353">SUM(P112,-3)</f>
        <v>694</v>
      </c>
      <c r="Q113" s="9">
        <f t="shared" si="335"/>
        <v>124.59605026929982</v>
      </c>
      <c r="R113">
        <f t="shared" ref="R113:R124" si="354">SUM(R112,-4)</f>
        <v>696</v>
      </c>
      <c r="S113" s="9">
        <f t="shared" si="336"/>
        <v>124.73118279569893</v>
      </c>
      <c r="T113">
        <v>700</v>
      </c>
      <c r="U113" s="9">
        <f>PRODUCT(M113,T113,1/(T113+420))</f>
        <v>125</v>
      </c>
      <c r="V113">
        <v>0</v>
      </c>
      <c r="W113" s="9">
        <v>0</v>
      </c>
      <c r="Y113" s="4">
        <v>200</v>
      </c>
      <c r="Z113">
        <f t="shared" ref="Z113:Z125" si="355">SUM(Z112,-2)</f>
        <v>746</v>
      </c>
      <c r="AA113" s="9">
        <f t="shared" si="327"/>
        <v>127.95883361921098</v>
      </c>
      <c r="AB113">
        <f t="shared" ref="AB113:AB125" si="356">SUM(AB112,-3)</f>
        <v>744</v>
      </c>
      <c r="AC113" s="9">
        <f t="shared" si="337"/>
        <v>127.83505154639175</v>
      </c>
      <c r="AD113">
        <f t="shared" ref="AD113:AD124" si="357">SUM(AD112,-4)</f>
        <v>746</v>
      </c>
      <c r="AE113" s="9">
        <f t="shared" si="338"/>
        <v>127.95883361921098</v>
      </c>
      <c r="AF113">
        <v>750</v>
      </c>
      <c r="AG113" s="9">
        <f>PRODUCT(Y113,AF113,1/(AF113+420))</f>
        <v>128.2051282051282</v>
      </c>
      <c r="AH113">
        <v>0</v>
      </c>
      <c r="AI113" s="9">
        <v>0</v>
      </c>
      <c r="AK113" s="4">
        <v>200</v>
      </c>
      <c r="AL113">
        <f t="shared" ref="AL113:AL126" si="358">SUM(AL112,-2)</f>
        <v>796</v>
      </c>
      <c r="AM113" s="9">
        <f t="shared" si="328"/>
        <v>130.92105263157893</v>
      </c>
      <c r="AN113">
        <f t="shared" ref="AN113:AN126" si="359">SUM(AN112,-3)</f>
        <v>794</v>
      </c>
      <c r="AO113" s="9">
        <f t="shared" si="339"/>
        <v>130.80724876441516</v>
      </c>
      <c r="AP113">
        <f t="shared" ref="AP113:AP126" si="360">SUM(AP112,-4)</f>
        <v>796</v>
      </c>
      <c r="AQ113" s="9">
        <f t="shared" si="340"/>
        <v>130.92105263157893</v>
      </c>
      <c r="AR113">
        <v>800</v>
      </c>
      <c r="AS113" s="9">
        <f>PRODUCT(AK113,AR113,1/(AR113+420))</f>
        <v>131.14754098360655</v>
      </c>
      <c r="AT113">
        <v>0</v>
      </c>
      <c r="AU113" s="9">
        <v>0</v>
      </c>
      <c r="AW113" s="4">
        <v>200</v>
      </c>
      <c r="AX113">
        <f t="shared" ref="AX113:AX130" si="361">SUM(AX112,-2)</f>
        <v>696</v>
      </c>
      <c r="AY113" s="9">
        <f t="shared" si="329"/>
        <v>124.73118279569893</v>
      </c>
      <c r="AZ113">
        <f t="shared" ref="AZ113:AZ130" si="362">SUM(AZ112,-3)</f>
        <v>694</v>
      </c>
      <c r="BA113" s="9">
        <f t="shared" si="341"/>
        <v>124.59605026929982</v>
      </c>
      <c r="BB113">
        <f t="shared" ref="BB113:BB130" si="363">SUM(BB112,-4)</f>
        <v>696</v>
      </c>
      <c r="BC113" s="9">
        <f t="shared" si="342"/>
        <v>124.73118279569893</v>
      </c>
      <c r="BD113">
        <v>700</v>
      </c>
      <c r="BE113" s="9">
        <f>PRODUCT(AW113,BD113,1/(BD113+420))</f>
        <v>125</v>
      </c>
      <c r="BF113">
        <v>0</v>
      </c>
      <c r="BG113" s="9">
        <v>0</v>
      </c>
      <c r="BI113" s="4">
        <v>200</v>
      </c>
      <c r="BJ113">
        <f t="shared" ref="BJ113:BJ125" si="364">SUM(BJ112,-2)</f>
        <v>746</v>
      </c>
      <c r="BK113" s="9">
        <f t="shared" si="330"/>
        <v>127.95883361921098</v>
      </c>
      <c r="BL113">
        <f t="shared" ref="BL113:BL125" si="365">SUM(BL112,-3)</f>
        <v>744</v>
      </c>
      <c r="BM113" s="9">
        <f t="shared" si="343"/>
        <v>127.83505154639175</v>
      </c>
      <c r="BN113">
        <f t="shared" ref="BN113:BN124" si="366">SUM(BN112,-4)</f>
        <v>746</v>
      </c>
      <c r="BO113" s="9">
        <f t="shared" si="344"/>
        <v>127.95883361921098</v>
      </c>
      <c r="BP113">
        <v>750</v>
      </c>
      <c r="BQ113" s="9">
        <f>PRODUCT(BI113,BP113,1/(BP113+420))</f>
        <v>128.2051282051282</v>
      </c>
      <c r="BR113">
        <v>0</v>
      </c>
      <c r="BS113" s="9">
        <v>0</v>
      </c>
      <c r="BU113" s="4">
        <v>200</v>
      </c>
      <c r="BV113">
        <f t="shared" ref="BV113:BV136" si="367">SUM(BV112,-2)</f>
        <v>796</v>
      </c>
      <c r="BW113" s="9">
        <f t="shared" si="331"/>
        <v>130.92105263157893</v>
      </c>
      <c r="BX113">
        <f t="shared" ref="BX113:BX136" si="368">SUM(BX112,-3)</f>
        <v>794</v>
      </c>
      <c r="BY113" s="9">
        <f t="shared" si="345"/>
        <v>130.80724876441516</v>
      </c>
      <c r="BZ113">
        <f t="shared" ref="BZ113:BZ136" si="369">SUM(BZ112,-4)</f>
        <v>796</v>
      </c>
      <c r="CA113" s="9">
        <f t="shared" si="346"/>
        <v>130.92105263157893</v>
      </c>
      <c r="CB113">
        <v>800</v>
      </c>
      <c r="CC113" s="9">
        <f>PRODUCT(BU113,CB113,1/(CB113+420))</f>
        <v>131.14754098360655</v>
      </c>
      <c r="CD113">
        <v>0</v>
      </c>
      <c r="CE113" s="9">
        <v>0</v>
      </c>
      <c r="CI113" s="4">
        <v>200</v>
      </c>
      <c r="CJ113">
        <f t="shared" ref="CJ113:CJ152" si="370">SUM(CJ112,-2)</f>
        <v>746</v>
      </c>
      <c r="CK113" s="9">
        <f t="shared" si="332"/>
        <v>127.95883361921098</v>
      </c>
      <c r="CL113">
        <f t="shared" ref="CL113:CL152" si="371">SUM(CL112,-3)</f>
        <v>747</v>
      </c>
      <c r="CM113" s="9">
        <f t="shared" si="347"/>
        <v>128.02056555269922</v>
      </c>
      <c r="CN113">
        <v>750</v>
      </c>
      <c r="CO113" s="9">
        <f t="shared" si="348"/>
        <v>128.2051282051282</v>
      </c>
      <c r="CP113">
        <v>750</v>
      </c>
      <c r="CQ113" s="9">
        <f>PRODUCT(CI113,CP113,1/(CP113+420))</f>
        <v>128.2051282051282</v>
      </c>
      <c r="CR113">
        <v>0</v>
      </c>
      <c r="CS113" s="9">
        <v>0</v>
      </c>
      <c r="CT113">
        <v>0</v>
      </c>
      <c r="CU113" s="9">
        <v>0</v>
      </c>
      <c r="CV113">
        <v>0</v>
      </c>
      <c r="CW113" s="9">
        <v>0</v>
      </c>
    </row>
    <row r="114" spans="1:101" x14ac:dyDescent="0.25">
      <c r="A114" s="4">
        <v>500</v>
      </c>
      <c r="B114">
        <f t="shared" si="349"/>
        <v>644</v>
      </c>
      <c r="C114" s="9">
        <f t="shared" si="325"/>
        <v>302.63157894736838</v>
      </c>
      <c r="D114">
        <f t="shared" si="350"/>
        <v>641</v>
      </c>
      <c r="E114" s="9">
        <f t="shared" si="333"/>
        <v>302.07351555136665</v>
      </c>
      <c r="F114">
        <f t="shared" si="351"/>
        <v>642</v>
      </c>
      <c r="G114" s="9">
        <f t="shared" si="334"/>
        <v>302.25988700564972</v>
      </c>
      <c r="H114">
        <v>0</v>
      </c>
      <c r="I114" s="9">
        <v>0</v>
      </c>
      <c r="J114">
        <v>0</v>
      </c>
      <c r="K114" s="9">
        <v>0</v>
      </c>
      <c r="M114" s="4">
        <v>500</v>
      </c>
      <c r="N114">
        <f t="shared" si="352"/>
        <v>694</v>
      </c>
      <c r="O114" s="9">
        <f t="shared" si="326"/>
        <v>311.49012567324957</v>
      </c>
      <c r="P114">
        <f t="shared" si="353"/>
        <v>691</v>
      </c>
      <c r="Q114" s="9">
        <f t="shared" si="335"/>
        <v>310.98109810981094</v>
      </c>
      <c r="R114">
        <f t="shared" si="354"/>
        <v>692</v>
      </c>
      <c r="S114" s="9">
        <f t="shared" si="336"/>
        <v>311.15107913669067</v>
      </c>
      <c r="T114">
        <f>SUM(T113,-5)</f>
        <v>695</v>
      </c>
      <c r="U114" s="9">
        <f t="shared" ref="U114:U122" si="372">PRODUCT(M114,T114,1/(T114+420))</f>
        <v>311.65919282511209</v>
      </c>
      <c r="V114">
        <v>0</v>
      </c>
      <c r="W114" s="9">
        <v>0</v>
      </c>
      <c r="Y114" s="4">
        <v>500</v>
      </c>
      <c r="Z114">
        <f t="shared" si="355"/>
        <v>744</v>
      </c>
      <c r="AA114" s="9">
        <f t="shared" si="327"/>
        <v>319.58762886597935</v>
      </c>
      <c r="AB114">
        <f t="shared" si="356"/>
        <v>741</v>
      </c>
      <c r="AC114" s="9">
        <f t="shared" si="337"/>
        <v>319.12144702842374</v>
      </c>
      <c r="AD114">
        <f t="shared" si="357"/>
        <v>742</v>
      </c>
      <c r="AE114" s="9">
        <f t="shared" si="338"/>
        <v>319.27710843373495</v>
      </c>
      <c r="AF114">
        <f>SUM(AF113,-5)</f>
        <v>745</v>
      </c>
      <c r="AG114" s="9">
        <f t="shared" ref="AG114:AG122" si="373">PRODUCT(Y114,AF114,1/(AF114+420))</f>
        <v>319.74248927038627</v>
      </c>
      <c r="AH114">
        <v>0</v>
      </c>
      <c r="AI114" s="9">
        <v>0</v>
      </c>
      <c r="AK114" s="4">
        <v>500</v>
      </c>
      <c r="AL114">
        <f t="shared" si="358"/>
        <v>794</v>
      </c>
      <c r="AM114" s="9">
        <f t="shared" si="328"/>
        <v>327.01812191103789</v>
      </c>
      <c r="AN114">
        <f t="shared" si="359"/>
        <v>791</v>
      </c>
      <c r="AO114" s="9">
        <f t="shared" si="339"/>
        <v>326.58959537572252</v>
      </c>
      <c r="AP114">
        <f t="shared" si="360"/>
        <v>792</v>
      </c>
      <c r="AQ114" s="9">
        <f t="shared" si="340"/>
        <v>326.73267326732673</v>
      </c>
      <c r="AR114">
        <f>SUM(AR113,-5)</f>
        <v>795</v>
      </c>
      <c r="AS114" s="9">
        <f t="shared" ref="AS114:AS125" si="374">PRODUCT(AK114,AR114,1/(AR114+420))</f>
        <v>327.16049382716051</v>
      </c>
      <c r="AT114">
        <v>0</v>
      </c>
      <c r="AU114" s="9">
        <v>0</v>
      </c>
      <c r="AW114" s="4">
        <v>500</v>
      </c>
      <c r="AX114">
        <f t="shared" si="361"/>
        <v>694</v>
      </c>
      <c r="AY114" s="9">
        <f t="shared" si="329"/>
        <v>311.49012567324957</v>
      </c>
      <c r="AZ114">
        <f t="shared" si="362"/>
        <v>691</v>
      </c>
      <c r="BA114" s="9">
        <f t="shared" si="341"/>
        <v>310.98109810981094</v>
      </c>
      <c r="BB114">
        <f t="shared" si="363"/>
        <v>692</v>
      </c>
      <c r="BC114" s="9">
        <f t="shared" si="342"/>
        <v>311.15107913669067</v>
      </c>
      <c r="BD114">
        <f>SUM(BD113,-5)</f>
        <v>695</v>
      </c>
      <c r="BE114" s="9">
        <f t="shared" ref="BE114:BE130" si="375">PRODUCT(AW114,BD114,1/(BD114+420))</f>
        <v>311.65919282511209</v>
      </c>
      <c r="BF114">
        <v>700</v>
      </c>
      <c r="BG114" s="9">
        <f>PRODUCT(AW114,BF114,1/(BF114+420))</f>
        <v>312.5</v>
      </c>
      <c r="BI114" s="4">
        <v>500</v>
      </c>
      <c r="BJ114">
        <f t="shared" si="364"/>
        <v>744</v>
      </c>
      <c r="BK114" s="9">
        <f t="shared" si="330"/>
        <v>319.58762886597935</v>
      </c>
      <c r="BL114">
        <f t="shared" si="365"/>
        <v>741</v>
      </c>
      <c r="BM114" s="9">
        <f t="shared" si="343"/>
        <v>319.12144702842374</v>
      </c>
      <c r="BN114">
        <f t="shared" si="366"/>
        <v>742</v>
      </c>
      <c r="BO114" s="9">
        <f t="shared" si="344"/>
        <v>319.27710843373495</v>
      </c>
      <c r="BP114">
        <f>SUM(BP113,-5)</f>
        <v>745</v>
      </c>
      <c r="BQ114" s="9">
        <f t="shared" ref="BQ114:BQ122" si="376">PRODUCT(BI114,BP114,1/(BP114+420))</f>
        <v>319.74248927038627</v>
      </c>
      <c r="BR114">
        <v>0</v>
      </c>
      <c r="BS114" s="9">
        <v>0</v>
      </c>
      <c r="BU114" s="4">
        <v>500</v>
      </c>
      <c r="BV114">
        <f t="shared" si="367"/>
        <v>794</v>
      </c>
      <c r="BW114" s="9">
        <f t="shared" si="331"/>
        <v>327.01812191103789</v>
      </c>
      <c r="BX114">
        <f t="shared" si="368"/>
        <v>791</v>
      </c>
      <c r="BY114" s="9">
        <f t="shared" si="345"/>
        <v>326.58959537572252</v>
      </c>
      <c r="BZ114">
        <f t="shared" si="369"/>
        <v>792</v>
      </c>
      <c r="CA114" s="9">
        <f t="shared" si="346"/>
        <v>326.73267326732673</v>
      </c>
      <c r="CB114">
        <f>SUM(CB113,-5)</f>
        <v>795</v>
      </c>
      <c r="CC114" s="9">
        <f t="shared" ref="CC114:CC136" si="377">PRODUCT(BU114,CB114,1/(CB114+420))</f>
        <v>327.16049382716051</v>
      </c>
      <c r="CD114">
        <v>800</v>
      </c>
      <c r="CE114" s="9">
        <f>PRODUCT(BU114,CD114,1/(CD114+420))</f>
        <v>327.86885245901641</v>
      </c>
      <c r="CF114">
        <v>800</v>
      </c>
      <c r="CG114" s="9">
        <f>PRODUCT(BU114,CF114,1/(CF114+420))</f>
        <v>327.86885245901641</v>
      </c>
      <c r="CI114" s="4">
        <v>500</v>
      </c>
      <c r="CJ114">
        <f t="shared" si="370"/>
        <v>744</v>
      </c>
      <c r="CK114" s="9">
        <f t="shared" si="332"/>
        <v>319.58762886597935</v>
      </c>
      <c r="CL114">
        <f t="shared" si="371"/>
        <v>744</v>
      </c>
      <c r="CM114" s="9">
        <f t="shared" si="347"/>
        <v>319.58762886597935</v>
      </c>
      <c r="CN114">
        <f t="shared" ref="CN114:CN152" si="378">SUM(CN113,-4)</f>
        <v>746</v>
      </c>
      <c r="CO114" s="9">
        <f t="shared" si="348"/>
        <v>319.89708404802747</v>
      </c>
      <c r="CP114">
        <v>750</v>
      </c>
      <c r="CQ114" s="9">
        <f t="shared" ref="CQ114:CQ152" si="379">PRODUCT(CI114,CP114,1/(CP114+420))</f>
        <v>320.5128205128205</v>
      </c>
      <c r="CR114">
        <v>0</v>
      </c>
      <c r="CS114" s="9">
        <f>PRODUCT(CI114,CR114,1/(CR114+420))</f>
        <v>0</v>
      </c>
      <c r="CT114">
        <v>0</v>
      </c>
      <c r="CU114" s="9">
        <f>PRODUCT(CI114,CT114,1/(CT114+420))</f>
        <v>0</v>
      </c>
      <c r="CV114">
        <v>0</v>
      </c>
      <c r="CW114" s="9">
        <v>0</v>
      </c>
    </row>
    <row r="115" spans="1:101" x14ac:dyDescent="0.25">
      <c r="A115" s="4">
        <v>800</v>
      </c>
      <c r="B115">
        <f t="shared" si="349"/>
        <v>642</v>
      </c>
      <c r="C115" s="9">
        <f t="shared" si="325"/>
        <v>483.6158192090395</v>
      </c>
      <c r="D115">
        <f t="shared" si="350"/>
        <v>638</v>
      </c>
      <c r="E115" s="9">
        <f t="shared" si="333"/>
        <v>482.41965973534974</v>
      </c>
      <c r="F115">
        <f t="shared" si="351"/>
        <v>638</v>
      </c>
      <c r="G115" s="9">
        <f t="shared" si="334"/>
        <v>482.41965973534974</v>
      </c>
      <c r="H115">
        <v>0</v>
      </c>
      <c r="I115" s="9">
        <v>0</v>
      </c>
      <c r="J115">
        <v>0</v>
      </c>
      <c r="K115" s="9">
        <v>0</v>
      </c>
      <c r="M115" s="4">
        <v>800</v>
      </c>
      <c r="N115">
        <f t="shared" si="352"/>
        <v>692</v>
      </c>
      <c r="O115" s="9">
        <f t="shared" si="326"/>
        <v>497.84172661870508</v>
      </c>
      <c r="P115">
        <f t="shared" si="353"/>
        <v>688</v>
      </c>
      <c r="Q115" s="9">
        <f t="shared" si="335"/>
        <v>496.75090252707582</v>
      </c>
      <c r="R115">
        <f t="shared" si="354"/>
        <v>688</v>
      </c>
      <c r="S115" s="9">
        <f t="shared" si="336"/>
        <v>496.75090252707582</v>
      </c>
      <c r="T115">
        <f t="shared" ref="T115:T122" si="380">SUM(T114,-5)</f>
        <v>690</v>
      </c>
      <c r="U115" s="9">
        <f t="shared" si="372"/>
        <v>497.29729729729729</v>
      </c>
      <c r="V115">
        <v>0</v>
      </c>
      <c r="W115" s="9">
        <v>0</v>
      </c>
      <c r="Y115" s="4">
        <v>800</v>
      </c>
      <c r="Z115">
        <f t="shared" si="355"/>
        <v>742</v>
      </c>
      <c r="AA115" s="9">
        <f t="shared" si="327"/>
        <v>510.84337349397595</v>
      </c>
      <c r="AB115">
        <f t="shared" si="356"/>
        <v>738</v>
      </c>
      <c r="AC115" s="9">
        <f t="shared" si="337"/>
        <v>509.84455958549222</v>
      </c>
      <c r="AD115">
        <f t="shared" si="357"/>
        <v>738</v>
      </c>
      <c r="AE115" s="9">
        <f t="shared" si="338"/>
        <v>509.84455958549222</v>
      </c>
      <c r="AF115">
        <f t="shared" ref="AF115:AF122" si="381">SUM(AF114,-5)</f>
        <v>740</v>
      </c>
      <c r="AG115" s="9">
        <f t="shared" si="373"/>
        <v>510.34482758620686</v>
      </c>
      <c r="AH115">
        <v>0</v>
      </c>
      <c r="AI115" s="9">
        <v>0</v>
      </c>
      <c r="AK115" s="4">
        <v>800</v>
      </c>
      <c r="AL115">
        <f t="shared" si="358"/>
        <v>792</v>
      </c>
      <c r="AM115" s="9">
        <f t="shared" si="328"/>
        <v>522.77227722772273</v>
      </c>
      <c r="AN115">
        <f t="shared" si="359"/>
        <v>788</v>
      </c>
      <c r="AO115" s="9">
        <f t="shared" si="339"/>
        <v>521.85430463576154</v>
      </c>
      <c r="AP115">
        <f t="shared" si="360"/>
        <v>788</v>
      </c>
      <c r="AQ115" s="9">
        <f t="shared" si="340"/>
        <v>521.85430463576154</v>
      </c>
      <c r="AR115">
        <f t="shared" ref="AR115:AR124" si="382">SUM(AR114,-5)</f>
        <v>790</v>
      </c>
      <c r="AS115" s="9">
        <f t="shared" si="374"/>
        <v>522.31404958677683</v>
      </c>
      <c r="AT115">
        <v>0</v>
      </c>
      <c r="AU115" s="9">
        <v>0</v>
      </c>
      <c r="AW115" s="4">
        <v>800</v>
      </c>
      <c r="AX115">
        <f t="shared" si="361"/>
        <v>692</v>
      </c>
      <c r="AY115" s="9">
        <f t="shared" si="329"/>
        <v>497.84172661870508</v>
      </c>
      <c r="AZ115">
        <f t="shared" si="362"/>
        <v>688</v>
      </c>
      <c r="BA115" s="9">
        <f t="shared" si="341"/>
        <v>496.75090252707582</v>
      </c>
      <c r="BB115">
        <f t="shared" si="363"/>
        <v>688</v>
      </c>
      <c r="BC115" s="9">
        <f t="shared" si="342"/>
        <v>496.75090252707582</v>
      </c>
      <c r="BD115">
        <f t="shared" ref="BD115:BD128" si="383">SUM(BD114,-5)</f>
        <v>690</v>
      </c>
      <c r="BE115" s="9">
        <f t="shared" si="375"/>
        <v>497.29729729729729</v>
      </c>
      <c r="BF115">
        <f>SUM(BF114,-6)</f>
        <v>694</v>
      </c>
      <c r="BG115" s="9">
        <f t="shared" ref="BG115:BG125" si="384">PRODUCT(AW115,BF115,1/(BF115+420))</f>
        <v>498.38420107719929</v>
      </c>
      <c r="BI115" s="4">
        <v>800</v>
      </c>
      <c r="BJ115">
        <f t="shared" si="364"/>
        <v>742</v>
      </c>
      <c r="BK115" s="9">
        <f t="shared" si="330"/>
        <v>510.84337349397595</v>
      </c>
      <c r="BL115">
        <f t="shared" si="365"/>
        <v>738</v>
      </c>
      <c r="BM115" s="9">
        <f t="shared" si="343"/>
        <v>509.84455958549222</v>
      </c>
      <c r="BN115">
        <f t="shared" si="366"/>
        <v>738</v>
      </c>
      <c r="BO115" s="9">
        <f t="shared" si="344"/>
        <v>509.84455958549222</v>
      </c>
      <c r="BP115">
        <f t="shared" ref="BP115:BP122" si="385">SUM(BP114,-5)</f>
        <v>740</v>
      </c>
      <c r="BQ115" s="9">
        <f t="shared" si="376"/>
        <v>510.34482758620686</v>
      </c>
      <c r="BR115">
        <v>0</v>
      </c>
      <c r="BS115" s="9">
        <v>0</v>
      </c>
      <c r="BU115" s="4">
        <v>800</v>
      </c>
      <c r="BV115">
        <f t="shared" si="367"/>
        <v>792</v>
      </c>
      <c r="BW115" s="9">
        <f t="shared" si="331"/>
        <v>522.77227722772273</v>
      </c>
      <c r="BX115">
        <f t="shared" si="368"/>
        <v>788</v>
      </c>
      <c r="BY115" s="9">
        <f t="shared" si="345"/>
        <v>521.85430463576154</v>
      </c>
      <c r="BZ115">
        <f t="shared" si="369"/>
        <v>788</v>
      </c>
      <c r="CA115" s="9">
        <f t="shared" si="346"/>
        <v>521.85430463576154</v>
      </c>
      <c r="CB115">
        <f t="shared" ref="CB115:CB136" si="386">SUM(CB114,-5)</f>
        <v>790</v>
      </c>
      <c r="CC115" s="9">
        <f t="shared" si="377"/>
        <v>522.31404958677683</v>
      </c>
      <c r="CD115">
        <f>SUM(CD114,-6)</f>
        <v>794</v>
      </c>
      <c r="CE115" s="9">
        <f t="shared" ref="CE115:CE132" si="387">PRODUCT(BU115,CD115,1/(CD115+420))</f>
        <v>523.22899505766065</v>
      </c>
      <c r="CF115">
        <f>SUM(CF114,-7)</f>
        <v>793</v>
      </c>
      <c r="CG115" s="9">
        <f t="shared" ref="CG115:CG126" si="388">PRODUCT(BU115,CF115,1/(CF115+420))</f>
        <v>523.00082440230835</v>
      </c>
      <c r="CI115" s="4">
        <v>800</v>
      </c>
      <c r="CJ115">
        <f t="shared" si="370"/>
        <v>742</v>
      </c>
      <c r="CK115" s="9">
        <f t="shared" si="332"/>
        <v>510.84337349397595</v>
      </c>
      <c r="CL115">
        <f t="shared" si="371"/>
        <v>741</v>
      </c>
      <c r="CM115" s="9">
        <f t="shared" si="347"/>
        <v>510.59431524547801</v>
      </c>
      <c r="CN115">
        <f t="shared" si="378"/>
        <v>742</v>
      </c>
      <c r="CO115" s="9">
        <f t="shared" si="348"/>
        <v>510.84337349397595</v>
      </c>
      <c r="CP115">
        <f t="shared" ref="CP115:CP152" si="389">SUM(CP114,-5)</f>
        <v>745</v>
      </c>
      <c r="CQ115" s="9">
        <f t="shared" si="379"/>
        <v>511.58798283261802</v>
      </c>
      <c r="CR115">
        <v>750</v>
      </c>
      <c r="CS115" s="9">
        <f t="shared" ref="CS115:CS152" si="390">PRODUCT(CI115,CR115,1/(CR115+420))</f>
        <v>512.82051282051282</v>
      </c>
      <c r="CT115">
        <v>0</v>
      </c>
      <c r="CU115" s="9">
        <f t="shared" ref="CU115:CU152" si="391">PRODUCT(CI115,CT115,1/(CT115+420))</f>
        <v>0</v>
      </c>
      <c r="CV115">
        <v>0</v>
      </c>
      <c r="CW115" s="9">
        <v>0</v>
      </c>
    </row>
    <row r="116" spans="1:101" x14ac:dyDescent="0.25">
      <c r="A116" s="4">
        <v>1000</v>
      </c>
      <c r="B116">
        <f t="shared" si="349"/>
        <v>640</v>
      </c>
      <c r="C116" s="9">
        <f t="shared" si="325"/>
        <v>603.77358490566041</v>
      </c>
      <c r="D116">
        <f t="shared" si="350"/>
        <v>635</v>
      </c>
      <c r="E116" s="9">
        <f t="shared" si="333"/>
        <v>601.89573459715643</v>
      </c>
      <c r="F116">
        <f t="shared" si="351"/>
        <v>634</v>
      </c>
      <c r="G116" s="9">
        <f t="shared" si="334"/>
        <v>601.51802656546488</v>
      </c>
      <c r="H116">
        <v>0</v>
      </c>
      <c r="I116" s="9">
        <v>0</v>
      </c>
      <c r="J116">
        <v>0</v>
      </c>
      <c r="K116" s="9">
        <v>0</v>
      </c>
      <c r="M116" s="4">
        <v>1000</v>
      </c>
      <c r="N116">
        <f t="shared" si="352"/>
        <v>690</v>
      </c>
      <c r="O116" s="9">
        <f t="shared" si="326"/>
        <v>621.62162162162167</v>
      </c>
      <c r="P116">
        <f t="shared" si="353"/>
        <v>685</v>
      </c>
      <c r="Q116" s="9">
        <f t="shared" si="335"/>
        <v>619.90950226244343</v>
      </c>
      <c r="R116">
        <f t="shared" si="354"/>
        <v>684</v>
      </c>
      <c r="S116" s="9">
        <f t="shared" si="336"/>
        <v>619.56521739130437</v>
      </c>
      <c r="T116">
        <f t="shared" si="380"/>
        <v>685</v>
      </c>
      <c r="U116" s="9">
        <f t="shared" si="372"/>
        <v>619.90950226244343</v>
      </c>
      <c r="V116">
        <v>0</v>
      </c>
      <c r="W116" s="9">
        <v>0</v>
      </c>
      <c r="Y116" s="4">
        <v>1000</v>
      </c>
      <c r="Z116">
        <f t="shared" si="355"/>
        <v>740</v>
      </c>
      <c r="AA116" s="9">
        <f t="shared" si="327"/>
        <v>637.93103448275861</v>
      </c>
      <c r="AB116">
        <f t="shared" si="356"/>
        <v>735</v>
      </c>
      <c r="AC116" s="9">
        <f t="shared" si="337"/>
        <v>636.36363636363637</v>
      </c>
      <c r="AD116">
        <f t="shared" si="357"/>
        <v>734</v>
      </c>
      <c r="AE116" s="9">
        <f t="shared" si="338"/>
        <v>636.04852686308493</v>
      </c>
      <c r="AF116">
        <f t="shared" si="381"/>
        <v>735</v>
      </c>
      <c r="AG116" s="9">
        <f t="shared" si="373"/>
        <v>636.36363636363637</v>
      </c>
      <c r="AH116">
        <v>0</v>
      </c>
      <c r="AI116" s="9">
        <v>0</v>
      </c>
      <c r="AK116" s="4">
        <v>1000</v>
      </c>
      <c r="AL116">
        <f t="shared" si="358"/>
        <v>790</v>
      </c>
      <c r="AM116" s="9">
        <f t="shared" si="328"/>
        <v>652.89256198347107</v>
      </c>
      <c r="AN116">
        <f t="shared" si="359"/>
        <v>785</v>
      </c>
      <c r="AO116" s="9">
        <f t="shared" si="339"/>
        <v>651.45228215767634</v>
      </c>
      <c r="AP116">
        <f t="shared" si="360"/>
        <v>784</v>
      </c>
      <c r="AQ116" s="9">
        <f t="shared" si="340"/>
        <v>651.16279069767438</v>
      </c>
      <c r="AR116">
        <f t="shared" si="382"/>
        <v>785</v>
      </c>
      <c r="AS116" s="9">
        <f t="shared" si="374"/>
        <v>651.45228215767634</v>
      </c>
      <c r="AT116">
        <v>0</v>
      </c>
      <c r="AU116" s="9">
        <v>0</v>
      </c>
      <c r="AW116" s="4">
        <v>1000</v>
      </c>
      <c r="AX116">
        <f t="shared" si="361"/>
        <v>690</v>
      </c>
      <c r="AY116" s="9">
        <f t="shared" si="329"/>
        <v>621.62162162162167</v>
      </c>
      <c r="AZ116">
        <f t="shared" si="362"/>
        <v>685</v>
      </c>
      <c r="BA116" s="9">
        <f t="shared" si="341"/>
        <v>619.90950226244343</v>
      </c>
      <c r="BB116">
        <f t="shared" si="363"/>
        <v>684</v>
      </c>
      <c r="BC116" s="9">
        <f t="shared" si="342"/>
        <v>619.56521739130437</v>
      </c>
      <c r="BD116">
        <f t="shared" si="383"/>
        <v>685</v>
      </c>
      <c r="BE116" s="9">
        <f t="shared" si="375"/>
        <v>619.90950226244343</v>
      </c>
      <c r="BF116">
        <f t="shared" ref="BF116:BF121" si="392">SUM(BF115,-6)</f>
        <v>688</v>
      </c>
      <c r="BG116" s="9">
        <f t="shared" si="384"/>
        <v>620.93862815884484</v>
      </c>
      <c r="BI116" s="4">
        <v>1000</v>
      </c>
      <c r="BJ116">
        <f t="shared" si="364"/>
        <v>740</v>
      </c>
      <c r="BK116" s="9">
        <f t="shared" si="330"/>
        <v>637.93103448275861</v>
      </c>
      <c r="BL116">
        <f t="shared" si="365"/>
        <v>735</v>
      </c>
      <c r="BM116" s="9">
        <f t="shared" si="343"/>
        <v>636.36363636363637</v>
      </c>
      <c r="BN116">
        <f t="shared" si="366"/>
        <v>734</v>
      </c>
      <c r="BO116" s="9">
        <f t="shared" si="344"/>
        <v>636.04852686308493</v>
      </c>
      <c r="BP116">
        <f t="shared" si="385"/>
        <v>735</v>
      </c>
      <c r="BQ116" s="9">
        <f t="shared" si="376"/>
        <v>636.36363636363637</v>
      </c>
      <c r="BR116">
        <v>0</v>
      </c>
      <c r="BS116" s="9">
        <v>0</v>
      </c>
      <c r="BU116" s="4">
        <v>1000</v>
      </c>
      <c r="BV116">
        <f t="shared" si="367"/>
        <v>790</v>
      </c>
      <c r="BW116" s="9">
        <f t="shared" si="331"/>
        <v>652.89256198347107</v>
      </c>
      <c r="BX116">
        <f t="shared" si="368"/>
        <v>785</v>
      </c>
      <c r="BY116" s="9">
        <f t="shared" si="345"/>
        <v>651.45228215767634</v>
      </c>
      <c r="BZ116">
        <f t="shared" si="369"/>
        <v>784</v>
      </c>
      <c r="CA116" s="9">
        <f t="shared" si="346"/>
        <v>651.16279069767438</v>
      </c>
      <c r="CB116">
        <f t="shared" si="386"/>
        <v>785</v>
      </c>
      <c r="CC116" s="9">
        <f t="shared" si="377"/>
        <v>651.45228215767634</v>
      </c>
      <c r="CD116">
        <f t="shared" ref="CD116:CD132" si="393">SUM(CD115,-6)</f>
        <v>788</v>
      </c>
      <c r="CE116" s="9">
        <f t="shared" si="387"/>
        <v>652.31788079470198</v>
      </c>
      <c r="CF116">
        <f t="shared" ref="CF116:CF124" si="394">SUM(CF115,-7)</f>
        <v>786</v>
      </c>
      <c r="CG116" s="9">
        <f t="shared" si="388"/>
        <v>651.74129353233832</v>
      </c>
      <c r="CI116" s="4">
        <v>1000</v>
      </c>
      <c r="CJ116">
        <f t="shared" si="370"/>
        <v>740</v>
      </c>
      <c r="CK116" s="9">
        <f t="shared" si="332"/>
        <v>637.93103448275861</v>
      </c>
      <c r="CL116">
        <f t="shared" si="371"/>
        <v>738</v>
      </c>
      <c r="CM116" s="9">
        <f t="shared" si="347"/>
        <v>637.3056994818653</v>
      </c>
      <c r="CN116">
        <f t="shared" si="378"/>
        <v>738</v>
      </c>
      <c r="CO116" s="9">
        <f t="shared" si="348"/>
        <v>637.3056994818653</v>
      </c>
      <c r="CP116">
        <f t="shared" si="389"/>
        <v>740</v>
      </c>
      <c r="CQ116" s="9">
        <f t="shared" si="379"/>
        <v>637.93103448275861</v>
      </c>
      <c r="CR116">
        <f t="shared" ref="CR116:CR152" si="395">SUM(CR115,-6)</f>
        <v>744</v>
      </c>
      <c r="CS116" s="9">
        <f t="shared" si="390"/>
        <v>639.17525773195871</v>
      </c>
      <c r="CT116">
        <v>0</v>
      </c>
      <c r="CU116" s="9">
        <f t="shared" si="391"/>
        <v>0</v>
      </c>
      <c r="CV116">
        <v>0</v>
      </c>
      <c r="CW116" s="9">
        <v>0</v>
      </c>
    </row>
    <row r="117" spans="1:101" x14ac:dyDescent="0.25">
      <c r="A117" s="4">
        <v>1200</v>
      </c>
      <c r="B117">
        <f t="shared" si="349"/>
        <v>638</v>
      </c>
      <c r="C117" s="9">
        <f t="shared" si="325"/>
        <v>723.62948960302458</v>
      </c>
      <c r="D117">
        <f t="shared" si="350"/>
        <v>632</v>
      </c>
      <c r="E117" s="9">
        <f t="shared" si="333"/>
        <v>720.91254752851705</v>
      </c>
      <c r="F117">
        <f t="shared" si="351"/>
        <v>630</v>
      </c>
      <c r="G117" s="9">
        <f t="shared" si="334"/>
        <v>720</v>
      </c>
      <c r="H117">
        <v>0</v>
      </c>
      <c r="I117" s="9">
        <v>0</v>
      </c>
      <c r="J117">
        <v>0</v>
      </c>
      <c r="K117" s="9">
        <v>0</v>
      </c>
      <c r="M117" s="4">
        <v>1200</v>
      </c>
      <c r="N117">
        <f t="shared" si="352"/>
        <v>688</v>
      </c>
      <c r="O117" s="9">
        <f t="shared" si="326"/>
        <v>745.12635379061373</v>
      </c>
      <c r="P117">
        <f t="shared" si="353"/>
        <v>682</v>
      </c>
      <c r="Q117" s="9">
        <f t="shared" si="335"/>
        <v>742.64972776769503</v>
      </c>
      <c r="R117">
        <f t="shared" si="354"/>
        <v>680</v>
      </c>
      <c r="S117" s="9">
        <f t="shared" si="336"/>
        <v>741.81818181818187</v>
      </c>
      <c r="T117">
        <f t="shared" si="380"/>
        <v>680</v>
      </c>
      <c r="U117" s="9">
        <f t="shared" si="372"/>
        <v>741.81818181818187</v>
      </c>
      <c r="V117">
        <v>0</v>
      </c>
      <c r="W117" s="9">
        <v>0</v>
      </c>
      <c r="Y117" s="4">
        <v>1200</v>
      </c>
      <c r="Z117">
        <f t="shared" si="355"/>
        <v>738</v>
      </c>
      <c r="AA117" s="9">
        <f t="shared" si="327"/>
        <v>764.76683937823827</v>
      </c>
      <c r="AB117">
        <f t="shared" si="356"/>
        <v>732</v>
      </c>
      <c r="AC117" s="9">
        <f t="shared" si="337"/>
        <v>762.5</v>
      </c>
      <c r="AD117">
        <f t="shared" si="357"/>
        <v>730</v>
      </c>
      <c r="AE117" s="9">
        <f t="shared" si="338"/>
        <v>761.73913043478262</v>
      </c>
      <c r="AF117">
        <f t="shared" si="381"/>
        <v>730</v>
      </c>
      <c r="AG117" s="9">
        <f t="shared" si="373"/>
        <v>761.73913043478262</v>
      </c>
      <c r="AH117">
        <v>0</v>
      </c>
      <c r="AI117" s="9">
        <v>0</v>
      </c>
      <c r="AK117" s="4">
        <v>1200</v>
      </c>
      <c r="AL117">
        <f t="shared" si="358"/>
        <v>788</v>
      </c>
      <c r="AM117" s="9">
        <f t="shared" si="328"/>
        <v>782.78145695364242</v>
      </c>
      <c r="AN117">
        <f t="shared" si="359"/>
        <v>782</v>
      </c>
      <c r="AO117" s="9">
        <f t="shared" si="339"/>
        <v>780.69883527454249</v>
      </c>
      <c r="AP117">
        <f t="shared" si="360"/>
        <v>780</v>
      </c>
      <c r="AQ117" s="9">
        <f t="shared" si="340"/>
        <v>780</v>
      </c>
      <c r="AR117">
        <f t="shared" si="382"/>
        <v>780</v>
      </c>
      <c r="AS117" s="9">
        <f t="shared" si="374"/>
        <v>780</v>
      </c>
      <c r="AT117">
        <v>0</v>
      </c>
      <c r="AU117" s="9">
        <v>0</v>
      </c>
      <c r="AW117" s="4">
        <v>1200</v>
      </c>
      <c r="AX117">
        <f t="shared" si="361"/>
        <v>688</v>
      </c>
      <c r="AY117" s="9">
        <f t="shared" si="329"/>
        <v>745.12635379061373</v>
      </c>
      <c r="AZ117">
        <f t="shared" si="362"/>
        <v>682</v>
      </c>
      <c r="BA117" s="9">
        <f t="shared" si="341"/>
        <v>742.64972776769503</v>
      </c>
      <c r="BB117">
        <f t="shared" si="363"/>
        <v>680</v>
      </c>
      <c r="BC117" s="9">
        <f t="shared" si="342"/>
        <v>741.81818181818187</v>
      </c>
      <c r="BD117">
        <f t="shared" si="383"/>
        <v>680</v>
      </c>
      <c r="BE117" s="9">
        <f t="shared" si="375"/>
        <v>741.81818181818187</v>
      </c>
      <c r="BF117">
        <f t="shared" si="392"/>
        <v>682</v>
      </c>
      <c r="BG117" s="9">
        <f t="shared" si="384"/>
        <v>742.64972776769503</v>
      </c>
      <c r="BI117" s="4">
        <v>1200</v>
      </c>
      <c r="BJ117">
        <f t="shared" si="364"/>
        <v>738</v>
      </c>
      <c r="BK117" s="9">
        <f t="shared" si="330"/>
        <v>764.76683937823827</v>
      </c>
      <c r="BL117">
        <f t="shared" si="365"/>
        <v>732</v>
      </c>
      <c r="BM117" s="9">
        <f t="shared" si="343"/>
        <v>762.5</v>
      </c>
      <c r="BN117">
        <f t="shared" si="366"/>
        <v>730</v>
      </c>
      <c r="BO117" s="9">
        <f t="shared" si="344"/>
        <v>761.73913043478262</v>
      </c>
      <c r="BP117">
        <f t="shared" si="385"/>
        <v>730</v>
      </c>
      <c r="BQ117" s="9">
        <f t="shared" si="376"/>
        <v>761.73913043478262</v>
      </c>
      <c r="BR117">
        <v>0</v>
      </c>
      <c r="BS117" s="9">
        <v>0</v>
      </c>
      <c r="BU117" s="4">
        <v>1200</v>
      </c>
      <c r="BV117">
        <f t="shared" si="367"/>
        <v>788</v>
      </c>
      <c r="BW117" s="9">
        <f t="shared" si="331"/>
        <v>782.78145695364242</v>
      </c>
      <c r="BX117">
        <f t="shared" si="368"/>
        <v>782</v>
      </c>
      <c r="BY117" s="9">
        <f t="shared" si="345"/>
        <v>780.69883527454249</v>
      </c>
      <c r="BZ117">
        <f t="shared" si="369"/>
        <v>780</v>
      </c>
      <c r="CA117" s="9">
        <f t="shared" si="346"/>
        <v>780</v>
      </c>
      <c r="CB117">
        <f t="shared" si="386"/>
        <v>780</v>
      </c>
      <c r="CC117" s="9">
        <f t="shared" si="377"/>
        <v>780</v>
      </c>
      <c r="CD117">
        <f t="shared" si="393"/>
        <v>782</v>
      </c>
      <c r="CE117" s="9">
        <f t="shared" si="387"/>
        <v>780.69883527454249</v>
      </c>
      <c r="CF117">
        <f t="shared" si="394"/>
        <v>779</v>
      </c>
      <c r="CG117" s="9">
        <f t="shared" si="388"/>
        <v>779.64970809007502</v>
      </c>
      <c r="CI117" s="4">
        <v>1200</v>
      </c>
      <c r="CJ117">
        <f t="shared" si="370"/>
        <v>738</v>
      </c>
      <c r="CK117" s="9">
        <f t="shared" si="332"/>
        <v>764.76683937823827</v>
      </c>
      <c r="CL117">
        <f t="shared" si="371"/>
        <v>735</v>
      </c>
      <c r="CM117" s="9">
        <f t="shared" si="347"/>
        <v>763.63636363636363</v>
      </c>
      <c r="CN117">
        <f t="shared" si="378"/>
        <v>734</v>
      </c>
      <c r="CO117" s="9">
        <f t="shared" si="348"/>
        <v>763.25823223570183</v>
      </c>
      <c r="CP117">
        <f t="shared" si="389"/>
        <v>735</v>
      </c>
      <c r="CQ117" s="9">
        <f t="shared" si="379"/>
        <v>763.63636363636363</v>
      </c>
      <c r="CR117">
        <f t="shared" si="395"/>
        <v>738</v>
      </c>
      <c r="CS117" s="9">
        <f t="shared" si="390"/>
        <v>764.76683937823827</v>
      </c>
      <c r="CT117">
        <v>750</v>
      </c>
      <c r="CU117" s="9">
        <f t="shared" si="391"/>
        <v>769.23076923076928</v>
      </c>
      <c r="CV117">
        <v>0</v>
      </c>
      <c r="CW117" s="9">
        <v>0</v>
      </c>
    </row>
    <row r="118" spans="1:101" x14ac:dyDescent="0.25">
      <c r="A118" s="4">
        <v>1500</v>
      </c>
      <c r="B118">
        <f t="shared" si="349"/>
        <v>636</v>
      </c>
      <c r="C118" s="9">
        <f t="shared" si="325"/>
        <v>903.40909090909088</v>
      </c>
      <c r="D118">
        <f t="shared" si="350"/>
        <v>629</v>
      </c>
      <c r="E118" s="9">
        <f t="shared" si="333"/>
        <v>899.42802669208766</v>
      </c>
      <c r="F118">
        <f t="shared" si="351"/>
        <v>626</v>
      </c>
      <c r="G118" s="9">
        <f t="shared" si="334"/>
        <v>897.70554493307839</v>
      </c>
      <c r="H118">
        <v>0</v>
      </c>
      <c r="I118" s="9">
        <v>0</v>
      </c>
      <c r="J118">
        <v>0</v>
      </c>
      <c r="K118" s="9">
        <v>0</v>
      </c>
      <c r="M118" s="4">
        <v>1500</v>
      </c>
      <c r="N118">
        <f t="shared" si="352"/>
        <v>686</v>
      </c>
      <c r="O118" s="9">
        <f t="shared" si="326"/>
        <v>930.37974683544303</v>
      </c>
      <c r="P118">
        <f t="shared" si="353"/>
        <v>679</v>
      </c>
      <c r="Q118" s="9">
        <f t="shared" si="335"/>
        <v>926.75159235668798</v>
      </c>
      <c r="R118">
        <f t="shared" si="354"/>
        <v>676</v>
      </c>
      <c r="S118" s="9">
        <f t="shared" si="336"/>
        <v>925.18248175182475</v>
      </c>
      <c r="T118">
        <f t="shared" si="380"/>
        <v>675</v>
      </c>
      <c r="U118" s="9">
        <f t="shared" si="372"/>
        <v>924.65753424657532</v>
      </c>
      <c r="V118">
        <v>0</v>
      </c>
      <c r="W118" s="9">
        <v>0</v>
      </c>
      <c r="Y118" s="4">
        <v>1500</v>
      </c>
      <c r="Z118">
        <f t="shared" si="355"/>
        <v>736</v>
      </c>
      <c r="AA118" s="9">
        <f t="shared" si="327"/>
        <v>955.01730103806233</v>
      </c>
      <c r="AB118">
        <f t="shared" si="356"/>
        <v>729</v>
      </c>
      <c r="AC118" s="9">
        <f t="shared" si="337"/>
        <v>951.69712793733675</v>
      </c>
      <c r="AD118">
        <f t="shared" si="357"/>
        <v>726</v>
      </c>
      <c r="AE118" s="9">
        <f t="shared" si="338"/>
        <v>950.2617801047121</v>
      </c>
      <c r="AF118">
        <f t="shared" si="381"/>
        <v>725</v>
      </c>
      <c r="AG118" s="9">
        <f t="shared" si="373"/>
        <v>949.78165938864629</v>
      </c>
      <c r="AH118">
        <v>0</v>
      </c>
      <c r="AI118" s="9">
        <v>0</v>
      </c>
      <c r="AK118" s="4">
        <v>1500</v>
      </c>
      <c r="AL118">
        <f t="shared" si="358"/>
        <v>786</v>
      </c>
      <c r="AM118" s="9">
        <f t="shared" si="328"/>
        <v>977.61194029850753</v>
      </c>
      <c r="AN118">
        <f t="shared" si="359"/>
        <v>779</v>
      </c>
      <c r="AO118" s="9">
        <f t="shared" si="339"/>
        <v>974.56213511259375</v>
      </c>
      <c r="AP118">
        <f t="shared" si="360"/>
        <v>776</v>
      </c>
      <c r="AQ118" s="9">
        <f t="shared" si="340"/>
        <v>973.24414715719058</v>
      </c>
      <c r="AR118">
        <f t="shared" si="382"/>
        <v>775</v>
      </c>
      <c r="AS118" s="9">
        <f t="shared" si="374"/>
        <v>972.80334728033472</v>
      </c>
      <c r="AT118">
        <v>0</v>
      </c>
      <c r="AU118" s="9">
        <v>0</v>
      </c>
      <c r="AW118" s="4">
        <v>1500</v>
      </c>
      <c r="AX118">
        <f t="shared" si="361"/>
        <v>686</v>
      </c>
      <c r="AY118" s="9">
        <f t="shared" si="329"/>
        <v>930.37974683544303</v>
      </c>
      <c r="AZ118">
        <f t="shared" si="362"/>
        <v>679</v>
      </c>
      <c r="BA118" s="9">
        <f t="shared" si="341"/>
        <v>926.75159235668798</v>
      </c>
      <c r="BB118">
        <f t="shared" si="363"/>
        <v>676</v>
      </c>
      <c r="BC118" s="9">
        <f t="shared" si="342"/>
        <v>925.18248175182475</v>
      </c>
      <c r="BD118">
        <f t="shared" si="383"/>
        <v>675</v>
      </c>
      <c r="BE118" s="9">
        <f t="shared" si="375"/>
        <v>924.65753424657532</v>
      </c>
      <c r="BF118">
        <f t="shared" si="392"/>
        <v>676</v>
      </c>
      <c r="BG118" s="9">
        <f t="shared" si="384"/>
        <v>925.18248175182475</v>
      </c>
      <c r="BI118" s="4">
        <v>1500</v>
      </c>
      <c r="BJ118">
        <f t="shared" si="364"/>
        <v>736</v>
      </c>
      <c r="BK118" s="9">
        <f t="shared" si="330"/>
        <v>955.01730103806233</v>
      </c>
      <c r="BL118">
        <f t="shared" si="365"/>
        <v>729</v>
      </c>
      <c r="BM118" s="9">
        <f t="shared" si="343"/>
        <v>951.69712793733675</v>
      </c>
      <c r="BN118">
        <f t="shared" si="366"/>
        <v>726</v>
      </c>
      <c r="BO118" s="9">
        <f t="shared" si="344"/>
        <v>950.2617801047121</v>
      </c>
      <c r="BP118">
        <f t="shared" si="385"/>
        <v>725</v>
      </c>
      <c r="BQ118" s="9">
        <f t="shared" si="376"/>
        <v>949.78165938864629</v>
      </c>
      <c r="BR118">
        <v>0</v>
      </c>
      <c r="BS118" s="9">
        <v>0</v>
      </c>
      <c r="BU118" s="4">
        <v>1500</v>
      </c>
      <c r="BV118">
        <f t="shared" si="367"/>
        <v>786</v>
      </c>
      <c r="BW118" s="9">
        <f t="shared" si="331"/>
        <v>977.61194029850753</v>
      </c>
      <c r="BX118">
        <f t="shared" si="368"/>
        <v>779</v>
      </c>
      <c r="BY118" s="9">
        <f t="shared" si="345"/>
        <v>974.56213511259375</v>
      </c>
      <c r="BZ118">
        <f t="shared" si="369"/>
        <v>776</v>
      </c>
      <c r="CA118" s="9">
        <f t="shared" si="346"/>
        <v>973.24414715719058</v>
      </c>
      <c r="CB118">
        <f t="shared" si="386"/>
        <v>775</v>
      </c>
      <c r="CC118" s="9">
        <f t="shared" si="377"/>
        <v>972.80334728033472</v>
      </c>
      <c r="CD118">
        <f t="shared" si="393"/>
        <v>776</v>
      </c>
      <c r="CE118" s="9">
        <f t="shared" si="387"/>
        <v>973.24414715719058</v>
      </c>
      <c r="CF118">
        <f t="shared" si="394"/>
        <v>772</v>
      </c>
      <c r="CG118" s="9">
        <f t="shared" si="388"/>
        <v>971.47651006711408</v>
      </c>
      <c r="CI118" s="4">
        <v>1500</v>
      </c>
      <c r="CJ118">
        <f t="shared" si="370"/>
        <v>736</v>
      </c>
      <c r="CK118" s="9">
        <f t="shared" si="332"/>
        <v>955.01730103806233</v>
      </c>
      <c r="CL118">
        <f t="shared" si="371"/>
        <v>732</v>
      </c>
      <c r="CM118" s="9">
        <f t="shared" si="347"/>
        <v>953.125</v>
      </c>
      <c r="CN118">
        <f t="shared" si="378"/>
        <v>730</v>
      </c>
      <c r="CO118" s="9">
        <f t="shared" si="348"/>
        <v>952.17391304347825</v>
      </c>
      <c r="CP118">
        <f t="shared" si="389"/>
        <v>730</v>
      </c>
      <c r="CQ118" s="9">
        <f t="shared" si="379"/>
        <v>952.17391304347825</v>
      </c>
      <c r="CR118">
        <f t="shared" si="395"/>
        <v>732</v>
      </c>
      <c r="CS118" s="9">
        <f t="shared" si="390"/>
        <v>953.125</v>
      </c>
      <c r="CT118">
        <f t="shared" ref="CT118:CT152" si="396">SUM(CT117,-7)</f>
        <v>743</v>
      </c>
      <c r="CU118" s="9">
        <f t="shared" si="391"/>
        <v>958.29750644883927</v>
      </c>
      <c r="CV118">
        <v>0</v>
      </c>
      <c r="CW118" s="9">
        <v>0</v>
      </c>
    </row>
    <row r="119" spans="1:101" x14ac:dyDescent="0.25">
      <c r="A119" s="4">
        <v>1800</v>
      </c>
      <c r="B119">
        <f t="shared" si="349"/>
        <v>634</v>
      </c>
      <c r="C119" s="9">
        <f t="shared" si="325"/>
        <v>1082.7324478178368</v>
      </c>
      <c r="D119">
        <f t="shared" si="350"/>
        <v>626</v>
      </c>
      <c r="E119" s="9">
        <f t="shared" si="333"/>
        <v>1077.2466539196939</v>
      </c>
      <c r="F119">
        <f t="shared" si="351"/>
        <v>622</v>
      </c>
      <c r="G119" s="9">
        <f t="shared" si="334"/>
        <v>1074.47216890595</v>
      </c>
      <c r="H119">
        <v>0</v>
      </c>
      <c r="I119" s="9">
        <v>0</v>
      </c>
      <c r="J119">
        <v>0</v>
      </c>
      <c r="K119" s="9">
        <v>0</v>
      </c>
      <c r="M119" s="4">
        <v>1800</v>
      </c>
      <c r="N119">
        <f t="shared" si="352"/>
        <v>684</v>
      </c>
      <c r="O119" s="9">
        <f t="shared" si="326"/>
        <v>1115.2173913043478</v>
      </c>
      <c r="P119">
        <f t="shared" si="353"/>
        <v>676</v>
      </c>
      <c r="Q119" s="9">
        <f t="shared" si="335"/>
        <v>1110.2189781021898</v>
      </c>
      <c r="R119">
        <f t="shared" si="354"/>
        <v>672</v>
      </c>
      <c r="S119" s="9">
        <f t="shared" si="336"/>
        <v>1107.6923076923076</v>
      </c>
      <c r="T119">
        <f t="shared" si="380"/>
        <v>670</v>
      </c>
      <c r="U119" s="9">
        <f t="shared" si="372"/>
        <v>1106.4220183486239</v>
      </c>
      <c r="V119">
        <v>0</v>
      </c>
      <c r="W119" s="9">
        <v>0</v>
      </c>
      <c r="Y119" s="4">
        <v>1800</v>
      </c>
      <c r="Z119">
        <f t="shared" si="355"/>
        <v>734</v>
      </c>
      <c r="AA119" s="9">
        <f t="shared" si="327"/>
        <v>1144.8873483535529</v>
      </c>
      <c r="AB119">
        <f t="shared" si="356"/>
        <v>726</v>
      </c>
      <c r="AC119" s="9">
        <f t="shared" si="337"/>
        <v>1140.3141361256544</v>
      </c>
      <c r="AD119">
        <f t="shared" si="357"/>
        <v>722</v>
      </c>
      <c r="AE119" s="9">
        <f t="shared" si="338"/>
        <v>1138.0035026269702</v>
      </c>
      <c r="AF119">
        <f t="shared" si="381"/>
        <v>720</v>
      </c>
      <c r="AG119" s="9">
        <f t="shared" si="373"/>
        <v>1136.8421052631579</v>
      </c>
      <c r="AH119">
        <v>0</v>
      </c>
      <c r="AI119" s="9">
        <v>0</v>
      </c>
      <c r="AK119" s="4">
        <v>1800</v>
      </c>
      <c r="AL119">
        <f t="shared" si="358"/>
        <v>784</v>
      </c>
      <c r="AM119" s="9">
        <f t="shared" si="328"/>
        <v>1172.0930232558139</v>
      </c>
      <c r="AN119">
        <f t="shared" si="359"/>
        <v>776</v>
      </c>
      <c r="AO119" s="9">
        <f t="shared" si="339"/>
        <v>1167.8929765886287</v>
      </c>
      <c r="AP119">
        <f t="shared" si="360"/>
        <v>772</v>
      </c>
      <c r="AQ119" s="9">
        <f t="shared" si="340"/>
        <v>1165.7718120805368</v>
      </c>
      <c r="AR119">
        <f t="shared" si="382"/>
        <v>770</v>
      </c>
      <c r="AS119" s="9">
        <f t="shared" si="374"/>
        <v>1164.7058823529412</v>
      </c>
      <c r="AT119">
        <v>0</v>
      </c>
      <c r="AU119" s="9">
        <v>0</v>
      </c>
      <c r="AW119" s="4">
        <v>1800</v>
      </c>
      <c r="AX119">
        <f t="shared" si="361"/>
        <v>684</v>
      </c>
      <c r="AY119" s="9">
        <f t="shared" si="329"/>
        <v>1115.2173913043478</v>
      </c>
      <c r="AZ119">
        <f t="shared" si="362"/>
        <v>676</v>
      </c>
      <c r="BA119" s="9">
        <f t="shared" si="341"/>
        <v>1110.2189781021898</v>
      </c>
      <c r="BB119">
        <f t="shared" si="363"/>
        <v>672</v>
      </c>
      <c r="BC119" s="9">
        <f t="shared" si="342"/>
        <v>1107.6923076923076</v>
      </c>
      <c r="BD119">
        <f t="shared" si="383"/>
        <v>670</v>
      </c>
      <c r="BE119" s="9">
        <f t="shared" si="375"/>
        <v>1106.4220183486239</v>
      </c>
      <c r="BF119">
        <f t="shared" si="392"/>
        <v>670</v>
      </c>
      <c r="BG119" s="9">
        <f t="shared" si="384"/>
        <v>1106.4220183486239</v>
      </c>
      <c r="BI119" s="4">
        <v>1800</v>
      </c>
      <c r="BJ119">
        <f t="shared" si="364"/>
        <v>734</v>
      </c>
      <c r="BK119" s="9">
        <f t="shared" si="330"/>
        <v>1144.8873483535529</v>
      </c>
      <c r="BL119">
        <f t="shared" si="365"/>
        <v>726</v>
      </c>
      <c r="BM119" s="9">
        <f t="shared" si="343"/>
        <v>1140.3141361256544</v>
      </c>
      <c r="BN119">
        <f t="shared" si="366"/>
        <v>722</v>
      </c>
      <c r="BO119" s="9">
        <f t="shared" si="344"/>
        <v>1138.0035026269702</v>
      </c>
      <c r="BP119">
        <f t="shared" si="385"/>
        <v>720</v>
      </c>
      <c r="BQ119" s="9">
        <f t="shared" si="376"/>
        <v>1136.8421052631579</v>
      </c>
      <c r="BR119">
        <v>0</v>
      </c>
      <c r="BS119" s="9">
        <v>0</v>
      </c>
      <c r="BU119" s="4">
        <v>1800</v>
      </c>
      <c r="BV119">
        <f t="shared" si="367"/>
        <v>784</v>
      </c>
      <c r="BW119" s="9">
        <f t="shared" si="331"/>
        <v>1172.0930232558139</v>
      </c>
      <c r="BX119">
        <f t="shared" si="368"/>
        <v>776</v>
      </c>
      <c r="BY119" s="9">
        <f t="shared" si="345"/>
        <v>1167.8929765886287</v>
      </c>
      <c r="BZ119">
        <f t="shared" si="369"/>
        <v>772</v>
      </c>
      <c r="CA119" s="9">
        <f t="shared" si="346"/>
        <v>1165.7718120805368</v>
      </c>
      <c r="CB119">
        <f t="shared" si="386"/>
        <v>770</v>
      </c>
      <c r="CC119" s="9">
        <f t="shared" si="377"/>
        <v>1164.7058823529412</v>
      </c>
      <c r="CD119">
        <f t="shared" si="393"/>
        <v>770</v>
      </c>
      <c r="CE119" s="9">
        <f t="shared" si="387"/>
        <v>1164.7058823529412</v>
      </c>
      <c r="CF119">
        <f t="shared" si="394"/>
        <v>765</v>
      </c>
      <c r="CG119" s="9">
        <f t="shared" si="388"/>
        <v>1162.0253164556962</v>
      </c>
      <c r="CI119" s="4">
        <v>1800</v>
      </c>
      <c r="CJ119">
        <f t="shared" si="370"/>
        <v>734</v>
      </c>
      <c r="CK119" s="9">
        <f t="shared" si="332"/>
        <v>1144.8873483535529</v>
      </c>
      <c r="CL119">
        <f t="shared" si="371"/>
        <v>729</v>
      </c>
      <c r="CM119" s="9">
        <f t="shared" si="347"/>
        <v>1142.036553524804</v>
      </c>
      <c r="CN119">
        <f t="shared" si="378"/>
        <v>726</v>
      </c>
      <c r="CO119" s="9">
        <f t="shared" si="348"/>
        <v>1140.3141361256544</v>
      </c>
      <c r="CP119">
        <f t="shared" si="389"/>
        <v>725</v>
      </c>
      <c r="CQ119" s="9">
        <f t="shared" si="379"/>
        <v>1139.7379912663755</v>
      </c>
      <c r="CR119">
        <f t="shared" si="395"/>
        <v>726</v>
      </c>
      <c r="CS119" s="9">
        <f t="shared" si="390"/>
        <v>1140.3141361256544</v>
      </c>
      <c r="CT119">
        <f t="shared" si="396"/>
        <v>736</v>
      </c>
      <c r="CU119" s="9">
        <f t="shared" si="391"/>
        <v>1146.0207612456747</v>
      </c>
      <c r="CV119">
        <v>0</v>
      </c>
      <c r="CW119" s="9">
        <f>PRODUCT(CI119,CV119,1/(CV119+420))</f>
        <v>0</v>
      </c>
    </row>
    <row r="120" spans="1:101" x14ac:dyDescent="0.25">
      <c r="A120" s="4">
        <v>2000</v>
      </c>
      <c r="B120">
        <f t="shared" si="349"/>
        <v>632</v>
      </c>
      <c r="C120" s="9">
        <f t="shared" si="325"/>
        <v>1201.5209125475285</v>
      </c>
      <c r="D120">
        <f t="shared" si="350"/>
        <v>623</v>
      </c>
      <c r="E120" s="9">
        <f t="shared" si="333"/>
        <v>1194.6308724832213</v>
      </c>
      <c r="F120">
        <v>0</v>
      </c>
      <c r="G120" s="9">
        <f t="shared" ref="G120:G124" si="397">PRODUCT(A120,F120,1/(F120+300))</f>
        <v>0</v>
      </c>
      <c r="H120">
        <v>0</v>
      </c>
      <c r="I120" s="9">
        <v>0</v>
      </c>
      <c r="J120">
        <v>0</v>
      </c>
      <c r="K120" s="9">
        <v>0</v>
      </c>
      <c r="M120" s="4">
        <v>2000</v>
      </c>
      <c r="N120">
        <f t="shared" si="352"/>
        <v>682</v>
      </c>
      <c r="O120" s="9">
        <f t="shared" si="326"/>
        <v>1237.7495462794918</v>
      </c>
      <c r="P120">
        <f t="shared" si="353"/>
        <v>673</v>
      </c>
      <c r="Q120" s="9">
        <f t="shared" si="335"/>
        <v>1231.473010064044</v>
      </c>
      <c r="R120">
        <f t="shared" si="354"/>
        <v>668</v>
      </c>
      <c r="S120" s="9">
        <f t="shared" si="336"/>
        <v>1227.9411764705883</v>
      </c>
      <c r="T120">
        <f t="shared" si="380"/>
        <v>665</v>
      </c>
      <c r="U120" s="9">
        <f t="shared" si="372"/>
        <v>1225.8064516129032</v>
      </c>
      <c r="V120">
        <v>0</v>
      </c>
      <c r="W120" s="9">
        <v>0</v>
      </c>
      <c r="Y120" s="4">
        <v>2000</v>
      </c>
      <c r="Z120">
        <f t="shared" si="355"/>
        <v>732</v>
      </c>
      <c r="AA120" s="9">
        <f t="shared" si="327"/>
        <v>1270.8333333333333</v>
      </c>
      <c r="AB120">
        <f t="shared" si="356"/>
        <v>723</v>
      </c>
      <c r="AC120" s="9">
        <f t="shared" si="337"/>
        <v>1265.0918635170603</v>
      </c>
      <c r="AD120">
        <f t="shared" si="357"/>
        <v>718</v>
      </c>
      <c r="AE120" s="9">
        <f t="shared" si="338"/>
        <v>1261.8629173989455</v>
      </c>
      <c r="AF120">
        <f t="shared" si="381"/>
        <v>715</v>
      </c>
      <c r="AG120" s="9">
        <f t="shared" si="373"/>
        <v>1259.9118942731277</v>
      </c>
      <c r="AH120">
        <v>0</v>
      </c>
      <c r="AI120" s="9">
        <v>0</v>
      </c>
      <c r="AK120" s="4">
        <v>2000</v>
      </c>
      <c r="AL120">
        <f t="shared" si="358"/>
        <v>782</v>
      </c>
      <c r="AM120" s="9">
        <f t="shared" si="328"/>
        <v>1301.1647254575707</v>
      </c>
      <c r="AN120">
        <f t="shared" si="359"/>
        <v>773</v>
      </c>
      <c r="AO120" s="9">
        <f t="shared" si="339"/>
        <v>1295.8927074601845</v>
      </c>
      <c r="AP120">
        <f t="shared" si="360"/>
        <v>768</v>
      </c>
      <c r="AQ120" s="9">
        <f t="shared" si="340"/>
        <v>1292.9292929292928</v>
      </c>
      <c r="AR120">
        <f t="shared" si="382"/>
        <v>765</v>
      </c>
      <c r="AS120" s="9">
        <f t="shared" si="374"/>
        <v>1291.1392405063291</v>
      </c>
      <c r="AT120">
        <v>0</v>
      </c>
      <c r="AU120" s="9">
        <v>0</v>
      </c>
      <c r="AW120" s="4">
        <v>2000</v>
      </c>
      <c r="AX120">
        <f t="shared" si="361"/>
        <v>682</v>
      </c>
      <c r="AY120" s="9">
        <f t="shared" si="329"/>
        <v>1237.7495462794918</v>
      </c>
      <c r="AZ120">
        <f t="shared" si="362"/>
        <v>673</v>
      </c>
      <c r="BA120" s="9">
        <f t="shared" si="341"/>
        <v>1231.473010064044</v>
      </c>
      <c r="BB120">
        <f t="shared" si="363"/>
        <v>668</v>
      </c>
      <c r="BC120" s="9">
        <f t="shared" si="342"/>
        <v>1227.9411764705883</v>
      </c>
      <c r="BD120">
        <f t="shared" si="383"/>
        <v>665</v>
      </c>
      <c r="BE120" s="9">
        <f t="shared" si="375"/>
        <v>1225.8064516129032</v>
      </c>
      <c r="BF120">
        <f t="shared" si="392"/>
        <v>664</v>
      </c>
      <c r="BG120" s="9">
        <f t="shared" si="384"/>
        <v>1225.0922509225093</v>
      </c>
      <c r="BI120" s="4">
        <v>2000</v>
      </c>
      <c r="BJ120">
        <f t="shared" si="364"/>
        <v>732</v>
      </c>
      <c r="BK120" s="9">
        <f t="shared" si="330"/>
        <v>1270.8333333333333</v>
      </c>
      <c r="BL120">
        <f t="shared" si="365"/>
        <v>723</v>
      </c>
      <c r="BM120" s="9">
        <f t="shared" si="343"/>
        <v>1265.0918635170603</v>
      </c>
      <c r="BN120">
        <f t="shared" si="366"/>
        <v>718</v>
      </c>
      <c r="BO120" s="9">
        <f t="shared" si="344"/>
        <v>1261.8629173989455</v>
      </c>
      <c r="BP120">
        <f t="shared" si="385"/>
        <v>715</v>
      </c>
      <c r="BQ120" s="9">
        <f t="shared" si="376"/>
        <v>1259.9118942731277</v>
      </c>
      <c r="BR120">
        <v>0</v>
      </c>
      <c r="BS120" s="9">
        <v>0</v>
      </c>
      <c r="BU120" s="4">
        <v>2000</v>
      </c>
      <c r="BV120">
        <f t="shared" si="367"/>
        <v>782</v>
      </c>
      <c r="BW120" s="9">
        <f t="shared" si="331"/>
        <v>1301.1647254575707</v>
      </c>
      <c r="BX120">
        <f t="shared" si="368"/>
        <v>773</v>
      </c>
      <c r="BY120" s="9">
        <f t="shared" si="345"/>
        <v>1295.8927074601845</v>
      </c>
      <c r="BZ120">
        <f t="shared" si="369"/>
        <v>768</v>
      </c>
      <c r="CA120" s="9">
        <f t="shared" si="346"/>
        <v>1292.9292929292928</v>
      </c>
      <c r="CB120">
        <f t="shared" si="386"/>
        <v>765</v>
      </c>
      <c r="CC120" s="9">
        <f t="shared" si="377"/>
        <v>1291.1392405063291</v>
      </c>
      <c r="CD120">
        <f t="shared" si="393"/>
        <v>764</v>
      </c>
      <c r="CE120" s="9">
        <f t="shared" si="387"/>
        <v>1290.5405405405406</v>
      </c>
      <c r="CF120">
        <f t="shared" si="394"/>
        <v>758</v>
      </c>
      <c r="CG120" s="9">
        <f t="shared" si="388"/>
        <v>1286.9269949066213</v>
      </c>
      <c r="CI120" s="4">
        <v>2000</v>
      </c>
      <c r="CJ120">
        <f t="shared" si="370"/>
        <v>732</v>
      </c>
      <c r="CK120" s="9">
        <f t="shared" si="332"/>
        <v>1270.8333333333333</v>
      </c>
      <c r="CL120">
        <f t="shared" si="371"/>
        <v>726</v>
      </c>
      <c r="CM120" s="9">
        <f t="shared" si="347"/>
        <v>1267.0157068062827</v>
      </c>
      <c r="CN120">
        <f t="shared" si="378"/>
        <v>722</v>
      </c>
      <c r="CO120" s="9">
        <f t="shared" si="348"/>
        <v>1264.4483362521892</v>
      </c>
      <c r="CP120">
        <f t="shared" si="389"/>
        <v>720</v>
      </c>
      <c r="CQ120" s="9">
        <f t="shared" si="379"/>
        <v>1263.1578947368421</v>
      </c>
      <c r="CR120">
        <f t="shared" si="395"/>
        <v>720</v>
      </c>
      <c r="CS120" s="9">
        <f t="shared" si="390"/>
        <v>1263.1578947368421</v>
      </c>
      <c r="CT120">
        <f t="shared" si="396"/>
        <v>729</v>
      </c>
      <c r="CU120" s="9">
        <f t="shared" si="391"/>
        <v>1268.929503916449</v>
      </c>
      <c r="CV120">
        <v>0</v>
      </c>
      <c r="CW120" s="9">
        <f t="shared" ref="CW120:CW141" si="398">PRODUCT(CI120,CV120,1/(CV120+420))</f>
        <v>0</v>
      </c>
    </row>
    <row r="121" spans="1:101" x14ac:dyDescent="0.25">
      <c r="A121" s="4">
        <v>2200</v>
      </c>
      <c r="B121">
        <f t="shared" si="349"/>
        <v>630</v>
      </c>
      <c r="C121" s="9">
        <f t="shared" si="325"/>
        <v>1320</v>
      </c>
      <c r="D121">
        <f t="shared" si="350"/>
        <v>620</v>
      </c>
      <c r="E121" s="9">
        <f t="shared" si="333"/>
        <v>1311.5384615384617</v>
      </c>
      <c r="F121">
        <v>0</v>
      </c>
      <c r="G121" s="9">
        <f t="shared" si="397"/>
        <v>0</v>
      </c>
      <c r="H121">
        <v>0</v>
      </c>
      <c r="I121" s="9">
        <v>0</v>
      </c>
      <c r="J121">
        <v>0</v>
      </c>
      <c r="K121" s="9">
        <v>0</v>
      </c>
      <c r="M121" s="4">
        <v>2200</v>
      </c>
      <c r="N121">
        <f t="shared" si="352"/>
        <v>680</v>
      </c>
      <c r="O121" s="9">
        <f t="shared" si="326"/>
        <v>1360</v>
      </c>
      <c r="P121">
        <f t="shared" si="353"/>
        <v>670</v>
      </c>
      <c r="Q121" s="9">
        <f t="shared" si="335"/>
        <v>1352.2935779816514</v>
      </c>
      <c r="R121">
        <f t="shared" si="354"/>
        <v>664</v>
      </c>
      <c r="S121" s="9">
        <f t="shared" si="336"/>
        <v>1347.60147601476</v>
      </c>
      <c r="T121">
        <f t="shared" si="380"/>
        <v>660</v>
      </c>
      <c r="U121" s="9">
        <f t="shared" si="372"/>
        <v>1344.4444444444446</v>
      </c>
      <c r="V121">
        <v>0</v>
      </c>
      <c r="W121" s="9">
        <v>0</v>
      </c>
      <c r="Y121" s="4">
        <v>2200</v>
      </c>
      <c r="Z121">
        <f t="shared" si="355"/>
        <v>730</v>
      </c>
      <c r="AA121" s="9">
        <f t="shared" si="327"/>
        <v>1396.5217391304348</v>
      </c>
      <c r="AB121">
        <f t="shared" si="356"/>
        <v>720</v>
      </c>
      <c r="AC121" s="9">
        <f t="shared" si="337"/>
        <v>1389.4736842105262</v>
      </c>
      <c r="AD121">
        <f t="shared" si="357"/>
        <v>714</v>
      </c>
      <c r="AE121" s="9">
        <f t="shared" si="338"/>
        <v>1385.1851851851852</v>
      </c>
      <c r="AF121">
        <f t="shared" si="381"/>
        <v>710</v>
      </c>
      <c r="AG121" s="9">
        <f t="shared" si="373"/>
        <v>1382.3008849557523</v>
      </c>
      <c r="AH121">
        <v>0</v>
      </c>
      <c r="AI121" s="9">
        <v>0</v>
      </c>
      <c r="AK121" s="4">
        <v>2200</v>
      </c>
      <c r="AL121">
        <f t="shared" si="358"/>
        <v>780</v>
      </c>
      <c r="AM121" s="9">
        <f t="shared" si="328"/>
        <v>1430</v>
      </c>
      <c r="AN121">
        <f t="shared" si="359"/>
        <v>770</v>
      </c>
      <c r="AO121" s="9">
        <f t="shared" si="339"/>
        <v>1423.5294117647059</v>
      </c>
      <c r="AP121">
        <f t="shared" si="360"/>
        <v>764</v>
      </c>
      <c r="AQ121" s="9">
        <f t="shared" si="340"/>
        <v>1419.5945945945946</v>
      </c>
      <c r="AR121">
        <f t="shared" si="382"/>
        <v>760</v>
      </c>
      <c r="AS121" s="9">
        <f t="shared" si="374"/>
        <v>1416.9491525423728</v>
      </c>
      <c r="AT121">
        <v>0</v>
      </c>
      <c r="AU121" s="9">
        <v>0</v>
      </c>
      <c r="AW121" s="4">
        <v>2200</v>
      </c>
      <c r="AX121">
        <f t="shared" si="361"/>
        <v>680</v>
      </c>
      <c r="AY121" s="9">
        <f t="shared" si="329"/>
        <v>1360</v>
      </c>
      <c r="AZ121">
        <f t="shared" si="362"/>
        <v>670</v>
      </c>
      <c r="BA121" s="9">
        <f t="shared" si="341"/>
        <v>1352.2935779816514</v>
      </c>
      <c r="BB121">
        <f t="shared" si="363"/>
        <v>664</v>
      </c>
      <c r="BC121" s="9">
        <f t="shared" si="342"/>
        <v>1347.60147601476</v>
      </c>
      <c r="BD121">
        <f t="shared" si="383"/>
        <v>660</v>
      </c>
      <c r="BE121" s="9">
        <f t="shared" si="375"/>
        <v>1344.4444444444446</v>
      </c>
      <c r="BF121">
        <f t="shared" si="392"/>
        <v>658</v>
      </c>
      <c r="BG121" s="9">
        <f t="shared" si="384"/>
        <v>1342.8571428571429</v>
      </c>
      <c r="BI121" s="4">
        <v>2200</v>
      </c>
      <c r="BJ121">
        <f t="shared" si="364"/>
        <v>730</v>
      </c>
      <c r="BK121" s="9">
        <f t="shared" si="330"/>
        <v>1396.5217391304348</v>
      </c>
      <c r="BL121">
        <f t="shared" si="365"/>
        <v>720</v>
      </c>
      <c r="BM121" s="9">
        <f t="shared" si="343"/>
        <v>1389.4736842105262</v>
      </c>
      <c r="BN121">
        <f t="shared" si="366"/>
        <v>714</v>
      </c>
      <c r="BO121" s="9">
        <f t="shared" si="344"/>
        <v>1385.1851851851852</v>
      </c>
      <c r="BP121">
        <f t="shared" si="385"/>
        <v>710</v>
      </c>
      <c r="BQ121" s="9">
        <f t="shared" si="376"/>
        <v>1382.3008849557523</v>
      </c>
      <c r="BR121">
        <v>0</v>
      </c>
      <c r="BS121" s="9">
        <v>0</v>
      </c>
      <c r="BU121" s="4">
        <v>2200</v>
      </c>
      <c r="BV121">
        <f t="shared" si="367"/>
        <v>780</v>
      </c>
      <c r="BW121" s="9">
        <f t="shared" si="331"/>
        <v>1430</v>
      </c>
      <c r="BX121">
        <f t="shared" si="368"/>
        <v>770</v>
      </c>
      <c r="BY121" s="9">
        <f t="shared" si="345"/>
        <v>1423.5294117647059</v>
      </c>
      <c r="BZ121">
        <f t="shared" si="369"/>
        <v>764</v>
      </c>
      <c r="CA121" s="9">
        <f t="shared" si="346"/>
        <v>1419.5945945945946</v>
      </c>
      <c r="CB121">
        <f t="shared" si="386"/>
        <v>760</v>
      </c>
      <c r="CC121" s="9">
        <f t="shared" si="377"/>
        <v>1416.9491525423728</v>
      </c>
      <c r="CD121">
        <f t="shared" si="393"/>
        <v>758</v>
      </c>
      <c r="CE121" s="9">
        <f t="shared" si="387"/>
        <v>1415.6196943972834</v>
      </c>
      <c r="CF121">
        <f t="shared" si="394"/>
        <v>751</v>
      </c>
      <c r="CG121" s="9">
        <f t="shared" si="388"/>
        <v>1410.930828351836</v>
      </c>
      <c r="CI121" s="4">
        <v>2200</v>
      </c>
      <c r="CJ121">
        <f t="shared" si="370"/>
        <v>730</v>
      </c>
      <c r="CK121" s="9">
        <f t="shared" si="332"/>
        <v>1396.5217391304348</v>
      </c>
      <c r="CL121">
        <f t="shared" si="371"/>
        <v>723</v>
      </c>
      <c r="CM121" s="9">
        <f t="shared" si="347"/>
        <v>1391.6010498687665</v>
      </c>
      <c r="CN121">
        <f t="shared" si="378"/>
        <v>718</v>
      </c>
      <c r="CO121" s="9">
        <f t="shared" si="348"/>
        <v>1388.0492091388401</v>
      </c>
      <c r="CP121">
        <f t="shared" si="389"/>
        <v>715</v>
      </c>
      <c r="CQ121" s="9">
        <f t="shared" si="379"/>
        <v>1385.9030837004407</v>
      </c>
      <c r="CR121">
        <f t="shared" si="395"/>
        <v>714</v>
      </c>
      <c r="CS121" s="9">
        <f t="shared" si="390"/>
        <v>1385.1851851851852</v>
      </c>
      <c r="CT121">
        <f t="shared" si="396"/>
        <v>722</v>
      </c>
      <c r="CU121" s="9">
        <f t="shared" si="391"/>
        <v>1390.8931698774081</v>
      </c>
      <c r="CV121">
        <v>750</v>
      </c>
      <c r="CW121" s="9">
        <f t="shared" si="398"/>
        <v>1410.2564102564102</v>
      </c>
    </row>
    <row r="122" spans="1:101" x14ac:dyDescent="0.25">
      <c r="A122" s="4">
        <f>SUM(A120+500)</f>
        <v>2500</v>
      </c>
      <c r="B122">
        <f t="shared" si="349"/>
        <v>628</v>
      </c>
      <c r="C122" s="9">
        <f t="shared" si="325"/>
        <v>1498.0916030534352</v>
      </c>
      <c r="D122">
        <v>0</v>
      </c>
      <c r="E122" s="9">
        <f t="shared" ref="E122:E124" si="399">PRODUCT(A122,D122,1/(D122+300))</f>
        <v>0</v>
      </c>
      <c r="F122">
        <v>0</v>
      </c>
      <c r="G122" s="9">
        <f t="shared" si="397"/>
        <v>0</v>
      </c>
      <c r="H122">
        <v>0</v>
      </c>
      <c r="I122" s="9">
        <v>0</v>
      </c>
      <c r="J122">
        <v>0</v>
      </c>
      <c r="K122" s="9">
        <v>0</v>
      </c>
      <c r="M122" s="4">
        <f>SUM(M120+500)</f>
        <v>2500</v>
      </c>
      <c r="N122">
        <f t="shared" si="352"/>
        <v>678</v>
      </c>
      <c r="O122" s="9">
        <f t="shared" si="326"/>
        <v>1543.7158469945355</v>
      </c>
      <c r="P122">
        <f t="shared" si="353"/>
        <v>667</v>
      </c>
      <c r="Q122" s="9">
        <f t="shared" si="335"/>
        <v>1534.0386384544618</v>
      </c>
      <c r="R122">
        <f t="shared" si="354"/>
        <v>660</v>
      </c>
      <c r="S122" s="9">
        <f t="shared" si="336"/>
        <v>1527.7777777777778</v>
      </c>
      <c r="T122">
        <f t="shared" si="380"/>
        <v>655</v>
      </c>
      <c r="U122" s="9">
        <f t="shared" si="372"/>
        <v>1523.2558139534885</v>
      </c>
      <c r="V122">
        <v>0</v>
      </c>
      <c r="W122" s="9">
        <v>0</v>
      </c>
      <c r="Y122" s="4">
        <f>SUM(Y120+500)</f>
        <v>2500</v>
      </c>
      <c r="Z122">
        <f t="shared" si="355"/>
        <v>728</v>
      </c>
      <c r="AA122" s="9">
        <f t="shared" si="327"/>
        <v>1585.3658536585365</v>
      </c>
      <c r="AB122">
        <f t="shared" si="356"/>
        <v>717</v>
      </c>
      <c r="AC122" s="9">
        <f t="shared" si="337"/>
        <v>1576.5171503957783</v>
      </c>
      <c r="AD122">
        <f t="shared" si="357"/>
        <v>710</v>
      </c>
      <c r="AE122" s="9">
        <f t="shared" si="338"/>
        <v>1570.7964601769911</v>
      </c>
      <c r="AF122">
        <f t="shared" si="381"/>
        <v>705</v>
      </c>
      <c r="AG122" s="9">
        <f t="shared" si="373"/>
        <v>1566.6666666666667</v>
      </c>
      <c r="AH122">
        <v>0</v>
      </c>
      <c r="AI122" s="9">
        <v>0</v>
      </c>
      <c r="AK122" s="4">
        <f>SUM(AK120+500)</f>
        <v>2500</v>
      </c>
      <c r="AL122">
        <f t="shared" si="358"/>
        <v>778</v>
      </c>
      <c r="AM122" s="9">
        <f t="shared" si="328"/>
        <v>1623.5392320534224</v>
      </c>
      <c r="AN122">
        <f t="shared" si="359"/>
        <v>767</v>
      </c>
      <c r="AO122" s="9">
        <f t="shared" si="339"/>
        <v>1615.4170176916596</v>
      </c>
      <c r="AP122">
        <f t="shared" si="360"/>
        <v>760</v>
      </c>
      <c r="AQ122" s="9">
        <f t="shared" si="340"/>
        <v>1610.1694915254236</v>
      </c>
      <c r="AR122">
        <f t="shared" si="382"/>
        <v>755</v>
      </c>
      <c r="AS122" s="9">
        <f t="shared" si="374"/>
        <v>1606.3829787234042</v>
      </c>
      <c r="AT122">
        <v>0</v>
      </c>
      <c r="AU122" s="9">
        <v>0</v>
      </c>
      <c r="AW122" s="4">
        <f>SUM(AW120+500)</f>
        <v>2500</v>
      </c>
      <c r="AX122">
        <f t="shared" si="361"/>
        <v>678</v>
      </c>
      <c r="AY122" s="9">
        <f t="shared" si="329"/>
        <v>1543.7158469945355</v>
      </c>
      <c r="AZ122">
        <f t="shared" si="362"/>
        <v>667</v>
      </c>
      <c r="BA122" s="9">
        <f t="shared" si="341"/>
        <v>1534.0386384544618</v>
      </c>
      <c r="BB122">
        <f t="shared" si="363"/>
        <v>660</v>
      </c>
      <c r="BC122" s="9">
        <f t="shared" si="342"/>
        <v>1527.7777777777778</v>
      </c>
      <c r="BD122">
        <f t="shared" si="383"/>
        <v>655</v>
      </c>
      <c r="BE122" s="9">
        <f t="shared" si="375"/>
        <v>1523.2558139534885</v>
      </c>
      <c r="BF122">
        <v>0</v>
      </c>
      <c r="BG122" s="9">
        <f t="shared" si="384"/>
        <v>0</v>
      </c>
      <c r="BI122" s="4">
        <f>SUM(BI120+500)</f>
        <v>2500</v>
      </c>
      <c r="BJ122">
        <f t="shared" si="364"/>
        <v>728</v>
      </c>
      <c r="BK122" s="9">
        <f t="shared" si="330"/>
        <v>1585.3658536585365</v>
      </c>
      <c r="BL122">
        <f t="shared" si="365"/>
        <v>717</v>
      </c>
      <c r="BM122" s="9">
        <f t="shared" si="343"/>
        <v>1576.5171503957783</v>
      </c>
      <c r="BN122">
        <f t="shared" si="366"/>
        <v>710</v>
      </c>
      <c r="BO122" s="9">
        <f t="shared" si="344"/>
        <v>1570.7964601769911</v>
      </c>
      <c r="BP122">
        <f t="shared" si="385"/>
        <v>705</v>
      </c>
      <c r="BQ122" s="9">
        <f t="shared" si="376"/>
        <v>1566.6666666666667</v>
      </c>
      <c r="BR122">
        <v>0</v>
      </c>
      <c r="BS122" s="9">
        <v>0</v>
      </c>
      <c r="BU122" s="4">
        <f>SUM(BU120+500)</f>
        <v>2500</v>
      </c>
      <c r="BV122">
        <f t="shared" si="367"/>
        <v>778</v>
      </c>
      <c r="BW122" s="9">
        <f t="shared" si="331"/>
        <v>1623.5392320534224</v>
      </c>
      <c r="BX122">
        <f t="shared" si="368"/>
        <v>767</v>
      </c>
      <c r="BY122" s="9">
        <f t="shared" si="345"/>
        <v>1615.4170176916596</v>
      </c>
      <c r="BZ122">
        <f t="shared" si="369"/>
        <v>760</v>
      </c>
      <c r="CA122" s="9">
        <f t="shared" si="346"/>
        <v>1610.1694915254236</v>
      </c>
      <c r="CB122">
        <f t="shared" si="386"/>
        <v>755</v>
      </c>
      <c r="CC122" s="9">
        <f t="shared" si="377"/>
        <v>1606.3829787234042</v>
      </c>
      <c r="CD122">
        <f t="shared" si="393"/>
        <v>752</v>
      </c>
      <c r="CE122" s="9">
        <f t="shared" si="387"/>
        <v>1604.0955631399318</v>
      </c>
      <c r="CF122">
        <f t="shared" si="394"/>
        <v>744</v>
      </c>
      <c r="CG122" s="9">
        <f t="shared" si="388"/>
        <v>1597.9381443298969</v>
      </c>
      <c r="CI122" s="4">
        <f>SUM(CI120+500)</f>
        <v>2500</v>
      </c>
      <c r="CJ122">
        <f t="shared" si="370"/>
        <v>728</v>
      </c>
      <c r="CK122" s="9">
        <f t="shared" si="332"/>
        <v>1585.3658536585365</v>
      </c>
      <c r="CL122">
        <f t="shared" si="371"/>
        <v>720</v>
      </c>
      <c r="CM122" s="9">
        <f t="shared" si="347"/>
        <v>1578.9473684210527</v>
      </c>
      <c r="CN122">
        <f t="shared" si="378"/>
        <v>714</v>
      </c>
      <c r="CO122" s="9">
        <f t="shared" si="348"/>
        <v>1574.0740740740739</v>
      </c>
      <c r="CP122">
        <f t="shared" si="389"/>
        <v>710</v>
      </c>
      <c r="CQ122" s="9">
        <f t="shared" si="379"/>
        <v>1570.7964601769911</v>
      </c>
      <c r="CR122">
        <f t="shared" si="395"/>
        <v>708</v>
      </c>
      <c r="CS122" s="9">
        <f t="shared" si="390"/>
        <v>1569.1489361702127</v>
      </c>
      <c r="CT122">
        <f t="shared" si="396"/>
        <v>715</v>
      </c>
      <c r="CU122" s="9">
        <f t="shared" si="391"/>
        <v>1574.8898678414098</v>
      </c>
      <c r="CV122">
        <f t="shared" ref="CV122:CV139" si="400">SUM(CV121,-8)</f>
        <v>742</v>
      </c>
      <c r="CW122" s="9">
        <f t="shared" si="398"/>
        <v>1596.3855421686746</v>
      </c>
    </row>
    <row r="123" spans="1:101" x14ac:dyDescent="0.25">
      <c r="A123" s="4">
        <f t="shared" ref="A123:A124" si="401">SUM(A122+500)</f>
        <v>3000</v>
      </c>
      <c r="B123">
        <v>0</v>
      </c>
      <c r="C123" s="9">
        <f t="shared" ref="C123:C127" si="402">PRODUCT(A123,B123,1/(B123+300))</f>
        <v>0</v>
      </c>
      <c r="D123">
        <v>0</v>
      </c>
      <c r="E123" s="9">
        <f t="shared" si="399"/>
        <v>0</v>
      </c>
      <c r="F123">
        <v>0</v>
      </c>
      <c r="G123" s="9">
        <f t="shared" si="397"/>
        <v>0</v>
      </c>
      <c r="H123">
        <v>0</v>
      </c>
      <c r="I123" s="9">
        <v>0</v>
      </c>
      <c r="J123">
        <v>0</v>
      </c>
      <c r="K123" s="9">
        <v>0</v>
      </c>
      <c r="M123" s="4">
        <f t="shared" ref="M123:M124" si="403">SUM(M122+500)</f>
        <v>3000</v>
      </c>
      <c r="N123">
        <f t="shared" si="352"/>
        <v>676</v>
      </c>
      <c r="O123" s="9">
        <f t="shared" si="326"/>
        <v>1850.3649635036495</v>
      </c>
      <c r="P123">
        <f t="shared" si="353"/>
        <v>664</v>
      </c>
      <c r="Q123" s="9">
        <f t="shared" si="335"/>
        <v>1837.6383763837637</v>
      </c>
      <c r="R123">
        <f t="shared" si="354"/>
        <v>656</v>
      </c>
      <c r="S123" s="9">
        <f t="shared" si="336"/>
        <v>1828.996282527881</v>
      </c>
      <c r="T123">
        <v>0</v>
      </c>
      <c r="U123" s="9">
        <v>0</v>
      </c>
      <c r="V123">
        <v>0</v>
      </c>
      <c r="W123" s="9">
        <v>0</v>
      </c>
      <c r="Y123" s="4">
        <f t="shared" ref="Y123:Y124" si="404">SUM(Y122+500)</f>
        <v>3000</v>
      </c>
      <c r="Z123">
        <f t="shared" si="355"/>
        <v>726</v>
      </c>
      <c r="AA123" s="9">
        <f t="shared" si="327"/>
        <v>1900.5235602094242</v>
      </c>
      <c r="AB123">
        <f t="shared" si="356"/>
        <v>714</v>
      </c>
      <c r="AC123" s="9">
        <f t="shared" si="337"/>
        <v>1888.8888888888887</v>
      </c>
      <c r="AD123">
        <f t="shared" si="357"/>
        <v>706</v>
      </c>
      <c r="AE123" s="9">
        <f t="shared" si="338"/>
        <v>1880.9946714031971</v>
      </c>
      <c r="AF123">
        <v>0</v>
      </c>
      <c r="AG123" s="9">
        <v>0</v>
      </c>
      <c r="AH123">
        <v>0</v>
      </c>
      <c r="AI123" s="9">
        <v>0</v>
      </c>
      <c r="AK123" s="4">
        <f t="shared" ref="AK123:AK124" si="405">SUM(AK122+500)</f>
        <v>3000</v>
      </c>
      <c r="AL123">
        <f t="shared" si="358"/>
        <v>776</v>
      </c>
      <c r="AM123" s="9">
        <f t="shared" si="328"/>
        <v>1946.4882943143812</v>
      </c>
      <c r="AN123">
        <f t="shared" si="359"/>
        <v>764</v>
      </c>
      <c r="AO123" s="9">
        <f t="shared" si="339"/>
        <v>1935.8108108108108</v>
      </c>
      <c r="AP123">
        <f t="shared" si="360"/>
        <v>756</v>
      </c>
      <c r="AQ123" s="9">
        <f t="shared" si="340"/>
        <v>1928.5714285714284</v>
      </c>
      <c r="AR123">
        <f t="shared" si="382"/>
        <v>750</v>
      </c>
      <c r="AS123" s="9">
        <f t="shared" si="374"/>
        <v>1923.0769230769231</v>
      </c>
      <c r="AT123">
        <v>0</v>
      </c>
      <c r="AU123" s="9">
        <v>0</v>
      </c>
      <c r="AW123" s="4">
        <f t="shared" ref="AW123:AW124" si="406">SUM(AW122+500)</f>
        <v>3000</v>
      </c>
      <c r="AX123">
        <f t="shared" si="361"/>
        <v>676</v>
      </c>
      <c r="AY123" s="9">
        <f t="shared" si="329"/>
        <v>1850.3649635036495</v>
      </c>
      <c r="AZ123">
        <f t="shared" si="362"/>
        <v>664</v>
      </c>
      <c r="BA123" s="9">
        <f t="shared" si="341"/>
        <v>1837.6383763837637</v>
      </c>
      <c r="BB123">
        <f t="shared" si="363"/>
        <v>656</v>
      </c>
      <c r="BC123" s="9">
        <f t="shared" si="342"/>
        <v>1828.996282527881</v>
      </c>
      <c r="BD123">
        <f t="shared" si="383"/>
        <v>650</v>
      </c>
      <c r="BE123" s="9">
        <f t="shared" si="375"/>
        <v>1822.4299065420562</v>
      </c>
      <c r="BF123">
        <v>0</v>
      </c>
      <c r="BG123" s="9">
        <f t="shared" si="384"/>
        <v>0</v>
      </c>
      <c r="BI123" s="4">
        <f t="shared" ref="BI123:BI124" si="407">SUM(BI122+500)</f>
        <v>3000</v>
      </c>
      <c r="BJ123">
        <f t="shared" si="364"/>
        <v>726</v>
      </c>
      <c r="BK123" s="9">
        <f t="shared" si="330"/>
        <v>1900.5235602094242</v>
      </c>
      <c r="BL123">
        <f t="shared" si="365"/>
        <v>714</v>
      </c>
      <c r="BM123" s="9">
        <f t="shared" si="343"/>
        <v>1888.8888888888887</v>
      </c>
      <c r="BN123">
        <f t="shared" si="366"/>
        <v>706</v>
      </c>
      <c r="BO123" s="9">
        <f t="shared" si="344"/>
        <v>1880.9946714031971</v>
      </c>
      <c r="BP123">
        <v>0</v>
      </c>
      <c r="BQ123" s="9">
        <v>0</v>
      </c>
      <c r="BR123">
        <v>0</v>
      </c>
      <c r="BS123" s="9">
        <v>0</v>
      </c>
      <c r="BU123" s="4">
        <f t="shared" ref="BU123:BU124" si="408">SUM(BU122+500)</f>
        <v>3000</v>
      </c>
      <c r="BV123">
        <f t="shared" si="367"/>
        <v>776</v>
      </c>
      <c r="BW123" s="9">
        <f t="shared" si="331"/>
        <v>1946.4882943143812</v>
      </c>
      <c r="BX123">
        <f t="shared" si="368"/>
        <v>764</v>
      </c>
      <c r="BY123" s="9">
        <f t="shared" si="345"/>
        <v>1935.8108108108108</v>
      </c>
      <c r="BZ123">
        <f t="shared" si="369"/>
        <v>756</v>
      </c>
      <c r="CA123" s="9">
        <f t="shared" si="346"/>
        <v>1928.5714285714284</v>
      </c>
      <c r="CB123">
        <f t="shared" si="386"/>
        <v>750</v>
      </c>
      <c r="CC123" s="9">
        <f t="shared" si="377"/>
        <v>1923.0769230769231</v>
      </c>
      <c r="CD123">
        <f t="shared" si="393"/>
        <v>746</v>
      </c>
      <c r="CE123" s="9">
        <f t="shared" si="387"/>
        <v>1919.3825042881647</v>
      </c>
      <c r="CF123">
        <f t="shared" si="394"/>
        <v>737</v>
      </c>
      <c r="CG123" s="9">
        <f t="shared" si="388"/>
        <v>1910.9766637856526</v>
      </c>
      <c r="CI123" s="4">
        <f t="shared" ref="CI123:CI124" si="409">SUM(CI122+500)</f>
        <v>3000</v>
      </c>
      <c r="CJ123">
        <f t="shared" si="370"/>
        <v>726</v>
      </c>
      <c r="CK123" s="9">
        <f t="shared" si="332"/>
        <v>1900.5235602094242</v>
      </c>
      <c r="CL123">
        <f t="shared" si="371"/>
        <v>717</v>
      </c>
      <c r="CM123" s="9">
        <f t="shared" si="347"/>
        <v>1891.8205804749341</v>
      </c>
      <c r="CN123">
        <f t="shared" si="378"/>
        <v>710</v>
      </c>
      <c r="CO123" s="9">
        <f t="shared" si="348"/>
        <v>1884.9557522123894</v>
      </c>
      <c r="CP123">
        <f t="shared" si="389"/>
        <v>705</v>
      </c>
      <c r="CQ123" s="9">
        <f t="shared" si="379"/>
        <v>1880</v>
      </c>
      <c r="CR123">
        <f t="shared" si="395"/>
        <v>702</v>
      </c>
      <c r="CS123" s="9">
        <f t="shared" si="390"/>
        <v>1877.0053475935829</v>
      </c>
      <c r="CT123">
        <f t="shared" si="396"/>
        <v>708</v>
      </c>
      <c r="CU123" s="9">
        <f t="shared" si="391"/>
        <v>1882.9787234042553</v>
      </c>
      <c r="CV123">
        <f t="shared" si="400"/>
        <v>734</v>
      </c>
      <c r="CW123" s="9">
        <f t="shared" si="398"/>
        <v>1908.1455805892547</v>
      </c>
    </row>
    <row r="124" spans="1:101" x14ac:dyDescent="0.25">
      <c r="A124" s="4">
        <f t="shared" si="401"/>
        <v>3500</v>
      </c>
      <c r="B124">
        <v>0</v>
      </c>
      <c r="C124" s="9">
        <f t="shared" si="402"/>
        <v>0</v>
      </c>
      <c r="D124">
        <v>0</v>
      </c>
      <c r="E124" s="9">
        <f t="shared" si="399"/>
        <v>0</v>
      </c>
      <c r="F124">
        <v>0</v>
      </c>
      <c r="G124" s="9">
        <f t="shared" si="397"/>
        <v>0</v>
      </c>
      <c r="H124">
        <v>0</v>
      </c>
      <c r="I124" s="9">
        <v>0</v>
      </c>
      <c r="J124">
        <v>0</v>
      </c>
      <c r="K124" s="9">
        <v>0</v>
      </c>
      <c r="M124" s="4">
        <f t="shared" si="403"/>
        <v>3500</v>
      </c>
      <c r="N124">
        <f t="shared" si="352"/>
        <v>674</v>
      </c>
      <c r="O124" s="9">
        <f t="shared" si="326"/>
        <v>2156.3071297989031</v>
      </c>
      <c r="P124">
        <f t="shared" si="353"/>
        <v>661</v>
      </c>
      <c r="Q124" s="9">
        <f t="shared" si="335"/>
        <v>2140.1480111008327</v>
      </c>
      <c r="R124">
        <f t="shared" si="354"/>
        <v>652</v>
      </c>
      <c r="S124" s="9">
        <f t="shared" si="336"/>
        <v>2128.7313432835822</v>
      </c>
      <c r="T124">
        <v>0</v>
      </c>
      <c r="U124" s="9">
        <v>0</v>
      </c>
      <c r="V124">
        <v>0</v>
      </c>
      <c r="W124" s="9">
        <v>0</v>
      </c>
      <c r="Y124" s="4">
        <f t="shared" si="404"/>
        <v>3500</v>
      </c>
      <c r="Z124">
        <f t="shared" si="355"/>
        <v>724</v>
      </c>
      <c r="AA124" s="9">
        <f t="shared" si="327"/>
        <v>2215.0349650349649</v>
      </c>
      <c r="AB124">
        <f t="shared" si="356"/>
        <v>711</v>
      </c>
      <c r="AC124" s="9">
        <f t="shared" si="337"/>
        <v>2200.26525198939</v>
      </c>
      <c r="AD124">
        <f t="shared" si="357"/>
        <v>702</v>
      </c>
      <c r="AE124" s="9">
        <f t="shared" si="338"/>
        <v>2189.8395721925131</v>
      </c>
      <c r="AF124">
        <v>0</v>
      </c>
      <c r="AG124" s="9">
        <v>0</v>
      </c>
      <c r="AH124">
        <v>0</v>
      </c>
      <c r="AI124" s="9">
        <v>0</v>
      </c>
      <c r="AK124" s="4">
        <f t="shared" si="405"/>
        <v>3500</v>
      </c>
      <c r="AL124">
        <f t="shared" si="358"/>
        <v>774</v>
      </c>
      <c r="AM124" s="9">
        <f t="shared" si="328"/>
        <v>2268.8442211055276</v>
      </c>
      <c r="AN124">
        <f t="shared" si="359"/>
        <v>761</v>
      </c>
      <c r="AO124" s="9">
        <f t="shared" si="339"/>
        <v>2255.2921253175273</v>
      </c>
      <c r="AP124">
        <f t="shared" si="360"/>
        <v>752</v>
      </c>
      <c r="AQ124" s="9">
        <f t="shared" si="340"/>
        <v>2245.7337883959044</v>
      </c>
      <c r="AR124">
        <f t="shared" si="382"/>
        <v>745</v>
      </c>
      <c r="AS124" s="9">
        <f t="shared" si="374"/>
        <v>2238.1974248927036</v>
      </c>
      <c r="AT124">
        <v>0</v>
      </c>
      <c r="AU124" s="9">
        <v>0</v>
      </c>
      <c r="AW124" s="4">
        <f t="shared" si="406"/>
        <v>3500</v>
      </c>
      <c r="AX124">
        <f t="shared" si="361"/>
        <v>674</v>
      </c>
      <c r="AY124" s="9">
        <f t="shared" si="329"/>
        <v>2156.3071297989031</v>
      </c>
      <c r="AZ124">
        <f t="shared" si="362"/>
        <v>661</v>
      </c>
      <c r="BA124" s="9">
        <f t="shared" si="341"/>
        <v>2140.1480111008327</v>
      </c>
      <c r="BB124">
        <f t="shared" si="363"/>
        <v>652</v>
      </c>
      <c r="BC124" s="9">
        <f t="shared" si="342"/>
        <v>2128.7313432835822</v>
      </c>
      <c r="BD124">
        <f t="shared" si="383"/>
        <v>645</v>
      </c>
      <c r="BE124" s="9">
        <f t="shared" si="375"/>
        <v>2119.7183098591549</v>
      </c>
      <c r="BF124">
        <v>0</v>
      </c>
      <c r="BG124" s="9">
        <f t="shared" si="384"/>
        <v>0</v>
      </c>
      <c r="BI124" s="4">
        <f t="shared" si="407"/>
        <v>3500</v>
      </c>
      <c r="BJ124">
        <f t="shared" si="364"/>
        <v>724</v>
      </c>
      <c r="BK124" s="9">
        <f t="shared" si="330"/>
        <v>2215.0349650349649</v>
      </c>
      <c r="BL124">
        <f t="shared" si="365"/>
        <v>711</v>
      </c>
      <c r="BM124" s="9">
        <f t="shared" si="343"/>
        <v>2200.26525198939</v>
      </c>
      <c r="BN124">
        <f t="shared" si="366"/>
        <v>702</v>
      </c>
      <c r="BO124" s="9">
        <f t="shared" si="344"/>
        <v>2189.8395721925131</v>
      </c>
      <c r="BP124">
        <v>0</v>
      </c>
      <c r="BQ124" s="9">
        <v>0</v>
      </c>
      <c r="BR124">
        <v>0</v>
      </c>
      <c r="BS124" s="9">
        <v>0</v>
      </c>
      <c r="BU124" s="4">
        <f t="shared" si="408"/>
        <v>3500</v>
      </c>
      <c r="BV124">
        <f t="shared" si="367"/>
        <v>774</v>
      </c>
      <c r="BW124" s="9">
        <f t="shared" si="331"/>
        <v>2268.8442211055276</v>
      </c>
      <c r="BX124">
        <f t="shared" si="368"/>
        <v>761</v>
      </c>
      <c r="BY124" s="9">
        <f t="shared" si="345"/>
        <v>2255.2921253175273</v>
      </c>
      <c r="BZ124">
        <f t="shared" si="369"/>
        <v>752</v>
      </c>
      <c r="CA124" s="9">
        <f t="shared" si="346"/>
        <v>2245.7337883959044</v>
      </c>
      <c r="CB124">
        <f t="shared" si="386"/>
        <v>745</v>
      </c>
      <c r="CC124" s="9">
        <f t="shared" si="377"/>
        <v>2238.1974248927036</v>
      </c>
      <c r="CD124">
        <f t="shared" si="393"/>
        <v>740</v>
      </c>
      <c r="CE124" s="9">
        <f t="shared" si="387"/>
        <v>2232.7586206896553</v>
      </c>
      <c r="CF124">
        <f t="shared" si="394"/>
        <v>730</v>
      </c>
      <c r="CG124" s="9">
        <f t="shared" si="388"/>
        <v>2221.7391304347825</v>
      </c>
      <c r="CI124" s="4">
        <f t="shared" si="409"/>
        <v>3500</v>
      </c>
      <c r="CJ124">
        <f t="shared" si="370"/>
        <v>724</v>
      </c>
      <c r="CK124" s="9">
        <f t="shared" si="332"/>
        <v>2215.0349650349649</v>
      </c>
      <c r="CL124">
        <f t="shared" si="371"/>
        <v>714</v>
      </c>
      <c r="CM124" s="9">
        <f t="shared" si="347"/>
        <v>2203.7037037037035</v>
      </c>
      <c r="CN124">
        <f t="shared" si="378"/>
        <v>706</v>
      </c>
      <c r="CO124" s="9">
        <f t="shared" si="348"/>
        <v>2194.4937833037302</v>
      </c>
      <c r="CP124">
        <f t="shared" si="389"/>
        <v>700</v>
      </c>
      <c r="CQ124" s="9">
        <f t="shared" si="379"/>
        <v>2187.5</v>
      </c>
      <c r="CR124">
        <f t="shared" si="395"/>
        <v>696</v>
      </c>
      <c r="CS124" s="9">
        <f t="shared" si="390"/>
        <v>2182.7956989247314</v>
      </c>
      <c r="CT124">
        <f t="shared" si="396"/>
        <v>701</v>
      </c>
      <c r="CU124" s="9">
        <f t="shared" si="391"/>
        <v>2188.6708296164138</v>
      </c>
      <c r="CV124">
        <f t="shared" si="400"/>
        <v>726</v>
      </c>
      <c r="CW124" s="9">
        <f t="shared" si="398"/>
        <v>2217.2774869109949</v>
      </c>
    </row>
    <row r="125" spans="1:101" x14ac:dyDescent="0.25">
      <c r="A125">
        <v>4000</v>
      </c>
      <c r="B125">
        <v>0</v>
      </c>
      <c r="C125" s="9">
        <f t="shared" si="402"/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s="9">
        <v>0</v>
      </c>
      <c r="J125">
        <v>0</v>
      </c>
      <c r="K125" s="9">
        <v>0</v>
      </c>
      <c r="M125">
        <v>4000</v>
      </c>
      <c r="N125">
        <f t="shared" si="352"/>
        <v>672</v>
      </c>
      <c r="O125" s="9">
        <f t="shared" si="326"/>
        <v>2461.5384615384614</v>
      </c>
      <c r="P125">
        <f t="shared" si="353"/>
        <v>658</v>
      </c>
      <c r="Q125" s="9">
        <f t="shared" si="335"/>
        <v>2441.5584415584417</v>
      </c>
      <c r="R125">
        <v>0</v>
      </c>
      <c r="S125" s="9">
        <f t="shared" si="336"/>
        <v>0</v>
      </c>
      <c r="T125">
        <v>0</v>
      </c>
      <c r="U125" s="9">
        <v>0</v>
      </c>
      <c r="V125">
        <v>0</v>
      </c>
      <c r="W125" s="9">
        <v>0</v>
      </c>
      <c r="Y125">
        <v>4000</v>
      </c>
      <c r="Z125">
        <f t="shared" si="355"/>
        <v>722</v>
      </c>
      <c r="AA125" s="9">
        <f t="shared" si="327"/>
        <v>2528.8966725043783</v>
      </c>
      <c r="AB125">
        <f t="shared" si="356"/>
        <v>708</v>
      </c>
      <c r="AC125" s="9">
        <f t="shared" si="337"/>
        <v>2510.6382978723404</v>
      </c>
      <c r="AD125">
        <v>0</v>
      </c>
      <c r="AE125" s="9">
        <f t="shared" si="338"/>
        <v>0</v>
      </c>
      <c r="AF125">
        <v>0</v>
      </c>
      <c r="AG125" s="9">
        <v>0</v>
      </c>
      <c r="AH125">
        <v>0</v>
      </c>
      <c r="AI125" s="9">
        <v>0</v>
      </c>
      <c r="AK125">
        <v>4000</v>
      </c>
      <c r="AL125">
        <f t="shared" si="358"/>
        <v>772</v>
      </c>
      <c r="AM125" s="9">
        <f t="shared" si="328"/>
        <v>2590.6040268456377</v>
      </c>
      <c r="AN125">
        <f t="shared" si="359"/>
        <v>758</v>
      </c>
      <c r="AO125" s="9">
        <f t="shared" si="339"/>
        <v>2573.8539898132426</v>
      </c>
      <c r="AP125">
        <f t="shared" si="360"/>
        <v>748</v>
      </c>
      <c r="AQ125" s="9">
        <f t="shared" si="340"/>
        <v>2561.6438356164381</v>
      </c>
      <c r="AR125">
        <v>0</v>
      </c>
      <c r="AS125" s="9">
        <f t="shared" si="374"/>
        <v>0</v>
      </c>
      <c r="AT125">
        <v>0</v>
      </c>
      <c r="AU125" s="9">
        <v>0</v>
      </c>
      <c r="AW125">
        <v>4000</v>
      </c>
      <c r="AX125">
        <f t="shared" si="361"/>
        <v>672</v>
      </c>
      <c r="AY125" s="9">
        <f t="shared" si="329"/>
        <v>2461.5384615384614</v>
      </c>
      <c r="AZ125">
        <f t="shared" si="362"/>
        <v>658</v>
      </c>
      <c r="BA125" s="9">
        <f t="shared" si="341"/>
        <v>2441.5584415584417</v>
      </c>
      <c r="BB125">
        <f t="shared" si="363"/>
        <v>648</v>
      </c>
      <c r="BC125" s="9">
        <f t="shared" si="342"/>
        <v>2426.9662921348313</v>
      </c>
      <c r="BD125">
        <f t="shared" si="383"/>
        <v>640</v>
      </c>
      <c r="BE125" s="9">
        <f t="shared" si="375"/>
        <v>2415.0943396226417</v>
      </c>
      <c r="BF125">
        <v>0</v>
      </c>
      <c r="BG125" s="9">
        <f t="shared" si="384"/>
        <v>0</v>
      </c>
      <c r="BI125">
        <v>4000</v>
      </c>
      <c r="BJ125">
        <f t="shared" si="364"/>
        <v>722</v>
      </c>
      <c r="BK125" s="9">
        <f t="shared" si="330"/>
        <v>2528.8966725043783</v>
      </c>
      <c r="BL125">
        <f t="shared" si="365"/>
        <v>708</v>
      </c>
      <c r="BM125" s="9">
        <f t="shared" si="343"/>
        <v>2510.6382978723404</v>
      </c>
      <c r="BN125">
        <v>0</v>
      </c>
      <c r="BO125" s="9">
        <f t="shared" si="344"/>
        <v>0</v>
      </c>
      <c r="BP125">
        <v>0</v>
      </c>
      <c r="BQ125" s="9">
        <v>0</v>
      </c>
      <c r="BR125">
        <v>0</v>
      </c>
      <c r="BS125" s="9">
        <v>0</v>
      </c>
      <c r="BU125">
        <v>4000</v>
      </c>
      <c r="BV125">
        <f t="shared" si="367"/>
        <v>772</v>
      </c>
      <c r="BW125" s="9">
        <f t="shared" si="331"/>
        <v>2590.6040268456377</v>
      </c>
      <c r="BX125">
        <f t="shared" si="368"/>
        <v>758</v>
      </c>
      <c r="BY125" s="9">
        <f t="shared" si="345"/>
        <v>2573.8539898132426</v>
      </c>
      <c r="BZ125">
        <f t="shared" si="369"/>
        <v>748</v>
      </c>
      <c r="CA125" s="9">
        <f t="shared" si="346"/>
        <v>2561.6438356164381</v>
      </c>
      <c r="CB125">
        <f t="shared" si="386"/>
        <v>740</v>
      </c>
      <c r="CC125" s="9">
        <f t="shared" si="377"/>
        <v>2551.7241379310344</v>
      </c>
      <c r="CD125">
        <f t="shared" si="393"/>
        <v>734</v>
      </c>
      <c r="CE125" s="9">
        <f t="shared" si="387"/>
        <v>2544.1941074523397</v>
      </c>
      <c r="CF125">
        <v>0</v>
      </c>
      <c r="CG125" s="9">
        <f t="shared" si="388"/>
        <v>0</v>
      </c>
      <c r="CI125">
        <v>4000</v>
      </c>
      <c r="CJ125">
        <f t="shared" si="370"/>
        <v>722</v>
      </c>
      <c r="CK125" s="9">
        <f t="shared" si="332"/>
        <v>2528.8966725043783</v>
      </c>
      <c r="CL125">
        <f t="shared" si="371"/>
        <v>711</v>
      </c>
      <c r="CM125" s="9">
        <f t="shared" si="347"/>
        <v>2514.5888594164453</v>
      </c>
      <c r="CN125">
        <f t="shared" si="378"/>
        <v>702</v>
      </c>
      <c r="CO125" s="9">
        <f t="shared" si="348"/>
        <v>2502.6737967914437</v>
      </c>
      <c r="CP125">
        <f t="shared" si="389"/>
        <v>695</v>
      </c>
      <c r="CQ125" s="9">
        <f t="shared" si="379"/>
        <v>2493.2735426008967</v>
      </c>
      <c r="CR125">
        <f t="shared" si="395"/>
        <v>690</v>
      </c>
      <c r="CS125" s="9">
        <f t="shared" si="390"/>
        <v>2486.4864864864867</v>
      </c>
      <c r="CT125">
        <f t="shared" si="396"/>
        <v>694</v>
      </c>
      <c r="CU125" s="9">
        <f t="shared" si="391"/>
        <v>2491.9210053859965</v>
      </c>
      <c r="CV125">
        <f t="shared" si="400"/>
        <v>718</v>
      </c>
      <c r="CW125" s="9">
        <f t="shared" si="398"/>
        <v>2523.7258347978909</v>
      </c>
    </row>
    <row r="126" spans="1:101" x14ac:dyDescent="0.25">
      <c r="A126">
        <v>4500</v>
      </c>
      <c r="B126">
        <v>0</v>
      </c>
      <c r="C126" s="9">
        <f t="shared" si="402"/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s="9">
        <v>0</v>
      </c>
      <c r="J126">
        <v>0</v>
      </c>
      <c r="K126" s="9">
        <v>0</v>
      </c>
      <c r="M126">
        <v>4500</v>
      </c>
      <c r="N126">
        <v>0</v>
      </c>
      <c r="O126" s="9">
        <f t="shared" ref="O126:O127" si="410">PRODUCT(M126,N126,1/(N126+300))</f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s="9">
        <v>0</v>
      </c>
      <c r="V126">
        <v>0</v>
      </c>
      <c r="W126" s="9">
        <v>0</v>
      </c>
      <c r="Y126">
        <v>4500</v>
      </c>
      <c r="Z126">
        <v>0</v>
      </c>
      <c r="AA126" s="9">
        <f t="shared" ref="AA126:AA127" si="411">PRODUCT(Y126,Z126,1/(Z126+300))</f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9">
        <v>0</v>
      </c>
      <c r="AH126">
        <v>0</v>
      </c>
      <c r="AI126" s="9">
        <v>0</v>
      </c>
      <c r="AK126">
        <v>4500</v>
      </c>
      <c r="AL126">
        <f t="shared" si="358"/>
        <v>770</v>
      </c>
      <c r="AM126" s="9">
        <f t="shared" si="328"/>
        <v>2911.7647058823532</v>
      </c>
      <c r="AN126">
        <f t="shared" si="359"/>
        <v>755</v>
      </c>
      <c r="AO126" s="9">
        <f t="shared" si="339"/>
        <v>2891.4893617021276</v>
      </c>
      <c r="AP126">
        <f t="shared" si="360"/>
        <v>744</v>
      </c>
      <c r="AQ126" s="9">
        <f t="shared" si="340"/>
        <v>2876.2886597938145</v>
      </c>
      <c r="AR126">
        <v>0</v>
      </c>
      <c r="AS126" s="9">
        <v>0</v>
      </c>
      <c r="AT126">
        <v>0</v>
      </c>
      <c r="AU126" s="9">
        <v>0</v>
      </c>
      <c r="AW126">
        <v>4500</v>
      </c>
      <c r="AX126">
        <f t="shared" si="361"/>
        <v>670</v>
      </c>
      <c r="AY126" s="9">
        <f t="shared" si="329"/>
        <v>2766.0550458715597</v>
      </c>
      <c r="AZ126">
        <f t="shared" si="362"/>
        <v>655</v>
      </c>
      <c r="BA126" s="9">
        <f t="shared" si="341"/>
        <v>2741.8604651162791</v>
      </c>
      <c r="BB126">
        <f t="shared" si="363"/>
        <v>644</v>
      </c>
      <c r="BC126" s="9">
        <f t="shared" si="342"/>
        <v>2723.6842105263158</v>
      </c>
      <c r="BD126">
        <f t="shared" si="383"/>
        <v>635</v>
      </c>
      <c r="BE126" s="9">
        <f t="shared" si="375"/>
        <v>2708.5308056872041</v>
      </c>
      <c r="BF126">
        <v>0</v>
      </c>
      <c r="BG126" s="9">
        <v>0</v>
      </c>
      <c r="BI126">
        <v>4500</v>
      </c>
      <c r="BJ126">
        <v>0</v>
      </c>
      <c r="BK126" s="9">
        <f t="shared" ref="BK126:BK127" si="412">PRODUCT(BI126,BJ126,1/(BJ126+300))</f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 s="9">
        <v>0</v>
      </c>
      <c r="BR126">
        <v>0</v>
      </c>
      <c r="BS126" s="9">
        <v>0</v>
      </c>
      <c r="BU126">
        <v>4500</v>
      </c>
      <c r="BV126">
        <f t="shared" si="367"/>
        <v>770</v>
      </c>
      <c r="BW126" s="9">
        <f t="shared" si="331"/>
        <v>2911.7647058823532</v>
      </c>
      <c r="BX126">
        <f t="shared" si="368"/>
        <v>755</v>
      </c>
      <c r="BY126" s="9">
        <f t="shared" si="345"/>
        <v>2891.4893617021276</v>
      </c>
      <c r="BZ126">
        <f t="shared" si="369"/>
        <v>744</v>
      </c>
      <c r="CA126" s="9">
        <f t="shared" si="346"/>
        <v>2876.2886597938145</v>
      </c>
      <c r="CB126">
        <f t="shared" si="386"/>
        <v>735</v>
      </c>
      <c r="CC126" s="9">
        <f t="shared" si="377"/>
        <v>2863.6363636363635</v>
      </c>
      <c r="CD126">
        <f t="shared" si="393"/>
        <v>728</v>
      </c>
      <c r="CE126" s="9">
        <f t="shared" si="387"/>
        <v>2853.6585365853657</v>
      </c>
      <c r="CF126">
        <v>0</v>
      </c>
      <c r="CG126" s="9">
        <f t="shared" si="388"/>
        <v>0</v>
      </c>
      <c r="CI126">
        <v>4500</v>
      </c>
      <c r="CJ126">
        <f t="shared" si="370"/>
        <v>720</v>
      </c>
      <c r="CK126" s="9">
        <f t="shared" si="332"/>
        <v>2842.1052631578946</v>
      </c>
      <c r="CL126">
        <f t="shared" si="371"/>
        <v>708</v>
      </c>
      <c r="CM126" s="9">
        <f t="shared" si="347"/>
        <v>2824.4680851063831</v>
      </c>
      <c r="CN126">
        <f t="shared" si="378"/>
        <v>698</v>
      </c>
      <c r="CO126" s="9">
        <f t="shared" si="348"/>
        <v>2809.4812164579607</v>
      </c>
      <c r="CP126">
        <f t="shared" si="389"/>
        <v>690</v>
      </c>
      <c r="CQ126" s="9">
        <f t="shared" si="379"/>
        <v>2797.2972972972975</v>
      </c>
      <c r="CR126">
        <f t="shared" si="395"/>
        <v>684</v>
      </c>
      <c r="CS126" s="9">
        <f t="shared" si="390"/>
        <v>2788.0434782608695</v>
      </c>
      <c r="CT126">
        <f t="shared" si="396"/>
        <v>687</v>
      </c>
      <c r="CU126" s="9">
        <f t="shared" si="391"/>
        <v>2792.6829268292681</v>
      </c>
      <c r="CV126">
        <f t="shared" si="400"/>
        <v>710</v>
      </c>
      <c r="CW126" s="9">
        <f t="shared" si="398"/>
        <v>2827.4336283185839</v>
      </c>
    </row>
    <row r="127" spans="1:101" x14ac:dyDescent="0.25">
      <c r="A127">
        <v>5000</v>
      </c>
      <c r="B127">
        <v>0</v>
      </c>
      <c r="C127" s="9">
        <f t="shared" si="402"/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s="9">
        <v>0</v>
      </c>
      <c r="J127">
        <v>0</v>
      </c>
      <c r="K127" s="9">
        <v>0</v>
      </c>
      <c r="M127">
        <v>5000</v>
      </c>
      <c r="N127">
        <v>0</v>
      </c>
      <c r="O127" s="9">
        <f t="shared" si="410"/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s="9">
        <v>0</v>
      </c>
      <c r="V127">
        <v>0</v>
      </c>
      <c r="W127" s="9">
        <v>0</v>
      </c>
      <c r="Y127">
        <v>5000</v>
      </c>
      <c r="Z127">
        <v>0</v>
      </c>
      <c r="AA127" s="9">
        <f t="shared" si="411"/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s="9">
        <v>0</v>
      </c>
      <c r="AH127">
        <v>0</v>
      </c>
      <c r="AI127" s="9">
        <v>0</v>
      </c>
      <c r="AK127">
        <v>5000</v>
      </c>
      <c r="AL127">
        <v>0</v>
      </c>
      <c r="AM127" s="9">
        <f t="shared" ref="AM127" si="413">PRODUCT(AK127,AL127,1/(AL127+300))</f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 s="9">
        <v>0</v>
      </c>
      <c r="AT127">
        <v>0</v>
      </c>
      <c r="AU127" s="9">
        <v>0</v>
      </c>
      <c r="AW127">
        <v>5000</v>
      </c>
      <c r="AX127">
        <f t="shared" si="361"/>
        <v>668</v>
      </c>
      <c r="AY127" s="9">
        <f t="shared" si="329"/>
        <v>3069.8529411764707</v>
      </c>
      <c r="AZ127">
        <f t="shared" si="362"/>
        <v>652</v>
      </c>
      <c r="BA127" s="9">
        <f t="shared" si="341"/>
        <v>3041.0447761194027</v>
      </c>
      <c r="BB127">
        <f t="shared" si="363"/>
        <v>640</v>
      </c>
      <c r="BC127" s="9">
        <f t="shared" si="342"/>
        <v>3018.867924528302</v>
      </c>
      <c r="BD127">
        <f t="shared" si="383"/>
        <v>630</v>
      </c>
      <c r="BE127" s="9">
        <f t="shared" si="375"/>
        <v>3000</v>
      </c>
      <c r="BF127">
        <v>0</v>
      </c>
      <c r="BG127" s="9">
        <v>0</v>
      </c>
      <c r="BI127">
        <v>5000</v>
      </c>
      <c r="BJ127">
        <v>0</v>
      </c>
      <c r="BK127" s="9">
        <f t="shared" si="412"/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 s="9">
        <v>0</v>
      </c>
      <c r="BR127">
        <v>0</v>
      </c>
      <c r="BS127" s="9">
        <v>0</v>
      </c>
      <c r="BU127">
        <v>5000</v>
      </c>
      <c r="BV127">
        <f t="shared" si="367"/>
        <v>768</v>
      </c>
      <c r="BW127" s="9">
        <f t="shared" si="331"/>
        <v>3232.3232323232323</v>
      </c>
      <c r="BX127">
        <f t="shared" si="368"/>
        <v>752</v>
      </c>
      <c r="BY127" s="9">
        <f t="shared" si="345"/>
        <v>3208.1911262798635</v>
      </c>
      <c r="BZ127">
        <f t="shared" si="369"/>
        <v>740</v>
      </c>
      <c r="CA127" s="9">
        <f t="shared" si="346"/>
        <v>3189.655172413793</v>
      </c>
      <c r="CB127">
        <f t="shared" si="386"/>
        <v>730</v>
      </c>
      <c r="CC127" s="9">
        <f t="shared" si="377"/>
        <v>3173.913043478261</v>
      </c>
      <c r="CD127">
        <f t="shared" si="393"/>
        <v>722</v>
      </c>
      <c r="CE127" s="9">
        <f t="shared" si="387"/>
        <v>3161.1208406304727</v>
      </c>
      <c r="CF127">
        <v>0</v>
      </c>
      <c r="CG127">
        <v>0</v>
      </c>
      <c r="CI127">
        <v>5000</v>
      </c>
      <c r="CJ127">
        <f t="shared" si="370"/>
        <v>718</v>
      </c>
      <c r="CK127" s="9">
        <f t="shared" si="332"/>
        <v>3154.6572934973638</v>
      </c>
      <c r="CL127">
        <f t="shared" si="371"/>
        <v>705</v>
      </c>
      <c r="CM127" s="9">
        <f t="shared" si="347"/>
        <v>3133.3333333333335</v>
      </c>
      <c r="CN127">
        <f t="shared" si="378"/>
        <v>694</v>
      </c>
      <c r="CO127" s="9">
        <f t="shared" si="348"/>
        <v>3114.9012567324958</v>
      </c>
      <c r="CP127">
        <f t="shared" si="389"/>
        <v>685</v>
      </c>
      <c r="CQ127" s="9">
        <f t="shared" si="379"/>
        <v>3099.5475113122175</v>
      </c>
      <c r="CR127">
        <f t="shared" si="395"/>
        <v>678</v>
      </c>
      <c r="CS127" s="9">
        <f t="shared" si="390"/>
        <v>3087.4316939890709</v>
      </c>
      <c r="CT127">
        <f t="shared" si="396"/>
        <v>680</v>
      </c>
      <c r="CU127" s="9">
        <f t="shared" si="391"/>
        <v>3090.909090909091</v>
      </c>
      <c r="CV127">
        <f t="shared" si="400"/>
        <v>702</v>
      </c>
      <c r="CW127" s="9">
        <f t="shared" si="398"/>
        <v>3128.3422459893045</v>
      </c>
    </row>
    <row r="128" spans="1:101" x14ac:dyDescent="0.25">
      <c r="A128">
        <v>5500</v>
      </c>
      <c r="B128">
        <v>0</v>
      </c>
      <c r="C128" s="9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s="9">
        <v>0</v>
      </c>
      <c r="J128">
        <v>0</v>
      </c>
      <c r="K128" s="9">
        <v>0</v>
      </c>
      <c r="M128" s="9">
        <v>5500</v>
      </c>
      <c r="N128">
        <v>0</v>
      </c>
      <c r="O128" s="9">
        <v>0</v>
      </c>
      <c r="P128">
        <v>0</v>
      </c>
      <c r="Q128" s="9">
        <v>0</v>
      </c>
      <c r="R128">
        <v>0</v>
      </c>
      <c r="S128" s="9">
        <v>0</v>
      </c>
      <c r="T128">
        <v>0</v>
      </c>
      <c r="U128" s="9">
        <v>0</v>
      </c>
      <c r="V128">
        <v>0</v>
      </c>
      <c r="W128" s="9">
        <v>0</v>
      </c>
      <c r="Y128" s="9">
        <v>5500</v>
      </c>
      <c r="Z128">
        <v>0</v>
      </c>
      <c r="AA128" s="9">
        <v>0</v>
      </c>
      <c r="AB128">
        <v>0</v>
      </c>
      <c r="AC128" s="9">
        <v>0</v>
      </c>
      <c r="AD128">
        <v>0</v>
      </c>
      <c r="AE128" s="9">
        <v>0</v>
      </c>
      <c r="AF128">
        <v>0</v>
      </c>
      <c r="AG128" s="9">
        <v>0</v>
      </c>
      <c r="AH128">
        <v>0</v>
      </c>
      <c r="AI128" s="9">
        <v>0</v>
      </c>
      <c r="AK128" s="9">
        <v>5500</v>
      </c>
      <c r="AL128">
        <v>0</v>
      </c>
      <c r="AM128" s="9">
        <v>0</v>
      </c>
      <c r="AN128">
        <v>0</v>
      </c>
      <c r="AO128" s="9">
        <v>0</v>
      </c>
      <c r="AP128">
        <v>0</v>
      </c>
      <c r="AQ128" s="9">
        <v>0</v>
      </c>
      <c r="AR128">
        <v>0</v>
      </c>
      <c r="AS128" s="9">
        <v>0</v>
      </c>
      <c r="AT128">
        <v>0</v>
      </c>
      <c r="AU128" s="9">
        <v>0</v>
      </c>
      <c r="AW128" s="9">
        <v>5500</v>
      </c>
      <c r="AX128">
        <f t="shared" si="361"/>
        <v>666</v>
      </c>
      <c r="AY128" s="9">
        <f t="shared" si="329"/>
        <v>3372.9281767955804</v>
      </c>
      <c r="AZ128">
        <f t="shared" si="362"/>
        <v>649</v>
      </c>
      <c r="BA128" s="9">
        <f t="shared" si="341"/>
        <v>3339.1019644527596</v>
      </c>
      <c r="BB128">
        <f t="shared" si="363"/>
        <v>636</v>
      </c>
      <c r="BC128" s="9">
        <f t="shared" si="342"/>
        <v>3312.5</v>
      </c>
      <c r="BD128">
        <f t="shared" si="383"/>
        <v>625</v>
      </c>
      <c r="BE128" s="9">
        <f t="shared" si="375"/>
        <v>3289.4736842105262</v>
      </c>
      <c r="BF128">
        <v>0</v>
      </c>
      <c r="BG128" s="9">
        <v>0</v>
      </c>
      <c r="BI128" s="9">
        <v>5500</v>
      </c>
      <c r="BJ128">
        <v>0</v>
      </c>
      <c r="BK128" s="9">
        <v>0</v>
      </c>
      <c r="BL128">
        <v>0</v>
      </c>
      <c r="BM128" s="9">
        <v>0</v>
      </c>
      <c r="BN128">
        <v>0</v>
      </c>
      <c r="BO128" s="9">
        <v>0</v>
      </c>
      <c r="BP128">
        <v>0</v>
      </c>
      <c r="BQ128" s="9">
        <v>0</v>
      </c>
      <c r="BR128">
        <v>0</v>
      </c>
      <c r="BS128" s="9">
        <v>0</v>
      </c>
      <c r="BU128" s="9">
        <v>5500</v>
      </c>
      <c r="BV128">
        <f t="shared" si="367"/>
        <v>766</v>
      </c>
      <c r="BW128" s="9">
        <f t="shared" si="331"/>
        <v>3552.2765598650926</v>
      </c>
      <c r="BX128">
        <f t="shared" si="368"/>
        <v>749</v>
      </c>
      <c r="BY128" s="9">
        <f t="shared" si="345"/>
        <v>3523.9520958083831</v>
      </c>
      <c r="BZ128">
        <f t="shared" si="369"/>
        <v>736</v>
      </c>
      <c r="CA128" s="9">
        <f t="shared" si="346"/>
        <v>3501.7301038062283</v>
      </c>
      <c r="CB128">
        <f t="shared" si="386"/>
        <v>725</v>
      </c>
      <c r="CC128" s="9">
        <f t="shared" si="377"/>
        <v>3482.5327510917032</v>
      </c>
      <c r="CD128">
        <f t="shared" si="393"/>
        <v>716</v>
      </c>
      <c r="CE128" s="9">
        <f t="shared" si="387"/>
        <v>3466.5492957746478</v>
      </c>
      <c r="CF128">
        <v>0</v>
      </c>
      <c r="CG128">
        <v>0</v>
      </c>
      <c r="CI128" s="9">
        <v>5500</v>
      </c>
      <c r="CJ128">
        <f t="shared" si="370"/>
        <v>716</v>
      </c>
      <c r="CK128" s="9">
        <f t="shared" si="332"/>
        <v>3466.5492957746478</v>
      </c>
      <c r="CL128">
        <f t="shared" si="371"/>
        <v>702</v>
      </c>
      <c r="CM128" s="9">
        <f t="shared" si="347"/>
        <v>3441.1764705882351</v>
      </c>
      <c r="CN128">
        <f t="shared" si="378"/>
        <v>690</v>
      </c>
      <c r="CO128" s="9">
        <f t="shared" si="348"/>
        <v>3418.9189189189192</v>
      </c>
      <c r="CP128">
        <f t="shared" si="389"/>
        <v>680</v>
      </c>
      <c r="CQ128" s="9">
        <f t="shared" si="379"/>
        <v>3400</v>
      </c>
      <c r="CR128">
        <f t="shared" si="395"/>
        <v>672</v>
      </c>
      <c r="CS128" s="9">
        <f t="shared" si="390"/>
        <v>3384.6153846153848</v>
      </c>
      <c r="CT128">
        <f t="shared" si="396"/>
        <v>673</v>
      </c>
      <c r="CU128" s="9">
        <f t="shared" si="391"/>
        <v>3386.550777676121</v>
      </c>
      <c r="CV128">
        <f t="shared" si="400"/>
        <v>694</v>
      </c>
      <c r="CW128" s="9">
        <f t="shared" si="398"/>
        <v>3426.3913824057454</v>
      </c>
    </row>
    <row r="129" spans="1:101" x14ac:dyDescent="0.25">
      <c r="A129">
        <v>6000</v>
      </c>
      <c r="B129">
        <v>0</v>
      </c>
      <c r="C129" s="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s="9">
        <v>0</v>
      </c>
      <c r="J129">
        <v>0</v>
      </c>
      <c r="K129" s="9">
        <v>0</v>
      </c>
      <c r="M129" s="9">
        <v>6000</v>
      </c>
      <c r="N129">
        <v>0</v>
      </c>
      <c r="O129" s="9">
        <v>0</v>
      </c>
      <c r="P129">
        <v>0</v>
      </c>
      <c r="Q129" s="9">
        <v>0</v>
      </c>
      <c r="R129">
        <v>0</v>
      </c>
      <c r="S129" s="9">
        <v>0</v>
      </c>
      <c r="T129">
        <v>0</v>
      </c>
      <c r="U129" s="9">
        <v>0</v>
      </c>
      <c r="V129">
        <v>0</v>
      </c>
      <c r="W129" s="9">
        <v>0</v>
      </c>
      <c r="Y129" s="9">
        <v>6000</v>
      </c>
      <c r="Z129">
        <v>0</v>
      </c>
      <c r="AA129" s="9">
        <v>0</v>
      </c>
      <c r="AB129">
        <v>0</v>
      </c>
      <c r="AC129" s="9">
        <v>0</v>
      </c>
      <c r="AD129">
        <v>0</v>
      </c>
      <c r="AE129" s="9">
        <v>0</v>
      </c>
      <c r="AF129">
        <v>0</v>
      </c>
      <c r="AG129" s="9">
        <v>0</v>
      </c>
      <c r="AH129">
        <v>0</v>
      </c>
      <c r="AI129" s="9">
        <v>0</v>
      </c>
      <c r="AK129" s="9">
        <v>6000</v>
      </c>
      <c r="AL129">
        <v>0</v>
      </c>
      <c r="AM129" s="9">
        <v>0</v>
      </c>
      <c r="AN129">
        <v>0</v>
      </c>
      <c r="AO129" s="9">
        <v>0</v>
      </c>
      <c r="AP129">
        <v>0</v>
      </c>
      <c r="AQ129" s="9">
        <v>0</v>
      </c>
      <c r="AR129">
        <v>0</v>
      </c>
      <c r="AS129" s="9">
        <v>0</v>
      </c>
      <c r="AT129">
        <v>0</v>
      </c>
      <c r="AU129" s="9">
        <v>0</v>
      </c>
      <c r="AW129" s="9">
        <v>6000</v>
      </c>
      <c r="AX129">
        <f t="shared" si="361"/>
        <v>664</v>
      </c>
      <c r="AY129" s="9">
        <f t="shared" si="329"/>
        <v>3675.2767527675273</v>
      </c>
      <c r="AZ129">
        <f t="shared" si="362"/>
        <v>646</v>
      </c>
      <c r="BA129" s="9">
        <f t="shared" si="341"/>
        <v>3636.0225140712946</v>
      </c>
      <c r="BB129">
        <f t="shared" si="363"/>
        <v>632</v>
      </c>
      <c r="BC129" s="9">
        <f t="shared" si="342"/>
        <v>3604.5627376425855</v>
      </c>
      <c r="BD129">
        <v>0</v>
      </c>
      <c r="BE129" s="9">
        <f t="shared" si="375"/>
        <v>0</v>
      </c>
      <c r="BF129">
        <v>0</v>
      </c>
      <c r="BG129" s="9">
        <v>0</v>
      </c>
      <c r="BI129" s="9">
        <v>6000</v>
      </c>
      <c r="BJ129">
        <v>0</v>
      </c>
      <c r="BK129" s="9">
        <v>0</v>
      </c>
      <c r="BL129">
        <v>0</v>
      </c>
      <c r="BM129" s="9">
        <v>0</v>
      </c>
      <c r="BN129">
        <v>0</v>
      </c>
      <c r="BO129" s="9">
        <v>0</v>
      </c>
      <c r="BP129">
        <v>0</v>
      </c>
      <c r="BQ129" s="9">
        <v>0</v>
      </c>
      <c r="BR129">
        <v>0</v>
      </c>
      <c r="BS129" s="9">
        <v>0</v>
      </c>
      <c r="BU129" s="9">
        <v>6000</v>
      </c>
      <c r="BV129">
        <f t="shared" si="367"/>
        <v>764</v>
      </c>
      <c r="BW129" s="9">
        <f t="shared" si="331"/>
        <v>3871.6216216216217</v>
      </c>
      <c r="BX129">
        <f t="shared" si="368"/>
        <v>746</v>
      </c>
      <c r="BY129" s="9">
        <f t="shared" si="345"/>
        <v>3838.7650085763294</v>
      </c>
      <c r="BZ129">
        <f t="shared" si="369"/>
        <v>732</v>
      </c>
      <c r="CA129" s="9">
        <f t="shared" si="346"/>
        <v>3812.5</v>
      </c>
      <c r="CB129">
        <f t="shared" si="386"/>
        <v>720</v>
      </c>
      <c r="CC129" s="9">
        <f t="shared" si="377"/>
        <v>3789.4736842105262</v>
      </c>
      <c r="CD129">
        <f t="shared" si="393"/>
        <v>710</v>
      </c>
      <c r="CE129" s="9">
        <f t="shared" si="387"/>
        <v>3769.9115044247787</v>
      </c>
      <c r="CF129">
        <v>0</v>
      </c>
      <c r="CG129">
        <v>0</v>
      </c>
      <c r="CI129" s="9">
        <v>6000</v>
      </c>
      <c r="CJ129">
        <f t="shared" si="370"/>
        <v>714</v>
      </c>
      <c r="CK129" s="9">
        <f t="shared" si="332"/>
        <v>3777.7777777777774</v>
      </c>
      <c r="CL129">
        <f t="shared" si="371"/>
        <v>699</v>
      </c>
      <c r="CM129" s="9">
        <f t="shared" si="347"/>
        <v>3747.9892761394103</v>
      </c>
      <c r="CN129">
        <f t="shared" si="378"/>
        <v>686</v>
      </c>
      <c r="CO129" s="9">
        <f t="shared" si="348"/>
        <v>3721.5189873417721</v>
      </c>
      <c r="CP129">
        <f t="shared" si="389"/>
        <v>675</v>
      </c>
      <c r="CQ129" s="9">
        <f t="shared" si="379"/>
        <v>3698.6301369863013</v>
      </c>
      <c r="CR129">
        <f t="shared" si="395"/>
        <v>666</v>
      </c>
      <c r="CS129" s="9">
        <f t="shared" si="390"/>
        <v>3679.558011049724</v>
      </c>
      <c r="CT129">
        <f t="shared" si="396"/>
        <v>666</v>
      </c>
      <c r="CU129" s="9">
        <f t="shared" si="391"/>
        <v>3679.558011049724</v>
      </c>
      <c r="CV129">
        <f t="shared" si="400"/>
        <v>686</v>
      </c>
      <c r="CW129" s="9">
        <f t="shared" si="398"/>
        <v>3721.5189873417721</v>
      </c>
    </row>
    <row r="130" spans="1:101" x14ac:dyDescent="0.25">
      <c r="A130">
        <v>6500</v>
      </c>
      <c r="B130">
        <v>0</v>
      </c>
      <c r="C130" s="9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s="9">
        <v>0</v>
      </c>
      <c r="J130">
        <v>0</v>
      </c>
      <c r="K130" s="9">
        <v>0</v>
      </c>
      <c r="M130">
        <v>6500</v>
      </c>
      <c r="N130">
        <v>0</v>
      </c>
      <c r="O130" s="9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s="9">
        <v>0</v>
      </c>
      <c r="V130">
        <v>0</v>
      </c>
      <c r="W130" s="9">
        <v>0</v>
      </c>
      <c r="Y130">
        <v>6500</v>
      </c>
      <c r="Z130">
        <v>0</v>
      </c>
      <c r="AA130" s="9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s="9">
        <v>0</v>
      </c>
      <c r="AH130">
        <v>0</v>
      </c>
      <c r="AI130" s="9">
        <v>0</v>
      </c>
      <c r="AK130">
        <v>6500</v>
      </c>
      <c r="AL130">
        <v>0</v>
      </c>
      <c r="AM130" s="9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 s="9">
        <v>0</v>
      </c>
      <c r="AT130">
        <v>0</v>
      </c>
      <c r="AU130" s="9">
        <v>0</v>
      </c>
      <c r="AW130" s="9">
        <v>6500</v>
      </c>
      <c r="AX130">
        <f t="shared" si="361"/>
        <v>662</v>
      </c>
      <c r="AY130" s="9">
        <f t="shared" si="329"/>
        <v>3976.8946395563771</v>
      </c>
      <c r="AZ130">
        <f t="shared" si="362"/>
        <v>643</v>
      </c>
      <c r="BA130" s="9">
        <f t="shared" si="341"/>
        <v>3931.7968015051742</v>
      </c>
      <c r="BB130">
        <f t="shared" si="363"/>
        <v>628</v>
      </c>
      <c r="BC130" s="9">
        <f t="shared" si="342"/>
        <v>3895.0381679389311</v>
      </c>
      <c r="BD130">
        <v>0</v>
      </c>
      <c r="BE130" s="9">
        <f t="shared" si="375"/>
        <v>0</v>
      </c>
      <c r="BF130">
        <v>0</v>
      </c>
      <c r="BG130" s="9">
        <v>0</v>
      </c>
      <c r="BI130">
        <v>6500</v>
      </c>
      <c r="BJ130">
        <v>0</v>
      </c>
      <c r="BK130" s="9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 s="9">
        <v>0</v>
      </c>
      <c r="BR130">
        <v>0</v>
      </c>
      <c r="BS130" s="9">
        <v>0</v>
      </c>
      <c r="BU130">
        <v>6500</v>
      </c>
      <c r="BV130">
        <f t="shared" si="367"/>
        <v>762</v>
      </c>
      <c r="BW130" s="9">
        <f t="shared" si="331"/>
        <v>4190.3553299492387</v>
      </c>
      <c r="BX130">
        <f t="shared" si="368"/>
        <v>743</v>
      </c>
      <c r="BY130" s="9">
        <f t="shared" si="345"/>
        <v>4152.62252794497</v>
      </c>
      <c r="BZ130">
        <f t="shared" si="369"/>
        <v>728</v>
      </c>
      <c r="CA130" s="9">
        <f t="shared" si="346"/>
        <v>4121.9512195121952</v>
      </c>
      <c r="CB130">
        <f t="shared" si="386"/>
        <v>715</v>
      </c>
      <c r="CC130" s="9">
        <f t="shared" si="377"/>
        <v>4094.7136563876652</v>
      </c>
      <c r="CD130">
        <f t="shared" si="393"/>
        <v>704</v>
      </c>
      <c r="CE130" s="9">
        <f t="shared" si="387"/>
        <v>4071.1743772241989</v>
      </c>
      <c r="CF130">
        <v>0</v>
      </c>
      <c r="CG130">
        <v>0</v>
      </c>
      <c r="CI130">
        <v>6500</v>
      </c>
      <c r="CJ130">
        <f t="shared" si="370"/>
        <v>712</v>
      </c>
      <c r="CK130" s="9">
        <f t="shared" si="332"/>
        <v>4088.3392226148408</v>
      </c>
      <c r="CL130">
        <f t="shared" si="371"/>
        <v>696</v>
      </c>
      <c r="CM130" s="9">
        <f t="shared" si="347"/>
        <v>4053.7634408602153</v>
      </c>
      <c r="CN130">
        <f t="shared" si="378"/>
        <v>682</v>
      </c>
      <c r="CO130" s="9">
        <f t="shared" si="348"/>
        <v>4022.6860254083481</v>
      </c>
      <c r="CP130">
        <f t="shared" si="389"/>
        <v>670</v>
      </c>
      <c r="CQ130" s="9">
        <f t="shared" si="379"/>
        <v>3995.4128440366976</v>
      </c>
      <c r="CR130">
        <f t="shared" si="395"/>
        <v>660</v>
      </c>
      <c r="CS130" s="9">
        <f t="shared" si="390"/>
        <v>3972.2222222222222</v>
      </c>
      <c r="CT130">
        <f t="shared" si="396"/>
        <v>659</v>
      </c>
      <c r="CU130" s="9">
        <f t="shared" si="391"/>
        <v>3969.8795180722891</v>
      </c>
      <c r="CV130">
        <f t="shared" si="400"/>
        <v>678</v>
      </c>
      <c r="CW130" s="9">
        <f t="shared" si="398"/>
        <v>4013.6612021857923</v>
      </c>
    </row>
    <row r="131" spans="1:101" x14ac:dyDescent="0.25">
      <c r="A131">
        <v>7000</v>
      </c>
      <c r="B131">
        <v>0</v>
      </c>
      <c r="C131" s="9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s="9">
        <v>0</v>
      </c>
      <c r="J131">
        <v>0</v>
      </c>
      <c r="K131" s="9">
        <v>0</v>
      </c>
      <c r="M131">
        <v>7000</v>
      </c>
      <c r="N131">
        <v>0</v>
      </c>
      <c r="O131" s="9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s="9">
        <v>0</v>
      </c>
      <c r="V131">
        <v>0</v>
      </c>
      <c r="W131" s="9">
        <v>0</v>
      </c>
      <c r="Y131">
        <v>7000</v>
      </c>
      <c r="Z131">
        <v>0</v>
      </c>
      <c r="AA131" s="9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9">
        <v>0</v>
      </c>
      <c r="AH131">
        <v>0</v>
      </c>
      <c r="AI131" s="9">
        <v>0</v>
      </c>
      <c r="AK131">
        <v>7000</v>
      </c>
      <c r="AL131">
        <v>0</v>
      </c>
      <c r="AM131" s="9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 s="9">
        <v>0</v>
      </c>
      <c r="AT131">
        <v>0</v>
      </c>
      <c r="AU131" s="9">
        <v>0</v>
      </c>
      <c r="AW131">
        <v>7000</v>
      </c>
      <c r="AX131">
        <v>0</v>
      </c>
      <c r="AY131" s="9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 s="9">
        <v>0</v>
      </c>
      <c r="BF131">
        <v>0</v>
      </c>
      <c r="BG131" s="9">
        <v>0</v>
      </c>
      <c r="BI131">
        <v>7000</v>
      </c>
      <c r="BJ131">
        <v>0</v>
      </c>
      <c r="BK131" s="9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 s="9">
        <v>0</v>
      </c>
      <c r="BR131">
        <v>0</v>
      </c>
      <c r="BS131" s="9">
        <v>0</v>
      </c>
      <c r="BU131">
        <v>7000</v>
      </c>
      <c r="BV131">
        <f t="shared" si="367"/>
        <v>760</v>
      </c>
      <c r="BW131" s="9">
        <f t="shared" si="331"/>
        <v>4508.4745762711864</v>
      </c>
      <c r="BX131">
        <f t="shared" si="368"/>
        <v>740</v>
      </c>
      <c r="BY131" s="9">
        <f t="shared" si="345"/>
        <v>4465.5172413793107</v>
      </c>
      <c r="BZ131">
        <f t="shared" si="369"/>
        <v>724</v>
      </c>
      <c r="CA131" s="9">
        <f t="shared" si="346"/>
        <v>4430.0699300699298</v>
      </c>
      <c r="CB131">
        <f t="shared" si="386"/>
        <v>710</v>
      </c>
      <c r="CC131" s="9">
        <f t="shared" si="377"/>
        <v>4398.2300884955748</v>
      </c>
      <c r="CD131">
        <f t="shared" si="393"/>
        <v>698</v>
      </c>
      <c r="CE131" s="9">
        <f t="shared" si="387"/>
        <v>4370.3041144901608</v>
      </c>
      <c r="CF131">
        <v>0</v>
      </c>
      <c r="CG131">
        <v>0</v>
      </c>
      <c r="CI131">
        <v>7000</v>
      </c>
      <c r="CJ131">
        <f t="shared" si="370"/>
        <v>710</v>
      </c>
      <c r="CK131" s="9">
        <f t="shared" si="332"/>
        <v>4398.2300884955748</v>
      </c>
      <c r="CL131">
        <f t="shared" si="371"/>
        <v>693</v>
      </c>
      <c r="CM131" s="9">
        <f t="shared" si="347"/>
        <v>4358.4905660377362</v>
      </c>
      <c r="CN131">
        <f t="shared" si="378"/>
        <v>678</v>
      </c>
      <c r="CO131" s="9">
        <f t="shared" si="348"/>
        <v>4322.4043715846992</v>
      </c>
      <c r="CP131">
        <f t="shared" si="389"/>
        <v>665</v>
      </c>
      <c r="CQ131" s="9">
        <f t="shared" si="379"/>
        <v>4290.322580645161</v>
      </c>
      <c r="CR131">
        <f t="shared" si="395"/>
        <v>654</v>
      </c>
      <c r="CS131" s="9">
        <f t="shared" si="390"/>
        <v>4262.5698324022342</v>
      </c>
      <c r="CT131">
        <f t="shared" si="396"/>
        <v>652</v>
      </c>
      <c r="CU131" s="9">
        <f t="shared" si="391"/>
        <v>4257.4626865671644</v>
      </c>
      <c r="CV131">
        <f t="shared" si="400"/>
        <v>670</v>
      </c>
      <c r="CW131" s="9">
        <f t="shared" si="398"/>
        <v>4302.7522935779816</v>
      </c>
    </row>
    <row r="132" spans="1:101" x14ac:dyDescent="0.25">
      <c r="A132">
        <v>7500</v>
      </c>
      <c r="B132">
        <v>0</v>
      </c>
      <c r="C132" s="9">
        <v>0</v>
      </c>
      <c r="D132">
        <v>0</v>
      </c>
      <c r="E132" s="9">
        <v>0</v>
      </c>
      <c r="F132">
        <v>0</v>
      </c>
      <c r="G132" s="9">
        <v>0</v>
      </c>
      <c r="H132">
        <v>0</v>
      </c>
      <c r="I132" s="9">
        <v>0</v>
      </c>
      <c r="J132">
        <v>0</v>
      </c>
      <c r="K132" s="9">
        <v>0</v>
      </c>
      <c r="M132">
        <v>7500</v>
      </c>
      <c r="N132">
        <v>0</v>
      </c>
      <c r="O132" s="9">
        <v>0</v>
      </c>
      <c r="P132">
        <v>0</v>
      </c>
      <c r="Q132" s="9">
        <v>0</v>
      </c>
      <c r="R132">
        <v>0</v>
      </c>
      <c r="S132" s="9">
        <v>0</v>
      </c>
      <c r="T132">
        <v>0</v>
      </c>
      <c r="U132" s="9">
        <v>0</v>
      </c>
      <c r="V132">
        <v>0</v>
      </c>
      <c r="W132" s="9">
        <v>0</v>
      </c>
      <c r="Y132">
        <v>7500</v>
      </c>
      <c r="Z132">
        <v>0</v>
      </c>
      <c r="AA132" s="9">
        <v>0</v>
      </c>
      <c r="AB132">
        <v>0</v>
      </c>
      <c r="AC132" s="9">
        <v>0</v>
      </c>
      <c r="AD132">
        <v>0</v>
      </c>
      <c r="AE132" s="9">
        <v>0</v>
      </c>
      <c r="AF132">
        <v>0</v>
      </c>
      <c r="AG132" s="9">
        <v>0</v>
      </c>
      <c r="AH132">
        <v>0</v>
      </c>
      <c r="AI132" s="9">
        <v>0</v>
      </c>
      <c r="AK132">
        <v>7500</v>
      </c>
      <c r="AL132">
        <v>0</v>
      </c>
      <c r="AM132" s="9">
        <v>0</v>
      </c>
      <c r="AN132">
        <v>0</v>
      </c>
      <c r="AO132" s="9">
        <v>0</v>
      </c>
      <c r="AP132">
        <v>0</v>
      </c>
      <c r="AQ132" s="9">
        <v>0</v>
      </c>
      <c r="AR132">
        <v>0</v>
      </c>
      <c r="AS132" s="9">
        <v>0</v>
      </c>
      <c r="AT132">
        <v>0</v>
      </c>
      <c r="AU132" s="9">
        <v>0</v>
      </c>
      <c r="AW132">
        <v>7500</v>
      </c>
      <c r="AX132">
        <v>0</v>
      </c>
      <c r="AY132" s="9">
        <v>0</v>
      </c>
      <c r="AZ132">
        <v>0</v>
      </c>
      <c r="BA132" s="9">
        <v>0</v>
      </c>
      <c r="BB132">
        <v>0</v>
      </c>
      <c r="BC132" s="9">
        <v>0</v>
      </c>
      <c r="BD132">
        <v>0</v>
      </c>
      <c r="BE132" s="9">
        <v>0</v>
      </c>
      <c r="BF132">
        <v>0</v>
      </c>
      <c r="BG132" s="9">
        <v>0</v>
      </c>
      <c r="BI132">
        <v>7500</v>
      </c>
      <c r="BJ132">
        <v>0</v>
      </c>
      <c r="BK132" s="9">
        <v>0</v>
      </c>
      <c r="BL132">
        <v>0</v>
      </c>
      <c r="BM132" s="9">
        <v>0</v>
      </c>
      <c r="BN132">
        <v>0</v>
      </c>
      <c r="BO132" s="9">
        <v>0</v>
      </c>
      <c r="BP132">
        <v>0</v>
      </c>
      <c r="BQ132" s="9">
        <v>0</v>
      </c>
      <c r="BR132">
        <v>0</v>
      </c>
      <c r="BS132" s="9">
        <v>0</v>
      </c>
      <c r="BU132">
        <v>7500</v>
      </c>
      <c r="BV132">
        <f t="shared" si="367"/>
        <v>758</v>
      </c>
      <c r="BW132" s="9">
        <f t="shared" si="331"/>
        <v>4825.9762308998297</v>
      </c>
      <c r="BX132">
        <f t="shared" si="368"/>
        <v>737</v>
      </c>
      <c r="BY132" s="9">
        <f t="shared" si="345"/>
        <v>4777.4416594641316</v>
      </c>
      <c r="BZ132">
        <f t="shared" si="369"/>
        <v>720</v>
      </c>
      <c r="CA132" s="9">
        <f t="shared" si="346"/>
        <v>4736.8421052631584</v>
      </c>
      <c r="CB132">
        <f t="shared" si="386"/>
        <v>705</v>
      </c>
      <c r="CC132" s="9">
        <f t="shared" si="377"/>
        <v>4700</v>
      </c>
      <c r="CD132">
        <f t="shared" si="393"/>
        <v>692</v>
      </c>
      <c r="CE132" s="9">
        <f t="shared" si="387"/>
        <v>4667.2661870503598</v>
      </c>
      <c r="CF132">
        <v>0</v>
      </c>
      <c r="CG132">
        <v>0</v>
      </c>
      <c r="CI132">
        <v>7500</v>
      </c>
      <c r="CJ132">
        <f t="shared" si="370"/>
        <v>708</v>
      </c>
      <c r="CK132" s="9">
        <f t="shared" si="332"/>
        <v>4707.4468085106382</v>
      </c>
      <c r="CL132">
        <f t="shared" si="371"/>
        <v>690</v>
      </c>
      <c r="CM132" s="9">
        <f t="shared" si="347"/>
        <v>4662.1621621621625</v>
      </c>
      <c r="CN132">
        <f t="shared" si="378"/>
        <v>674</v>
      </c>
      <c r="CO132" s="9">
        <f t="shared" si="348"/>
        <v>4620.6581352833637</v>
      </c>
      <c r="CP132">
        <f t="shared" si="389"/>
        <v>660</v>
      </c>
      <c r="CQ132" s="9">
        <f t="shared" si="379"/>
        <v>4583.3333333333339</v>
      </c>
      <c r="CR132">
        <f t="shared" si="395"/>
        <v>648</v>
      </c>
      <c r="CS132" s="9">
        <f t="shared" si="390"/>
        <v>4550.5617977528091</v>
      </c>
      <c r="CT132">
        <f t="shared" si="396"/>
        <v>645</v>
      </c>
      <c r="CU132" s="9">
        <f t="shared" si="391"/>
        <v>4542.2535211267605</v>
      </c>
      <c r="CV132">
        <f t="shared" si="400"/>
        <v>662</v>
      </c>
      <c r="CW132" s="9">
        <f t="shared" si="398"/>
        <v>4588.7245841035119</v>
      </c>
    </row>
    <row r="133" spans="1:101" x14ac:dyDescent="0.25">
      <c r="A133">
        <v>8000</v>
      </c>
      <c r="B133">
        <v>0</v>
      </c>
      <c r="C133" s="9">
        <v>0</v>
      </c>
      <c r="D133">
        <v>0</v>
      </c>
      <c r="E133" s="9">
        <v>0</v>
      </c>
      <c r="F133">
        <v>0</v>
      </c>
      <c r="G133" s="9">
        <v>0</v>
      </c>
      <c r="H133">
        <v>0</v>
      </c>
      <c r="I133" s="9">
        <v>0</v>
      </c>
      <c r="J133">
        <v>0</v>
      </c>
      <c r="K133" s="9">
        <v>0</v>
      </c>
      <c r="M133">
        <v>8000</v>
      </c>
      <c r="N133">
        <v>0</v>
      </c>
      <c r="O133" s="9">
        <v>0</v>
      </c>
      <c r="P133">
        <v>0</v>
      </c>
      <c r="Q133" s="9">
        <v>0</v>
      </c>
      <c r="R133">
        <v>0</v>
      </c>
      <c r="S133" s="9">
        <v>0</v>
      </c>
      <c r="T133">
        <v>0</v>
      </c>
      <c r="U133" s="9">
        <v>0</v>
      </c>
      <c r="V133">
        <v>0</v>
      </c>
      <c r="W133" s="9">
        <v>0</v>
      </c>
      <c r="Y133">
        <v>8000</v>
      </c>
      <c r="Z133">
        <v>0</v>
      </c>
      <c r="AA133" s="9">
        <v>0</v>
      </c>
      <c r="AB133">
        <v>0</v>
      </c>
      <c r="AC133" s="9">
        <v>0</v>
      </c>
      <c r="AD133">
        <v>0</v>
      </c>
      <c r="AE133" s="9">
        <v>0</v>
      </c>
      <c r="AF133">
        <v>0</v>
      </c>
      <c r="AG133" s="9">
        <v>0</v>
      </c>
      <c r="AH133">
        <v>0</v>
      </c>
      <c r="AI133" s="9">
        <v>0</v>
      </c>
      <c r="AK133">
        <v>8000</v>
      </c>
      <c r="AL133">
        <v>0</v>
      </c>
      <c r="AM133" s="9">
        <v>0</v>
      </c>
      <c r="AN133">
        <v>0</v>
      </c>
      <c r="AO133" s="9">
        <v>0</v>
      </c>
      <c r="AP133">
        <v>0</v>
      </c>
      <c r="AQ133" s="9">
        <v>0</v>
      </c>
      <c r="AR133">
        <v>0</v>
      </c>
      <c r="AS133" s="9">
        <v>0</v>
      </c>
      <c r="AT133">
        <v>0</v>
      </c>
      <c r="AU133" s="9">
        <v>0</v>
      </c>
      <c r="AW133">
        <v>8000</v>
      </c>
      <c r="AX133">
        <v>0</v>
      </c>
      <c r="AY133" s="9">
        <v>0</v>
      </c>
      <c r="AZ133">
        <v>0</v>
      </c>
      <c r="BA133" s="9">
        <v>0</v>
      </c>
      <c r="BB133">
        <v>0</v>
      </c>
      <c r="BC133" s="9">
        <v>0</v>
      </c>
      <c r="BD133">
        <v>0</v>
      </c>
      <c r="BE133" s="9">
        <v>0</v>
      </c>
      <c r="BF133">
        <v>0</v>
      </c>
      <c r="BG133" s="9">
        <v>0</v>
      </c>
      <c r="BI133">
        <v>8000</v>
      </c>
      <c r="BJ133">
        <v>0</v>
      </c>
      <c r="BK133" s="9">
        <v>0</v>
      </c>
      <c r="BL133">
        <v>0</v>
      </c>
      <c r="BM133" s="9">
        <v>0</v>
      </c>
      <c r="BN133">
        <v>0</v>
      </c>
      <c r="BO133" s="9">
        <v>0</v>
      </c>
      <c r="BP133">
        <v>0</v>
      </c>
      <c r="BQ133" s="9">
        <v>0</v>
      </c>
      <c r="BR133">
        <v>0</v>
      </c>
      <c r="BS133" s="9">
        <v>0</v>
      </c>
      <c r="BU133">
        <v>8000</v>
      </c>
      <c r="BV133">
        <f t="shared" si="367"/>
        <v>756</v>
      </c>
      <c r="BW133" s="9">
        <f t="shared" si="331"/>
        <v>5142.8571428571431</v>
      </c>
      <c r="BX133">
        <f t="shared" si="368"/>
        <v>734</v>
      </c>
      <c r="BY133" s="9">
        <f t="shared" si="345"/>
        <v>5088.3882149046794</v>
      </c>
      <c r="BZ133">
        <f t="shared" si="369"/>
        <v>716</v>
      </c>
      <c r="CA133" s="9">
        <f t="shared" si="346"/>
        <v>5042.2535211267605</v>
      </c>
      <c r="CB133">
        <f t="shared" si="386"/>
        <v>700</v>
      </c>
      <c r="CC133" s="9">
        <f t="shared" si="377"/>
        <v>5000</v>
      </c>
      <c r="CD133">
        <v>0</v>
      </c>
      <c r="CE133" s="9">
        <v>0</v>
      </c>
      <c r="CF133">
        <v>0</v>
      </c>
      <c r="CG133" s="9">
        <v>0</v>
      </c>
      <c r="CI133">
        <v>8000</v>
      </c>
      <c r="CJ133">
        <f t="shared" si="370"/>
        <v>706</v>
      </c>
      <c r="CK133" s="9">
        <f t="shared" si="332"/>
        <v>5015.9857904085256</v>
      </c>
      <c r="CL133">
        <f t="shared" si="371"/>
        <v>687</v>
      </c>
      <c r="CM133" s="9">
        <f t="shared" si="347"/>
        <v>4964.7696476964766</v>
      </c>
      <c r="CN133">
        <f t="shared" si="378"/>
        <v>670</v>
      </c>
      <c r="CO133" s="9">
        <f t="shared" si="348"/>
        <v>4917.4311926605506</v>
      </c>
      <c r="CP133">
        <f t="shared" si="389"/>
        <v>655</v>
      </c>
      <c r="CQ133" s="9">
        <f t="shared" si="379"/>
        <v>4874.4186046511632</v>
      </c>
      <c r="CR133">
        <f t="shared" si="395"/>
        <v>642</v>
      </c>
      <c r="CS133" s="9">
        <f t="shared" si="390"/>
        <v>4836.1581920903955</v>
      </c>
      <c r="CT133">
        <f t="shared" si="396"/>
        <v>638</v>
      </c>
      <c r="CU133" s="9">
        <f t="shared" si="391"/>
        <v>4824.1965973534971</v>
      </c>
      <c r="CV133">
        <f t="shared" si="400"/>
        <v>654</v>
      </c>
      <c r="CW133" s="9">
        <f t="shared" si="398"/>
        <v>4871.5083798882679</v>
      </c>
    </row>
    <row r="134" spans="1:101" x14ac:dyDescent="0.25">
      <c r="A134">
        <v>8500</v>
      </c>
      <c r="B134">
        <v>0</v>
      </c>
      <c r="C134" s="9">
        <v>0</v>
      </c>
      <c r="D134">
        <v>0</v>
      </c>
      <c r="E134" s="9">
        <v>0</v>
      </c>
      <c r="F134">
        <v>0</v>
      </c>
      <c r="G134" s="9">
        <v>0</v>
      </c>
      <c r="H134">
        <v>0</v>
      </c>
      <c r="I134" s="9">
        <v>0</v>
      </c>
      <c r="J134">
        <v>0</v>
      </c>
      <c r="K134" s="9">
        <v>0</v>
      </c>
      <c r="M134">
        <v>8500</v>
      </c>
      <c r="N134">
        <v>0</v>
      </c>
      <c r="O134" s="9">
        <v>0</v>
      </c>
      <c r="P134">
        <v>0</v>
      </c>
      <c r="Q134" s="9">
        <v>0</v>
      </c>
      <c r="R134">
        <v>0</v>
      </c>
      <c r="S134" s="9">
        <v>0</v>
      </c>
      <c r="T134">
        <v>0</v>
      </c>
      <c r="U134" s="9">
        <v>0</v>
      </c>
      <c r="V134">
        <v>0</v>
      </c>
      <c r="W134" s="9">
        <v>0</v>
      </c>
      <c r="Y134">
        <v>8500</v>
      </c>
      <c r="Z134">
        <v>0</v>
      </c>
      <c r="AA134" s="9">
        <v>0</v>
      </c>
      <c r="AB134">
        <v>0</v>
      </c>
      <c r="AC134" s="9">
        <v>0</v>
      </c>
      <c r="AD134">
        <v>0</v>
      </c>
      <c r="AE134" s="9">
        <v>0</v>
      </c>
      <c r="AF134">
        <v>0</v>
      </c>
      <c r="AG134" s="9">
        <v>0</v>
      </c>
      <c r="AH134">
        <v>0</v>
      </c>
      <c r="AI134" s="9">
        <v>0</v>
      </c>
      <c r="AK134">
        <v>8500</v>
      </c>
      <c r="AL134">
        <v>0</v>
      </c>
      <c r="AM134" s="9">
        <v>0</v>
      </c>
      <c r="AN134">
        <v>0</v>
      </c>
      <c r="AO134" s="9">
        <v>0</v>
      </c>
      <c r="AP134">
        <v>0</v>
      </c>
      <c r="AQ134" s="9">
        <v>0</v>
      </c>
      <c r="AR134">
        <v>0</v>
      </c>
      <c r="AS134" s="9">
        <v>0</v>
      </c>
      <c r="AT134">
        <v>0</v>
      </c>
      <c r="AU134" s="9">
        <v>0</v>
      </c>
      <c r="AW134">
        <v>8500</v>
      </c>
      <c r="AX134">
        <v>0</v>
      </c>
      <c r="AY134" s="9">
        <v>0</v>
      </c>
      <c r="AZ134">
        <v>0</v>
      </c>
      <c r="BA134" s="9">
        <v>0</v>
      </c>
      <c r="BB134">
        <v>0</v>
      </c>
      <c r="BC134" s="9">
        <v>0</v>
      </c>
      <c r="BD134">
        <v>0</v>
      </c>
      <c r="BE134" s="9">
        <v>0</v>
      </c>
      <c r="BF134">
        <v>0</v>
      </c>
      <c r="BG134" s="9">
        <v>0</v>
      </c>
      <c r="BI134">
        <v>8500</v>
      </c>
      <c r="BJ134">
        <v>0</v>
      </c>
      <c r="BK134" s="9">
        <v>0</v>
      </c>
      <c r="BL134">
        <v>0</v>
      </c>
      <c r="BM134" s="9">
        <v>0</v>
      </c>
      <c r="BN134">
        <v>0</v>
      </c>
      <c r="BO134" s="9">
        <v>0</v>
      </c>
      <c r="BP134">
        <v>0</v>
      </c>
      <c r="BQ134" s="9">
        <v>0</v>
      </c>
      <c r="BR134">
        <v>0</v>
      </c>
      <c r="BS134" s="9">
        <v>0</v>
      </c>
      <c r="BU134">
        <v>8500</v>
      </c>
      <c r="BV134">
        <f t="shared" si="367"/>
        <v>754</v>
      </c>
      <c r="BW134" s="9">
        <f t="shared" si="331"/>
        <v>5459.1141396933563</v>
      </c>
      <c r="BX134">
        <f t="shared" si="368"/>
        <v>731</v>
      </c>
      <c r="BY134" s="9">
        <f t="shared" si="345"/>
        <v>5398.3492615117284</v>
      </c>
      <c r="BZ134">
        <f t="shared" si="369"/>
        <v>712</v>
      </c>
      <c r="CA134" s="9">
        <f t="shared" si="346"/>
        <v>5346.2897526501765</v>
      </c>
      <c r="CB134">
        <f t="shared" si="386"/>
        <v>695</v>
      </c>
      <c r="CC134" s="9">
        <f t="shared" si="377"/>
        <v>5298.2062780269061</v>
      </c>
      <c r="CD134">
        <v>0</v>
      </c>
      <c r="CE134" s="9">
        <v>0</v>
      </c>
      <c r="CF134">
        <v>0</v>
      </c>
      <c r="CG134" s="9">
        <v>0</v>
      </c>
      <c r="CI134">
        <v>8500</v>
      </c>
      <c r="CJ134">
        <f t="shared" si="370"/>
        <v>704</v>
      </c>
      <c r="CK134" s="9">
        <f t="shared" si="332"/>
        <v>5323.8434163701068</v>
      </c>
      <c r="CL134">
        <f t="shared" si="371"/>
        <v>684</v>
      </c>
      <c r="CM134" s="9">
        <f t="shared" si="347"/>
        <v>5266.304347826087</v>
      </c>
      <c r="CN134">
        <f t="shared" si="378"/>
        <v>666</v>
      </c>
      <c r="CO134" s="9">
        <f t="shared" si="348"/>
        <v>5212.7071823204424</v>
      </c>
      <c r="CP134">
        <f t="shared" si="389"/>
        <v>650</v>
      </c>
      <c r="CQ134" s="9">
        <f t="shared" si="379"/>
        <v>5163.5514018691592</v>
      </c>
      <c r="CR134">
        <f t="shared" si="395"/>
        <v>636</v>
      </c>
      <c r="CS134" s="9">
        <f t="shared" si="390"/>
        <v>5119.318181818182</v>
      </c>
      <c r="CT134">
        <f t="shared" si="396"/>
        <v>631</v>
      </c>
      <c r="CU134" s="9">
        <f t="shared" si="391"/>
        <v>5103.2350142721216</v>
      </c>
      <c r="CV134">
        <f t="shared" si="400"/>
        <v>646</v>
      </c>
      <c r="CW134" s="9">
        <f t="shared" si="398"/>
        <v>5151.0318949343336</v>
      </c>
    </row>
    <row r="135" spans="1:101" x14ac:dyDescent="0.25">
      <c r="A135">
        <v>9000</v>
      </c>
      <c r="B135">
        <v>0</v>
      </c>
      <c r="C135" s="9">
        <f t="shared" ref="C135:C141" si="414">PRODUCT(A135,B135,1/(B135+300))</f>
        <v>0</v>
      </c>
      <c r="D135">
        <v>0</v>
      </c>
      <c r="E135" s="9">
        <f t="shared" ref="E135:E141" si="415">PRODUCT(C135,D135,1/(D135+300))</f>
        <v>0</v>
      </c>
      <c r="F135">
        <v>0</v>
      </c>
      <c r="G135" s="9">
        <f t="shared" ref="G135:G141" si="416">PRODUCT(E135,F135,1/(F135+300))</f>
        <v>0</v>
      </c>
      <c r="H135">
        <v>0</v>
      </c>
      <c r="I135" s="9">
        <f t="shared" ref="I135:I141" si="417">PRODUCT(G135,H135,1/(H135+300))</f>
        <v>0</v>
      </c>
      <c r="J135">
        <v>0</v>
      </c>
      <c r="K135" s="9">
        <f t="shared" ref="K135:K141" si="418">PRODUCT(I135,J135,1/(J135+300))</f>
        <v>0</v>
      </c>
      <c r="M135">
        <v>9000</v>
      </c>
      <c r="N135">
        <v>0</v>
      </c>
      <c r="O135" s="9">
        <f t="shared" ref="O135:O141" si="419">PRODUCT(M135,N135,1/(N135+300))</f>
        <v>0</v>
      </c>
      <c r="P135">
        <v>0</v>
      </c>
      <c r="Q135" s="9">
        <f t="shared" ref="Q135:Q141" si="420">PRODUCT(O135,P135,1/(P135+300))</f>
        <v>0</v>
      </c>
      <c r="R135">
        <v>0</v>
      </c>
      <c r="S135" s="9">
        <f t="shared" ref="S135:S141" si="421">PRODUCT(Q135,R135,1/(R135+300))</f>
        <v>0</v>
      </c>
      <c r="T135">
        <v>0</v>
      </c>
      <c r="U135" s="9">
        <f t="shared" ref="U135:U141" si="422">PRODUCT(S135,T135,1/(T135+300))</f>
        <v>0</v>
      </c>
      <c r="V135">
        <v>0</v>
      </c>
      <c r="W135" s="9">
        <f t="shared" ref="W135:W141" si="423">PRODUCT(U135,V135,1/(V135+300))</f>
        <v>0</v>
      </c>
      <c r="Y135">
        <v>9000</v>
      </c>
      <c r="Z135">
        <v>0</v>
      </c>
      <c r="AA135" s="9">
        <f t="shared" ref="AA135:AA141" si="424">PRODUCT(Y135,Z135,1/(Z135+300))</f>
        <v>0</v>
      </c>
      <c r="AB135">
        <v>0</v>
      </c>
      <c r="AC135" s="9">
        <f t="shared" ref="AC135:AC141" si="425">PRODUCT(AA135,AB135,1/(AB135+300))</f>
        <v>0</v>
      </c>
      <c r="AD135">
        <v>0</v>
      </c>
      <c r="AE135" s="9">
        <f t="shared" ref="AE135:AE141" si="426">PRODUCT(AC135,AD135,1/(AD135+300))</f>
        <v>0</v>
      </c>
      <c r="AF135">
        <v>0</v>
      </c>
      <c r="AG135" s="9">
        <f t="shared" ref="AG135:AG141" si="427">PRODUCT(AE135,AF135,1/(AF135+300))</f>
        <v>0</v>
      </c>
      <c r="AH135">
        <v>0</v>
      </c>
      <c r="AI135" s="9">
        <f t="shared" ref="AI135:AI141" si="428">PRODUCT(AG135,AH135,1/(AH135+300))</f>
        <v>0</v>
      </c>
      <c r="AK135">
        <v>9000</v>
      </c>
      <c r="AL135">
        <v>0</v>
      </c>
      <c r="AM135" s="9">
        <f t="shared" ref="AM135:AM141" si="429">PRODUCT(AK135,AL135,1/(AL135+300))</f>
        <v>0</v>
      </c>
      <c r="AN135">
        <v>0</v>
      </c>
      <c r="AO135" s="9">
        <f t="shared" ref="AO135:AO141" si="430">PRODUCT(AM135,AN135,1/(AN135+300))</f>
        <v>0</v>
      </c>
      <c r="AP135">
        <v>0</v>
      </c>
      <c r="AQ135" s="9">
        <f t="shared" ref="AQ135:AQ141" si="431">PRODUCT(AO135,AP135,1/(AP135+300))</f>
        <v>0</v>
      </c>
      <c r="AR135">
        <v>0</v>
      </c>
      <c r="AS135" s="9">
        <f t="shared" ref="AS135:AS141" si="432">PRODUCT(AQ135,AR135,1/(AR135+300))</f>
        <v>0</v>
      </c>
      <c r="AT135">
        <v>0</v>
      </c>
      <c r="AU135" s="9">
        <f t="shared" ref="AU135:AU141" si="433">PRODUCT(AS135,AT135,1/(AT135+300))</f>
        <v>0</v>
      </c>
      <c r="AW135">
        <v>9000</v>
      </c>
      <c r="AX135">
        <v>0</v>
      </c>
      <c r="AY135" s="9">
        <f t="shared" ref="AY135:AY141" si="434">PRODUCT(AW135,AX135,1/(AX135+300))</f>
        <v>0</v>
      </c>
      <c r="AZ135">
        <v>0</v>
      </c>
      <c r="BA135" s="9">
        <f t="shared" ref="BA135:BA141" si="435">PRODUCT(AY135,AZ135,1/(AZ135+300))</f>
        <v>0</v>
      </c>
      <c r="BB135">
        <v>0</v>
      </c>
      <c r="BC135" s="9">
        <f t="shared" ref="BC135:BC141" si="436">PRODUCT(BA135,BB135,1/(BB135+300))</f>
        <v>0</v>
      </c>
      <c r="BD135">
        <v>0</v>
      </c>
      <c r="BE135" s="9">
        <f t="shared" ref="BE135:BE141" si="437">PRODUCT(BC135,BD135,1/(BD135+300))</f>
        <v>0</v>
      </c>
      <c r="BF135">
        <v>0</v>
      </c>
      <c r="BG135" s="9">
        <f t="shared" ref="BG135:BG141" si="438">PRODUCT(BE135,BF135,1/(BF135+300))</f>
        <v>0</v>
      </c>
      <c r="BI135">
        <v>9000</v>
      </c>
      <c r="BJ135">
        <v>0</v>
      </c>
      <c r="BK135" s="9">
        <f t="shared" ref="BK135:BK141" si="439">PRODUCT(BI135,BJ135,1/(BJ135+300))</f>
        <v>0</v>
      </c>
      <c r="BL135">
        <v>0</v>
      </c>
      <c r="BM135" s="9">
        <f t="shared" ref="BM135:BM141" si="440">PRODUCT(BK135,BL135,1/(BL135+300))</f>
        <v>0</v>
      </c>
      <c r="BN135">
        <v>0</v>
      </c>
      <c r="BO135" s="9">
        <f t="shared" ref="BO135:BO141" si="441">PRODUCT(BM135,BN135,1/(BN135+300))</f>
        <v>0</v>
      </c>
      <c r="BP135">
        <v>0</v>
      </c>
      <c r="BQ135" s="9">
        <f t="shared" ref="BQ135:BQ141" si="442">PRODUCT(BO135,BP135,1/(BP135+300))</f>
        <v>0</v>
      </c>
      <c r="BR135">
        <v>0</v>
      </c>
      <c r="BS135" s="9">
        <f t="shared" ref="BS135:BS141" si="443">PRODUCT(BQ135,BR135,1/(BR135+300))</f>
        <v>0</v>
      </c>
      <c r="BU135">
        <v>9000</v>
      </c>
      <c r="BV135">
        <f t="shared" si="367"/>
        <v>752</v>
      </c>
      <c r="BW135" s="9">
        <f t="shared" si="331"/>
        <v>5774.7440273037546</v>
      </c>
      <c r="BX135">
        <f t="shared" si="368"/>
        <v>728</v>
      </c>
      <c r="BY135" s="9">
        <f t="shared" si="345"/>
        <v>5707.3170731707314</v>
      </c>
      <c r="BZ135">
        <f t="shared" si="369"/>
        <v>708</v>
      </c>
      <c r="CA135" s="9">
        <f t="shared" si="346"/>
        <v>5648.9361702127662</v>
      </c>
      <c r="CB135">
        <f t="shared" si="386"/>
        <v>690</v>
      </c>
      <c r="CC135" s="9">
        <f t="shared" si="377"/>
        <v>5594.594594594595</v>
      </c>
      <c r="CD135">
        <v>0</v>
      </c>
      <c r="CE135" s="9">
        <f t="shared" ref="CE135:CE141" si="444">PRODUCT(CC135,CD135,1/(CD135+300))</f>
        <v>0</v>
      </c>
      <c r="CF135">
        <v>0</v>
      </c>
      <c r="CG135">
        <v>0</v>
      </c>
      <c r="CI135">
        <v>9000</v>
      </c>
      <c r="CJ135">
        <f t="shared" si="370"/>
        <v>702</v>
      </c>
      <c r="CK135" s="9">
        <f t="shared" si="332"/>
        <v>5631.0160427807486</v>
      </c>
      <c r="CL135">
        <f t="shared" si="371"/>
        <v>681</v>
      </c>
      <c r="CM135" s="9">
        <f t="shared" si="347"/>
        <v>5566.7574931880108</v>
      </c>
      <c r="CN135">
        <f t="shared" si="378"/>
        <v>662</v>
      </c>
      <c r="CO135" s="9">
        <f t="shared" si="348"/>
        <v>5506.4695009242141</v>
      </c>
      <c r="CP135">
        <f t="shared" si="389"/>
        <v>645</v>
      </c>
      <c r="CQ135" s="9">
        <f t="shared" si="379"/>
        <v>5450.7042253521122</v>
      </c>
      <c r="CR135">
        <f t="shared" si="395"/>
        <v>630</v>
      </c>
      <c r="CS135" s="9">
        <f t="shared" si="390"/>
        <v>5400</v>
      </c>
      <c r="CT135">
        <f t="shared" si="396"/>
        <v>624</v>
      </c>
      <c r="CU135" s="9">
        <f t="shared" si="391"/>
        <v>5379.3103448275861</v>
      </c>
      <c r="CV135">
        <f t="shared" si="400"/>
        <v>638</v>
      </c>
      <c r="CW135" s="9">
        <f t="shared" si="398"/>
        <v>5427.2211720226842</v>
      </c>
    </row>
    <row r="136" spans="1:101" x14ac:dyDescent="0.25">
      <c r="A136">
        <v>9500</v>
      </c>
      <c r="B136">
        <v>0</v>
      </c>
      <c r="C136" s="9">
        <f t="shared" si="414"/>
        <v>0</v>
      </c>
      <c r="D136">
        <v>0</v>
      </c>
      <c r="E136" s="9">
        <f t="shared" si="415"/>
        <v>0</v>
      </c>
      <c r="F136">
        <v>0</v>
      </c>
      <c r="G136" s="9">
        <f t="shared" si="416"/>
        <v>0</v>
      </c>
      <c r="H136">
        <v>0</v>
      </c>
      <c r="I136" s="9">
        <f t="shared" si="417"/>
        <v>0</v>
      </c>
      <c r="J136">
        <v>0</v>
      </c>
      <c r="K136" s="9">
        <f t="shared" si="418"/>
        <v>0</v>
      </c>
      <c r="M136">
        <v>9500</v>
      </c>
      <c r="N136">
        <v>0</v>
      </c>
      <c r="O136" s="9">
        <f t="shared" si="419"/>
        <v>0</v>
      </c>
      <c r="P136">
        <v>0</v>
      </c>
      <c r="Q136" s="9">
        <f t="shared" si="420"/>
        <v>0</v>
      </c>
      <c r="R136">
        <v>0</v>
      </c>
      <c r="S136" s="9">
        <f t="shared" si="421"/>
        <v>0</v>
      </c>
      <c r="T136">
        <v>0</v>
      </c>
      <c r="U136" s="9">
        <f t="shared" si="422"/>
        <v>0</v>
      </c>
      <c r="V136">
        <v>0</v>
      </c>
      <c r="W136" s="9">
        <f t="shared" si="423"/>
        <v>0</v>
      </c>
      <c r="Y136">
        <v>9500</v>
      </c>
      <c r="Z136">
        <v>0</v>
      </c>
      <c r="AA136" s="9">
        <f t="shared" si="424"/>
        <v>0</v>
      </c>
      <c r="AB136">
        <v>0</v>
      </c>
      <c r="AC136" s="9">
        <f t="shared" si="425"/>
        <v>0</v>
      </c>
      <c r="AD136">
        <v>0</v>
      </c>
      <c r="AE136" s="9">
        <f t="shared" si="426"/>
        <v>0</v>
      </c>
      <c r="AF136">
        <v>0</v>
      </c>
      <c r="AG136" s="9">
        <f t="shared" si="427"/>
        <v>0</v>
      </c>
      <c r="AH136">
        <v>0</v>
      </c>
      <c r="AI136" s="9">
        <f t="shared" si="428"/>
        <v>0</v>
      </c>
      <c r="AK136">
        <v>9500</v>
      </c>
      <c r="AL136">
        <v>0</v>
      </c>
      <c r="AM136" s="9">
        <f t="shared" si="429"/>
        <v>0</v>
      </c>
      <c r="AN136">
        <v>0</v>
      </c>
      <c r="AO136" s="9">
        <f t="shared" si="430"/>
        <v>0</v>
      </c>
      <c r="AP136">
        <v>0</v>
      </c>
      <c r="AQ136" s="9">
        <f t="shared" si="431"/>
        <v>0</v>
      </c>
      <c r="AR136">
        <v>0</v>
      </c>
      <c r="AS136" s="9">
        <f t="shared" si="432"/>
        <v>0</v>
      </c>
      <c r="AT136">
        <v>0</v>
      </c>
      <c r="AU136" s="9">
        <f t="shared" si="433"/>
        <v>0</v>
      </c>
      <c r="AW136">
        <v>9500</v>
      </c>
      <c r="AX136">
        <v>0</v>
      </c>
      <c r="AY136" s="9">
        <f t="shared" si="434"/>
        <v>0</v>
      </c>
      <c r="AZ136">
        <v>0</v>
      </c>
      <c r="BA136" s="9">
        <f t="shared" si="435"/>
        <v>0</v>
      </c>
      <c r="BB136">
        <v>0</v>
      </c>
      <c r="BC136" s="9">
        <f t="shared" si="436"/>
        <v>0</v>
      </c>
      <c r="BD136">
        <v>0</v>
      </c>
      <c r="BE136" s="9">
        <f t="shared" si="437"/>
        <v>0</v>
      </c>
      <c r="BF136">
        <v>0</v>
      </c>
      <c r="BG136" s="9">
        <f t="shared" si="438"/>
        <v>0</v>
      </c>
      <c r="BI136">
        <v>9500</v>
      </c>
      <c r="BJ136">
        <v>0</v>
      </c>
      <c r="BK136" s="9">
        <f t="shared" si="439"/>
        <v>0</v>
      </c>
      <c r="BL136">
        <v>0</v>
      </c>
      <c r="BM136" s="9">
        <f t="shared" si="440"/>
        <v>0</v>
      </c>
      <c r="BN136">
        <v>0</v>
      </c>
      <c r="BO136" s="9">
        <f t="shared" si="441"/>
        <v>0</v>
      </c>
      <c r="BP136">
        <v>0</v>
      </c>
      <c r="BQ136" s="9">
        <f t="shared" si="442"/>
        <v>0</v>
      </c>
      <c r="BR136">
        <v>0</v>
      </c>
      <c r="BS136" s="9">
        <f t="shared" si="443"/>
        <v>0</v>
      </c>
      <c r="BU136">
        <v>9500</v>
      </c>
      <c r="BV136">
        <f t="shared" si="367"/>
        <v>750</v>
      </c>
      <c r="BW136" s="9">
        <f t="shared" si="331"/>
        <v>6089.7435897435898</v>
      </c>
      <c r="BX136">
        <f t="shared" si="368"/>
        <v>725</v>
      </c>
      <c r="BY136" s="9">
        <f t="shared" si="345"/>
        <v>6015.2838427947599</v>
      </c>
      <c r="BZ136">
        <f t="shared" si="369"/>
        <v>704</v>
      </c>
      <c r="CA136" s="9">
        <f t="shared" si="346"/>
        <v>5950.1779359430602</v>
      </c>
      <c r="CB136">
        <f t="shared" si="386"/>
        <v>685</v>
      </c>
      <c r="CC136" s="9">
        <f t="shared" si="377"/>
        <v>5889.1402714932128</v>
      </c>
      <c r="CD136">
        <v>0</v>
      </c>
      <c r="CE136" s="9">
        <f t="shared" si="444"/>
        <v>0</v>
      </c>
      <c r="CF136">
        <v>0</v>
      </c>
      <c r="CG136">
        <v>0</v>
      </c>
      <c r="CI136">
        <v>9500</v>
      </c>
      <c r="CJ136">
        <f t="shared" si="370"/>
        <v>700</v>
      </c>
      <c r="CK136" s="9">
        <f t="shared" si="332"/>
        <v>5937.5</v>
      </c>
      <c r="CL136">
        <f t="shared" si="371"/>
        <v>678</v>
      </c>
      <c r="CM136" s="9">
        <f t="shared" si="347"/>
        <v>5866.1202185792354</v>
      </c>
      <c r="CN136">
        <f t="shared" si="378"/>
        <v>658</v>
      </c>
      <c r="CO136" s="9">
        <f t="shared" si="348"/>
        <v>5798.7012987012986</v>
      </c>
      <c r="CP136">
        <f t="shared" si="389"/>
        <v>640</v>
      </c>
      <c r="CQ136" s="9">
        <f t="shared" si="379"/>
        <v>5735.8490566037735</v>
      </c>
      <c r="CR136">
        <f t="shared" si="395"/>
        <v>624</v>
      </c>
      <c r="CS136" s="9">
        <f t="shared" si="390"/>
        <v>5678.1609195402298</v>
      </c>
      <c r="CT136">
        <f t="shared" si="396"/>
        <v>617</v>
      </c>
      <c r="CU136" s="9">
        <f t="shared" si="391"/>
        <v>5652.3625843780137</v>
      </c>
      <c r="CV136">
        <f t="shared" si="400"/>
        <v>630</v>
      </c>
      <c r="CW136" s="9">
        <f t="shared" si="398"/>
        <v>5700</v>
      </c>
    </row>
    <row r="137" spans="1:101" x14ac:dyDescent="0.25">
      <c r="A137">
        <v>10000</v>
      </c>
      <c r="B137">
        <v>0</v>
      </c>
      <c r="C137" s="9">
        <f t="shared" si="414"/>
        <v>0</v>
      </c>
      <c r="D137">
        <v>0</v>
      </c>
      <c r="E137" s="9">
        <f t="shared" si="415"/>
        <v>0</v>
      </c>
      <c r="F137">
        <v>0</v>
      </c>
      <c r="G137" s="9">
        <f t="shared" si="416"/>
        <v>0</v>
      </c>
      <c r="H137">
        <v>0</v>
      </c>
      <c r="I137" s="9">
        <f t="shared" si="417"/>
        <v>0</v>
      </c>
      <c r="J137">
        <v>0</v>
      </c>
      <c r="K137" s="9">
        <f t="shared" si="418"/>
        <v>0</v>
      </c>
      <c r="M137">
        <v>10000</v>
      </c>
      <c r="N137">
        <v>0</v>
      </c>
      <c r="O137" s="9">
        <f t="shared" si="419"/>
        <v>0</v>
      </c>
      <c r="P137">
        <v>0</v>
      </c>
      <c r="Q137" s="9">
        <f t="shared" si="420"/>
        <v>0</v>
      </c>
      <c r="R137">
        <v>0</v>
      </c>
      <c r="S137" s="9">
        <f t="shared" si="421"/>
        <v>0</v>
      </c>
      <c r="T137">
        <v>0</v>
      </c>
      <c r="U137" s="9">
        <f t="shared" si="422"/>
        <v>0</v>
      </c>
      <c r="V137">
        <v>0</v>
      </c>
      <c r="W137" s="9">
        <f t="shared" si="423"/>
        <v>0</v>
      </c>
      <c r="Y137">
        <v>10000</v>
      </c>
      <c r="Z137">
        <v>0</v>
      </c>
      <c r="AA137" s="9">
        <f t="shared" si="424"/>
        <v>0</v>
      </c>
      <c r="AB137">
        <v>0</v>
      </c>
      <c r="AC137" s="9">
        <f t="shared" si="425"/>
        <v>0</v>
      </c>
      <c r="AD137">
        <v>0</v>
      </c>
      <c r="AE137" s="9">
        <f t="shared" si="426"/>
        <v>0</v>
      </c>
      <c r="AF137">
        <v>0</v>
      </c>
      <c r="AG137" s="9">
        <f t="shared" si="427"/>
        <v>0</v>
      </c>
      <c r="AH137">
        <v>0</v>
      </c>
      <c r="AI137" s="9">
        <f t="shared" si="428"/>
        <v>0</v>
      </c>
      <c r="AK137">
        <v>10000</v>
      </c>
      <c r="AL137">
        <v>0</v>
      </c>
      <c r="AM137" s="9">
        <f t="shared" si="429"/>
        <v>0</v>
      </c>
      <c r="AN137">
        <v>0</v>
      </c>
      <c r="AO137" s="9">
        <f t="shared" si="430"/>
        <v>0</v>
      </c>
      <c r="AP137">
        <v>0</v>
      </c>
      <c r="AQ137" s="9">
        <f t="shared" si="431"/>
        <v>0</v>
      </c>
      <c r="AR137">
        <v>0</v>
      </c>
      <c r="AS137" s="9">
        <f t="shared" si="432"/>
        <v>0</v>
      </c>
      <c r="AT137">
        <v>0</v>
      </c>
      <c r="AU137" s="9">
        <f t="shared" si="433"/>
        <v>0</v>
      </c>
      <c r="AW137">
        <v>10000</v>
      </c>
      <c r="AX137">
        <v>0</v>
      </c>
      <c r="AY137" s="9">
        <f t="shared" si="434"/>
        <v>0</v>
      </c>
      <c r="AZ137">
        <v>0</v>
      </c>
      <c r="BA137" s="9">
        <f t="shared" si="435"/>
        <v>0</v>
      </c>
      <c r="BB137">
        <v>0</v>
      </c>
      <c r="BC137" s="9">
        <f t="shared" si="436"/>
        <v>0</v>
      </c>
      <c r="BD137">
        <v>0</v>
      </c>
      <c r="BE137" s="9">
        <f t="shared" si="437"/>
        <v>0</v>
      </c>
      <c r="BF137">
        <v>0</v>
      </c>
      <c r="BG137" s="9">
        <f t="shared" si="438"/>
        <v>0</v>
      </c>
      <c r="BI137">
        <v>10000</v>
      </c>
      <c r="BJ137">
        <v>0</v>
      </c>
      <c r="BK137" s="9">
        <f t="shared" si="439"/>
        <v>0</v>
      </c>
      <c r="BL137">
        <v>0</v>
      </c>
      <c r="BM137" s="9">
        <f t="shared" si="440"/>
        <v>0</v>
      </c>
      <c r="BN137">
        <v>0</v>
      </c>
      <c r="BO137" s="9">
        <f t="shared" si="441"/>
        <v>0</v>
      </c>
      <c r="BP137">
        <v>0</v>
      </c>
      <c r="BQ137" s="9">
        <f t="shared" si="442"/>
        <v>0</v>
      </c>
      <c r="BR137">
        <v>0</v>
      </c>
      <c r="BS137" s="9">
        <f t="shared" si="443"/>
        <v>0</v>
      </c>
      <c r="BU137">
        <v>10000</v>
      </c>
      <c r="BV137">
        <v>0</v>
      </c>
      <c r="BW137" s="9">
        <f t="shared" si="331"/>
        <v>0</v>
      </c>
      <c r="BX137">
        <v>0</v>
      </c>
      <c r="BY137" s="9">
        <f t="shared" ref="BY137:BY141" si="445">PRODUCT(BW137,BX137,1/(BX137+300))</f>
        <v>0</v>
      </c>
      <c r="BZ137">
        <v>0</v>
      </c>
      <c r="CA137" s="9">
        <f t="shared" ref="CA137:CA141" si="446">PRODUCT(BY137,BZ137,1/(BZ137+300))</f>
        <v>0</v>
      </c>
      <c r="CB137">
        <v>0</v>
      </c>
      <c r="CC137" s="9">
        <f t="shared" ref="CC137:CC141" si="447">PRODUCT(CA137,CB137,1/(CB137+300))</f>
        <v>0</v>
      </c>
      <c r="CD137">
        <v>0</v>
      </c>
      <c r="CE137" s="9">
        <f t="shared" si="444"/>
        <v>0</v>
      </c>
      <c r="CF137">
        <v>0</v>
      </c>
      <c r="CG137" s="9">
        <v>0</v>
      </c>
      <c r="CI137">
        <v>10000</v>
      </c>
      <c r="CJ137">
        <f t="shared" si="370"/>
        <v>698</v>
      </c>
      <c r="CK137" s="9">
        <f t="shared" si="332"/>
        <v>6243.2915921288013</v>
      </c>
      <c r="CL137">
        <f t="shared" si="371"/>
        <v>675</v>
      </c>
      <c r="CM137" s="9">
        <f t="shared" si="347"/>
        <v>6164.3835616438355</v>
      </c>
      <c r="CN137">
        <f t="shared" si="378"/>
        <v>654</v>
      </c>
      <c r="CO137" s="9">
        <f t="shared" si="348"/>
        <v>6089.3854748603353</v>
      </c>
      <c r="CP137">
        <f t="shared" si="389"/>
        <v>635</v>
      </c>
      <c r="CQ137" s="9">
        <f t="shared" si="379"/>
        <v>6018.9573459715639</v>
      </c>
      <c r="CR137">
        <f t="shared" si="395"/>
        <v>618</v>
      </c>
      <c r="CS137" s="9">
        <f t="shared" si="390"/>
        <v>5953.7572254335255</v>
      </c>
      <c r="CT137">
        <f t="shared" si="396"/>
        <v>610</v>
      </c>
      <c r="CU137" s="9">
        <f t="shared" si="391"/>
        <v>5922.3300970873788</v>
      </c>
      <c r="CV137">
        <f t="shared" si="400"/>
        <v>622</v>
      </c>
      <c r="CW137" s="9">
        <f t="shared" si="398"/>
        <v>5969.2898272552784</v>
      </c>
    </row>
    <row r="138" spans="1:101" x14ac:dyDescent="0.25">
      <c r="A138">
        <v>10500</v>
      </c>
      <c r="B138">
        <v>0</v>
      </c>
      <c r="C138" s="9">
        <f t="shared" si="414"/>
        <v>0</v>
      </c>
      <c r="D138">
        <v>0</v>
      </c>
      <c r="E138" s="9">
        <f t="shared" si="415"/>
        <v>0</v>
      </c>
      <c r="F138">
        <v>0</v>
      </c>
      <c r="G138" s="9">
        <f t="shared" si="416"/>
        <v>0</v>
      </c>
      <c r="H138">
        <v>0</v>
      </c>
      <c r="I138" s="9">
        <f t="shared" si="417"/>
        <v>0</v>
      </c>
      <c r="J138">
        <v>0</v>
      </c>
      <c r="K138" s="9">
        <f t="shared" si="418"/>
        <v>0</v>
      </c>
      <c r="M138">
        <v>10500</v>
      </c>
      <c r="N138">
        <v>0</v>
      </c>
      <c r="O138" s="9">
        <f t="shared" si="419"/>
        <v>0</v>
      </c>
      <c r="P138">
        <v>0</v>
      </c>
      <c r="Q138" s="9">
        <f t="shared" si="420"/>
        <v>0</v>
      </c>
      <c r="R138">
        <v>0</v>
      </c>
      <c r="S138" s="9">
        <f t="shared" si="421"/>
        <v>0</v>
      </c>
      <c r="T138">
        <v>0</v>
      </c>
      <c r="U138" s="9">
        <f t="shared" si="422"/>
        <v>0</v>
      </c>
      <c r="V138">
        <v>0</v>
      </c>
      <c r="W138" s="9">
        <f t="shared" si="423"/>
        <v>0</v>
      </c>
      <c r="Y138">
        <v>10500</v>
      </c>
      <c r="Z138">
        <v>0</v>
      </c>
      <c r="AA138" s="9">
        <f t="shared" si="424"/>
        <v>0</v>
      </c>
      <c r="AB138">
        <v>0</v>
      </c>
      <c r="AC138" s="9">
        <f t="shared" si="425"/>
        <v>0</v>
      </c>
      <c r="AD138">
        <v>0</v>
      </c>
      <c r="AE138" s="9">
        <f t="shared" si="426"/>
        <v>0</v>
      </c>
      <c r="AF138">
        <v>0</v>
      </c>
      <c r="AG138" s="9">
        <f t="shared" si="427"/>
        <v>0</v>
      </c>
      <c r="AH138">
        <v>0</v>
      </c>
      <c r="AI138" s="9">
        <f t="shared" si="428"/>
        <v>0</v>
      </c>
      <c r="AK138">
        <v>10500</v>
      </c>
      <c r="AL138">
        <v>0</v>
      </c>
      <c r="AM138" s="9">
        <f t="shared" si="429"/>
        <v>0</v>
      </c>
      <c r="AN138">
        <v>0</v>
      </c>
      <c r="AO138" s="9">
        <f t="shared" si="430"/>
        <v>0</v>
      </c>
      <c r="AP138">
        <v>0</v>
      </c>
      <c r="AQ138" s="9">
        <f t="shared" si="431"/>
        <v>0</v>
      </c>
      <c r="AR138">
        <v>0</v>
      </c>
      <c r="AS138" s="9">
        <f t="shared" si="432"/>
        <v>0</v>
      </c>
      <c r="AT138">
        <v>0</v>
      </c>
      <c r="AU138" s="9">
        <f t="shared" si="433"/>
        <v>0</v>
      </c>
      <c r="AW138">
        <v>10500</v>
      </c>
      <c r="AX138">
        <v>0</v>
      </c>
      <c r="AY138" s="9">
        <f t="shared" si="434"/>
        <v>0</v>
      </c>
      <c r="AZ138">
        <v>0</v>
      </c>
      <c r="BA138" s="9">
        <f t="shared" si="435"/>
        <v>0</v>
      </c>
      <c r="BB138">
        <v>0</v>
      </c>
      <c r="BC138" s="9">
        <f t="shared" si="436"/>
        <v>0</v>
      </c>
      <c r="BD138">
        <v>0</v>
      </c>
      <c r="BE138" s="9">
        <f t="shared" si="437"/>
        <v>0</v>
      </c>
      <c r="BF138">
        <v>0</v>
      </c>
      <c r="BG138" s="9">
        <f t="shared" si="438"/>
        <v>0</v>
      </c>
      <c r="BI138">
        <v>10500</v>
      </c>
      <c r="BJ138">
        <v>0</v>
      </c>
      <c r="BK138" s="9">
        <f t="shared" si="439"/>
        <v>0</v>
      </c>
      <c r="BL138">
        <v>0</v>
      </c>
      <c r="BM138" s="9">
        <f t="shared" si="440"/>
        <v>0</v>
      </c>
      <c r="BN138">
        <v>0</v>
      </c>
      <c r="BO138" s="9">
        <f t="shared" si="441"/>
        <v>0</v>
      </c>
      <c r="BP138">
        <v>0</v>
      </c>
      <c r="BQ138" s="9">
        <f t="shared" si="442"/>
        <v>0</v>
      </c>
      <c r="BR138">
        <v>0</v>
      </c>
      <c r="BS138" s="9">
        <f t="shared" si="443"/>
        <v>0</v>
      </c>
      <c r="BU138">
        <v>10500</v>
      </c>
      <c r="BV138">
        <v>0</v>
      </c>
      <c r="BW138" s="9">
        <f t="shared" ref="BW138:BW141" si="448">PRODUCT(BU138,BV138,1/(BV138+300))</f>
        <v>0</v>
      </c>
      <c r="BX138">
        <v>0</v>
      </c>
      <c r="BY138" s="9">
        <f t="shared" si="445"/>
        <v>0</v>
      </c>
      <c r="BZ138">
        <v>0</v>
      </c>
      <c r="CA138" s="9">
        <f t="shared" si="446"/>
        <v>0</v>
      </c>
      <c r="CB138">
        <v>0</v>
      </c>
      <c r="CC138" s="9">
        <f t="shared" si="447"/>
        <v>0</v>
      </c>
      <c r="CD138">
        <v>0</v>
      </c>
      <c r="CE138" s="9">
        <f t="shared" si="444"/>
        <v>0</v>
      </c>
      <c r="CF138">
        <v>0</v>
      </c>
      <c r="CG138" s="9">
        <v>0</v>
      </c>
      <c r="CI138">
        <v>10500</v>
      </c>
      <c r="CJ138">
        <f t="shared" si="370"/>
        <v>696</v>
      </c>
      <c r="CK138" s="9">
        <f t="shared" si="332"/>
        <v>6548.3870967741932</v>
      </c>
      <c r="CL138">
        <f t="shared" si="371"/>
        <v>672</v>
      </c>
      <c r="CM138" s="9">
        <f t="shared" si="347"/>
        <v>6461.5384615384619</v>
      </c>
      <c r="CN138">
        <f t="shared" si="378"/>
        <v>650</v>
      </c>
      <c r="CO138" s="9">
        <f t="shared" si="348"/>
        <v>6378.5046728971965</v>
      </c>
      <c r="CP138">
        <f t="shared" si="389"/>
        <v>630</v>
      </c>
      <c r="CQ138" s="9">
        <f t="shared" si="379"/>
        <v>6300</v>
      </c>
      <c r="CR138">
        <f t="shared" si="395"/>
        <v>612</v>
      </c>
      <c r="CS138" s="9">
        <f t="shared" si="390"/>
        <v>6226.7441860465115</v>
      </c>
      <c r="CT138">
        <f t="shared" si="396"/>
        <v>603</v>
      </c>
      <c r="CU138" s="9">
        <f t="shared" si="391"/>
        <v>6189.1495601173019</v>
      </c>
      <c r="CV138">
        <f t="shared" si="400"/>
        <v>614</v>
      </c>
      <c r="CW138" s="9">
        <f t="shared" si="398"/>
        <v>6235.0096711798842</v>
      </c>
    </row>
    <row r="139" spans="1:101" x14ac:dyDescent="0.25">
      <c r="A139">
        <v>11000</v>
      </c>
      <c r="B139">
        <v>0</v>
      </c>
      <c r="C139" s="9">
        <f t="shared" si="414"/>
        <v>0</v>
      </c>
      <c r="D139">
        <v>0</v>
      </c>
      <c r="E139" s="9">
        <f t="shared" si="415"/>
        <v>0</v>
      </c>
      <c r="F139">
        <v>0</v>
      </c>
      <c r="G139" s="9">
        <f t="shared" si="416"/>
        <v>0</v>
      </c>
      <c r="H139">
        <v>0</v>
      </c>
      <c r="I139" s="9">
        <f t="shared" si="417"/>
        <v>0</v>
      </c>
      <c r="J139">
        <v>0</v>
      </c>
      <c r="K139" s="9">
        <f t="shared" si="418"/>
        <v>0</v>
      </c>
      <c r="M139">
        <v>11000</v>
      </c>
      <c r="N139">
        <v>0</v>
      </c>
      <c r="O139" s="9">
        <f t="shared" si="419"/>
        <v>0</v>
      </c>
      <c r="P139">
        <v>0</v>
      </c>
      <c r="Q139" s="9">
        <f t="shared" si="420"/>
        <v>0</v>
      </c>
      <c r="R139">
        <v>0</v>
      </c>
      <c r="S139" s="9">
        <f t="shared" si="421"/>
        <v>0</v>
      </c>
      <c r="T139">
        <v>0</v>
      </c>
      <c r="U139" s="9">
        <f t="shared" si="422"/>
        <v>0</v>
      </c>
      <c r="V139">
        <v>0</v>
      </c>
      <c r="W139" s="9">
        <f t="shared" si="423"/>
        <v>0</v>
      </c>
      <c r="Y139">
        <v>11000</v>
      </c>
      <c r="Z139">
        <v>0</v>
      </c>
      <c r="AA139" s="9">
        <f t="shared" si="424"/>
        <v>0</v>
      </c>
      <c r="AB139">
        <v>0</v>
      </c>
      <c r="AC139" s="9">
        <f t="shared" si="425"/>
        <v>0</v>
      </c>
      <c r="AD139">
        <v>0</v>
      </c>
      <c r="AE139" s="9">
        <f t="shared" si="426"/>
        <v>0</v>
      </c>
      <c r="AF139">
        <v>0</v>
      </c>
      <c r="AG139" s="9">
        <f t="shared" si="427"/>
        <v>0</v>
      </c>
      <c r="AH139">
        <v>0</v>
      </c>
      <c r="AI139" s="9">
        <f t="shared" si="428"/>
        <v>0</v>
      </c>
      <c r="AK139">
        <v>11000</v>
      </c>
      <c r="AL139">
        <v>0</v>
      </c>
      <c r="AM139" s="9">
        <f t="shared" si="429"/>
        <v>0</v>
      </c>
      <c r="AN139">
        <v>0</v>
      </c>
      <c r="AO139" s="9">
        <f t="shared" si="430"/>
        <v>0</v>
      </c>
      <c r="AP139">
        <v>0</v>
      </c>
      <c r="AQ139" s="9">
        <f t="shared" si="431"/>
        <v>0</v>
      </c>
      <c r="AR139">
        <v>0</v>
      </c>
      <c r="AS139" s="9">
        <f t="shared" si="432"/>
        <v>0</v>
      </c>
      <c r="AT139">
        <v>0</v>
      </c>
      <c r="AU139" s="9">
        <f t="shared" si="433"/>
        <v>0</v>
      </c>
      <c r="AW139">
        <v>11000</v>
      </c>
      <c r="AX139">
        <v>0</v>
      </c>
      <c r="AY139" s="9">
        <f t="shared" si="434"/>
        <v>0</v>
      </c>
      <c r="AZ139">
        <v>0</v>
      </c>
      <c r="BA139" s="9">
        <f t="shared" si="435"/>
        <v>0</v>
      </c>
      <c r="BB139">
        <v>0</v>
      </c>
      <c r="BC139" s="9">
        <f t="shared" si="436"/>
        <v>0</v>
      </c>
      <c r="BD139">
        <v>0</v>
      </c>
      <c r="BE139" s="9">
        <f t="shared" si="437"/>
        <v>0</v>
      </c>
      <c r="BF139">
        <v>0</v>
      </c>
      <c r="BG139" s="9">
        <f t="shared" si="438"/>
        <v>0</v>
      </c>
      <c r="BI139">
        <v>11000</v>
      </c>
      <c r="BJ139">
        <v>0</v>
      </c>
      <c r="BK139" s="9">
        <f t="shared" si="439"/>
        <v>0</v>
      </c>
      <c r="BL139">
        <v>0</v>
      </c>
      <c r="BM139" s="9">
        <f t="shared" si="440"/>
        <v>0</v>
      </c>
      <c r="BN139">
        <v>0</v>
      </c>
      <c r="BO139" s="9">
        <f t="shared" si="441"/>
        <v>0</v>
      </c>
      <c r="BP139">
        <v>0</v>
      </c>
      <c r="BQ139" s="9">
        <f t="shared" si="442"/>
        <v>0</v>
      </c>
      <c r="BR139">
        <v>0</v>
      </c>
      <c r="BS139" s="9">
        <f t="shared" si="443"/>
        <v>0</v>
      </c>
      <c r="BU139">
        <v>11000</v>
      </c>
      <c r="BV139">
        <v>0</v>
      </c>
      <c r="BW139" s="9">
        <f t="shared" si="448"/>
        <v>0</v>
      </c>
      <c r="BX139">
        <v>0</v>
      </c>
      <c r="BY139" s="9">
        <f t="shared" si="445"/>
        <v>0</v>
      </c>
      <c r="BZ139">
        <v>0</v>
      </c>
      <c r="CA139" s="9">
        <f t="shared" si="446"/>
        <v>0</v>
      </c>
      <c r="CB139">
        <v>0</v>
      </c>
      <c r="CC139" s="9">
        <f t="shared" si="447"/>
        <v>0</v>
      </c>
      <c r="CD139">
        <v>0</v>
      </c>
      <c r="CE139" s="9">
        <f t="shared" si="444"/>
        <v>0</v>
      </c>
      <c r="CF139">
        <v>0</v>
      </c>
      <c r="CG139" s="9">
        <v>0</v>
      </c>
      <c r="CI139">
        <v>11000</v>
      </c>
      <c r="CJ139">
        <f t="shared" si="370"/>
        <v>694</v>
      </c>
      <c r="CK139" s="9">
        <f t="shared" si="332"/>
        <v>6852.7827648114908</v>
      </c>
      <c r="CL139">
        <f t="shared" si="371"/>
        <v>669</v>
      </c>
      <c r="CM139" s="9">
        <f t="shared" si="347"/>
        <v>6757.5757575757571</v>
      </c>
      <c r="CN139">
        <f t="shared" si="378"/>
        <v>646</v>
      </c>
      <c r="CO139" s="9">
        <f t="shared" si="348"/>
        <v>6666.0412757973736</v>
      </c>
      <c r="CP139">
        <f t="shared" si="389"/>
        <v>625</v>
      </c>
      <c r="CQ139" s="9">
        <f t="shared" si="379"/>
        <v>6578.9473684210525</v>
      </c>
      <c r="CR139">
        <f t="shared" si="395"/>
        <v>606</v>
      </c>
      <c r="CS139" s="9">
        <f t="shared" si="390"/>
        <v>6497.0760233918127</v>
      </c>
      <c r="CT139">
        <f t="shared" si="396"/>
        <v>596</v>
      </c>
      <c r="CU139" s="9">
        <f t="shared" si="391"/>
        <v>6452.7559055118109</v>
      </c>
      <c r="CV139">
        <f t="shared" si="400"/>
        <v>606</v>
      </c>
      <c r="CW139" s="9">
        <f t="shared" si="398"/>
        <v>6497.0760233918127</v>
      </c>
    </row>
    <row r="140" spans="1:101" x14ac:dyDescent="0.25">
      <c r="A140">
        <v>11500</v>
      </c>
      <c r="B140">
        <v>0</v>
      </c>
      <c r="C140" s="9">
        <f t="shared" si="414"/>
        <v>0</v>
      </c>
      <c r="D140">
        <v>0</v>
      </c>
      <c r="E140" s="9">
        <f t="shared" si="415"/>
        <v>0</v>
      </c>
      <c r="F140">
        <v>0</v>
      </c>
      <c r="G140" s="9">
        <f t="shared" si="416"/>
        <v>0</v>
      </c>
      <c r="H140">
        <v>0</v>
      </c>
      <c r="I140" s="9">
        <f t="shared" si="417"/>
        <v>0</v>
      </c>
      <c r="J140">
        <v>0</v>
      </c>
      <c r="K140" s="9">
        <f t="shared" si="418"/>
        <v>0</v>
      </c>
      <c r="M140">
        <v>11500</v>
      </c>
      <c r="N140">
        <v>0</v>
      </c>
      <c r="O140" s="9">
        <f t="shared" si="419"/>
        <v>0</v>
      </c>
      <c r="P140">
        <v>0</v>
      </c>
      <c r="Q140" s="9">
        <f t="shared" si="420"/>
        <v>0</v>
      </c>
      <c r="R140">
        <v>0</v>
      </c>
      <c r="S140" s="9">
        <f t="shared" si="421"/>
        <v>0</v>
      </c>
      <c r="T140">
        <v>0</v>
      </c>
      <c r="U140" s="9">
        <f t="shared" si="422"/>
        <v>0</v>
      </c>
      <c r="V140">
        <v>0</v>
      </c>
      <c r="W140" s="9">
        <f t="shared" si="423"/>
        <v>0</v>
      </c>
      <c r="Y140">
        <v>11500</v>
      </c>
      <c r="Z140">
        <v>0</v>
      </c>
      <c r="AA140" s="9">
        <f t="shared" si="424"/>
        <v>0</v>
      </c>
      <c r="AB140">
        <v>0</v>
      </c>
      <c r="AC140" s="9">
        <f t="shared" si="425"/>
        <v>0</v>
      </c>
      <c r="AD140">
        <v>0</v>
      </c>
      <c r="AE140" s="9">
        <f t="shared" si="426"/>
        <v>0</v>
      </c>
      <c r="AF140">
        <v>0</v>
      </c>
      <c r="AG140" s="9">
        <f t="shared" si="427"/>
        <v>0</v>
      </c>
      <c r="AH140">
        <v>0</v>
      </c>
      <c r="AI140" s="9">
        <f t="shared" si="428"/>
        <v>0</v>
      </c>
      <c r="AK140">
        <v>11500</v>
      </c>
      <c r="AL140">
        <v>0</v>
      </c>
      <c r="AM140" s="9">
        <f t="shared" si="429"/>
        <v>0</v>
      </c>
      <c r="AN140">
        <v>0</v>
      </c>
      <c r="AO140" s="9">
        <f t="shared" si="430"/>
        <v>0</v>
      </c>
      <c r="AP140">
        <v>0</v>
      </c>
      <c r="AQ140" s="9">
        <f t="shared" si="431"/>
        <v>0</v>
      </c>
      <c r="AR140">
        <v>0</v>
      </c>
      <c r="AS140" s="9">
        <f t="shared" si="432"/>
        <v>0</v>
      </c>
      <c r="AT140">
        <v>0</v>
      </c>
      <c r="AU140" s="9">
        <f t="shared" si="433"/>
        <v>0</v>
      </c>
      <c r="AW140">
        <v>11500</v>
      </c>
      <c r="AX140">
        <v>0</v>
      </c>
      <c r="AY140" s="9">
        <f t="shared" si="434"/>
        <v>0</v>
      </c>
      <c r="AZ140">
        <v>0</v>
      </c>
      <c r="BA140" s="9">
        <f t="shared" si="435"/>
        <v>0</v>
      </c>
      <c r="BB140">
        <v>0</v>
      </c>
      <c r="BC140" s="9">
        <f t="shared" si="436"/>
        <v>0</v>
      </c>
      <c r="BD140">
        <v>0</v>
      </c>
      <c r="BE140" s="9">
        <f t="shared" si="437"/>
        <v>0</v>
      </c>
      <c r="BF140">
        <v>0</v>
      </c>
      <c r="BG140" s="9">
        <f t="shared" si="438"/>
        <v>0</v>
      </c>
      <c r="BI140">
        <v>11500</v>
      </c>
      <c r="BJ140">
        <v>0</v>
      </c>
      <c r="BK140" s="9">
        <f t="shared" si="439"/>
        <v>0</v>
      </c>
      <c r="BL140">
        <v>0</v>
      </c>
      <c r="BM140" s="9">
        <f t="shared" si="440"/>
        <v>0</v>
      </c>
      <c r="BN140">
        <v>0</v>
      </c>
      <c r="BO140" s="9">
        <f t="shared" si="441"/>
        <v>0</v>
      </c>
      <c r="BP140">
        <v>0</v>
      </c>
      <c r="BQ140" s="9">
        <f t="shared" si="442"/>
        <v>0</v>
      </c>
      <c r="BR140">
        <v>0</v>
      </c>
      <c r="BS140" s="9">
        <f t="shared" si="443"/>
        <v>0</v>
      </c>
      <c r="BU140">
        <v>11500</v>
      </c>
      <c r="BV140">
        <v>0</v>
      </c>
      <c r="BW140" s="9">
        <f t="shared" si="448"/>
        <v>0</v>
      </c>
      <c r="BX140">
        <v>0</v>
      </c>
      <c r="BY140" s="9">
        <f t="shared" si="445"/>
        <v>0</v>
      </c>
      <c r="BZ140">
        <v>0</v>
      </c>
      <c r="CA140" s="9">
        <f t="shared" si="446"/>
        <v>0</v>
      </c>
      <c r="CB140">
        <v>0</v>
      </c>
      <c r="CC140" s="9">
        <f t="shared" si="447"/>
        <v>0</v>
      </c>
      <c r="CD140">
        <v>0</v>
      </c>
      <c r="CE140" s="9">
        <f t="shared" si="444"/>
        <v>0</v>
      </c>
      <c r="CF140">
        <v>0</v>
      </c>
      <c r="CG140" s="9">
        <v>0</v>
      </c>
      <c r="CI140">
        <v>11500</v>
      </c>
      <c r="CJ140">
        <f t="shared" si="370"/>
        <v>692</v>
      </c>
      <c r="CK140" s="9">
        <f t="shared" si="332"/>
        <v>7156.4748201438852</v>
      </c>
      <c r="CL140">
        <f t="shared" si="371"/>
        <v>666</v>
      </c>
      <c r="CM140" s="9">
        <f t="shared" si="347"/>
        <v>7052.4861878453039</v>
      </c>
      <c r="CN140">
        <f t="shared" si="378"/>
        <v>642</v>
      </c>
      <c r="CO140" s="9">
        <f t="shared" si="348"/>
        <v>6951.9774011299432</v>
      </c>
      <c r="CP140">
        <f t="shared" si="389"/>
        <v>620</v>
      </c>
      <c r="CQ140" s="9">
        <f t="shared" si="379"/>
        <v>6855.7692307692314</v>
      </c>
      <c r="CR140">
        <f t="shared" si="395"/>
        <v>600</v>
      </c>
      <c r="CS140" s="9">
        <f t="shared" si="390"/>
        <v>6764.7058823529414</v>
      </c>
      <c r="CT140">
        <f t="shared" si="396"/>
        <v>589</v>
      </c>
      <c r="CU140" s="9">
        <f t="shared" si="391"/>
        <v>6713.0822596630323</v>
      </c>
      <c r="CV140">
        <v>0</v>
      </c>
      <c r="CW140" s="9">
        <f t="shared" si="398"/>
        <v>0</v>
      </c>
    </row>
    <row r="141" spans="1:101" x14ac:dyDescent="0.25">
      <c r="A141">
        <v>12000</v>
      </c>
      <c r="B141">
        <v>0</v>
      </c>
      <c r="C141" s="9">
        <f t="shared" si="414"/>
        <v>0</v>
      </c>
      <c r="D141">
        <v>0</v>
      </c>
      <c r="E141" s="9">
        <f t="shared" si="415"/>
        <v>0</v>
      </c>
      <c r="F141">
        <v>0</v>
      </c>
      <c r="G141" s="9">
        <f t="shared" si="416"/>
        <v>0</v>
      </c>
      <c r="H141">
        <v>0</v>
      </c>
      <c r="I141" s="9">
        <f t="shared" si="417"/>
        <v>0</v>
      </c>
      <c r="J141">
        <v>0</v>
      </c>
      <c r="K141" s="9">
        <f t="shared" si="418"/>
        <v>0</v>
      </c>
      <c r="M141">
        <v>12000</v>
      </c>
      <c r="N141">
        <v>0</v>
      </c>
      <c r="O141" s="9">
        <f t="shared" si="419"/>
        <v>0</v>
      </c>
      <c r="P141">
        <v>0</v>
      </c>
      <c r="Q141" s="9">
        <f t="shared" si="420"/>
        <v>0</v>
      </c>
      <c r="R141">
        <v>0</v>
      </c>
      <c r="S141" s="9">
        <f t="shared" si="421"/>
        <v>0</v>
      </c>
      <c r="T141">
        <v>0</v>
      </c>
      <c r="U141" s="9">
        <f t="shared" si="422"/>
        <v>0</v>
      </c>
      <c r="V141">
        <v>0</v>
      </c>
      <c r="W141" s="9">
        <f t="shared" si="423"/>
        <v>0</v>
      </c>
      <c r="Y141">
        <v>12000</v>
      </c>
      <c r="Z141">
        <v>0</v>
      </c>
      <c r="AA141" s="9">
        <f t="shared" si="424"/>
        <v>0</v>
      </c>
      <c r="AB141">
        <v>0</v>
      </c>
      <c r="AC141" s="9">
        <f t="shared" si="425"/>
        <v>0</v>
      </c>
      <c r="AD141">
        <v>0</v>
      </c>
      <c r="AE141" s="9">
        <f t="shared" si="426"/>
        <v>0</v>
      </c>
      <c r="AF141">
        <v>0</v>
      </c>
      <c r="AG141" s="9">
        <f t="shared" si="427"/>
        <v>0</v>
      </c>
      <c r="AH141">
        <v>0</v>
      </c>
      <c r="AI141" s="9">
        <f t="shared" si="428"/>
        <v>0</v>
      </c>
      <c r="AK141">
        <v>12000</v>
      </c>
      <c r="AL141">
        <v>0</v>
      </c>
      <c r="AM141" s="9">
        <f t="shared" si="429"/>
        <v>0</v>
      </c>
      <c r="AN141">
        <v>0</v>
      </c>
      <c r="AO141" s="9">
        <f t="shared" si="430"/>
        <v>0</v>
      </c>
      <c r="AP141">
        <v>0</v>
      </c>
      <c r="AQ141" s="9">
        <f t="shared" si="431"/>
        <v>0</v>
      </c>
      <c r="AR141">
        <v>0</v>
      </c>
      <c r="AS141" s="9">
        <f t="shared" si="432"/>
        <v>0</v>
      </c>
      <c r="AT141">
        <v>0</v>
      </c>
      <c r="AU141" s="9">
        <f t="shared" si="433"/>
        <v>0</v>
      </c>
      <c r="AW141">
        <v>12000</v>
      </c>
      <c r="AX141">
        <v>0</v>
      </c>
      <c r="AY141" s="9">
        <f t="shared" si="434"/>
        <v>0</v>
      </c>
      <c r="AZ141">
        <v>0</v>
      </c>
      <c r="BA141" s="9">
        <f t="shared" si="435"/>
        <v>0</v>
      </c>
      <c r="BB141">
        <v>0</v>
      </c>
      <c r="BC141" s="9">
        <f t="shared" si="436"/>
        <v>0</v>
      </c>
      <c r="BD141">
        <v>0</v>
      </c>
      <c r="BE141" s="9">
        <f t="shared" si="437"/>
        <v>0</v>
      </c>
      <c r="BF141">
        <v>0</v>
      </c>
      <c r="BG141" s="9">
        <f t="shared" si="438"/>
        <v>0</v>
      </c>
      <c r="BI141">
        <v>12000</v>
      </c>
      <c r="BJ141">
        <v>0</v>
      </c>
      <c r="BK141" s="9">
        <f t="shared" si="439"/>
        <v>0</v>
      </c>
      <c r="BL141">
        <v>0</v>
      </c>
      <c r="BM141" s="9">
        <f t="shared" si="440"/>
        <v>0</v>
      </c>
      <c r="BN141">
        <v>0</v>
      </c>
      <c r="BO141" s="9">
        <f t="shared" si="441"/>
        <v>0</v>
      </c>
      <c r="BP141">
        <v>0</v>
      </c>
      <c r="BQ141" s="9">
        <f t="shared" si="442"/>
        <v>0</v>
      </c>
      <c r="BR141">
        <v>0</v>
      </c>
      <c r="BS141" s="9">
        <f t="shared" si="443"/>
        <v>0</v>
      </c>
      <c r="BU141">
        <v>12000</v>
      </c>
      <c r="BV141">
        <v>0</v>
      </c>
      <c r="BW141" s="9">
        <f t="shared" si="448"/>
        <v>0</v>
      </c>
      <c r="BX141">
        <v>0</v>
      </c>
      <c r="BY141" s="9">
        <f t="shared" si="445"/>
        <v>0</v>
      </c>
      <c r="BZ141">
        <v>0</v>
      </c>
      <c r="CA141" s="9">
        <f t="shared" si="446"/>
        <v>0</v>
      </c>
      <c r="CB141">
        <v>0</v>
      </c>
      <c r="CC141" s="9">
        <f t="shared" si="447"/>
        <v>0</v>
      </c>
      <c r="CD141">
        <v>0</v>
      </c>
      <c r="CE141" s="9">
        <f t="shared" si="444"/>
        <v>0</v>
      </c>
      <c r="CF141">
        <v>0</v>
      </c>
      <c r="CG141" s="9">
        <v>0</v>
      </c>
      <c r="CI141">
        <v>12000</v>
      </c>
      <c r="CJ141">
        <f t="shared" si="370"/>
        <v>690</v>
      </c>
      <c r="CK141" s="9">
        <f t="shared" si="332"/>
        <v>7459.4594594594591</v>
      </c>
      <c r="CL141">
        <f t="shared" si="371"/>
        <v>663</v>
      </c>
      <c r="CM141" s="9">
        <f t="shared" si="347"/>
        <v>7346.2603878116342</v>
      </c>
      <c r="CN141">
        <f t="shared" si="378"/>
        <v>638</v>
      </c>
      <c r="CO141" s="9">
        <f t="shared" si="348"/>
        <v>7236.2948960302456</v>
      </c>
      <c r="CP141">
        <f t="shared" si="389"/>
        <v>615</v>
      </c>
      <c r="CQ141" s="9">
        <f t="shared" si="379"/>
        <v>7130.4347826086951</v>
      </c>
      <c r="CR141">
        <f t="shared" si="395"/>
        <v>594</v>
      </c>
      <c r="CS141" s="9">
        <f t="shared" si="390"/>
        <v>7029.5857988165681</v>
      </c>
      <c r="CT141">
        <f t="shared" si="396"/>
        <v>582</v>
      </c>
      <c r="CU141" s="9">
        <f t="shared" si="391"/>
        <v>6970.0598802395207</v>
      </c>
      <c r="CV141">
        <v>0</v>
      </c>
      <c r="CW141" s="9">
        <f t="shared" si="398"/>
        <v>0</v>
      </c>
    </row>
    <row r="142" spans="1:101" x14ac:dyDescent="0.25">
      <c r="A142">
        <v>12500</v>
      </c>
      <c r="B142">
        <v>0</v>
      </c>
      <c r="C142" s="9">
        <v>0</v>
      </c>
      <c r="D142">
        <v>0</v>
      </c>
      <c r="E142" s="9">
        <v>0</v>
      </c>
      <c r="F142">
        <v>0</v>
      </c>
      <c r="G142" s="9">
        <v>0</v>
      </c>
      <c r="H142">
        <v>0</v>
      </c>
      <c r="I142" s="9">
        <v>0</v>
      </c>
      <c r="J142">
        <v>0</v>
      </c>
      <c r="K142" s="9">
        <v>0</v>
      </c>
      <c r="M142">
        <v>12500</v>
      </c>
      <c r="N142">
        <v>0</v>
      </c>
      <c r="O142" s="9">
        <v>0</v>
      </c>
      <c r="P142">
        <v>0</v>
      </c>
      <c r="Q142" s="9">
        <v>0</v>
      </c>
      <c r="R142">
        <v>0</v>
      </c>
      <c r="S142" s="9">
        <v>0</v>
      </c>
      <c r="T142">
        <v>0</v>
      </c>
      <c r="U142" s="9">
        <v>0</v>
      </c>
      <c r="V142">
        <v>0</v>
      </c>
      <c r="W142" s="9">
        <v>0</v>
      </c>
      <c r="Y142">
        <v>12500</v>
      </c>
      <c r="Z142">
        <v>0</v>
      </c>
      <c r="AA142" s="9">
        <v>0</v>
      </c>
      <c r="AB142">
        <v>0</v>
      </c>
      <c r="AC142" s="9">
        <v>0</v>
      </c>
      <c r="AD142">
        <v>0</v>
      </c>
      <c r="AE142" s="9">
        <v>0</v>
      </c>
      <c r="AF142">
        <v>0</v>
      </c>
      <c r="AG142" s="9">
        <v>0</v>
      </c>
      <c r="AH142">
        <v>0</v>
      </c>
      <c r="AI142" s="9">
        <v>0</v>
      </c>
      <c r="AK142">
        <v>12500</v>
      </c>
      <c r="AL142">
        <v>0</v>
      </c>
      <c r="AM142" s="9">
        <v>0</v>
      </c>
      <c r="AN142">
        <v>0</v>
      </c>
      <c r="AO142" s="9">
        <v>0</v>
      </c>
      <c r="AP142">
        <v>0</v>
      </c>
      <c r="AQ142" s="9">
        <v>0</v>
      </c>
      <c r="AR142">
        <v>0</v>
      </c>
      <c r="AS142" s="9">
        <v>0</v>
      </c>
      <c r="AT142">
        <v>0</v>
      </c>
      <c r="AU142" s="9">
        <v>0</v>
      </c>
      <c r="AW142">
        <v>12500</v>
      </c>
      <c r="AX142">
        <v>0</v>
      </c>
      <c r="AY142" s="9">
        <v>0</v>
      </c>
      <c r="AZ142">
        <v>0</v>
      </c>
      <c r="BA142" s="9">
        <v>0</v>
      </c>
      <c r="BB142">
        <v>0</v>
      </c>
      <c r="BC142" s="9">
        <v>0</v>
      </c>
      <c r="BD142">
        <v>0</v>
      </c>
      <c r="BE142" s="9">
        <v>0</v>
      </c>
      <c r="BF142">
        <v>0</v>
      </c>
      <c r="BG142" s="9">
        <v>0</v>
      </c>
      <c r="BI142">
        <v>12500</v>
      </c>
      <c r="BJ142">
        <v>0</v>
      </c>
      <c r="BK142" s="9">
        <v>0</v>
      </c>
      <c r="BL142">
        <v>0</v>
      </c>
      <c r="BM142" s="9">
        <v>0</v>
      </c>
      <c r="BN142">
        <v>0</v>
      </c>
      <c r="BO142" s="9">
        <v>0</v>
      </c>
      <c r="BP142">
        <v>0</v>
      </c>
      <c r="BQ142" s="9">
        <v>0</v>
      </c>
      <c r="BR142">
        <v>0</v>
      </c>
      <c r="BS142" s="9">
        <v>0</v>
      </c>
      <c r="BU142">
        <v>12500</v>
      </c>
      <c r="BV142">
        <v>0</v>
      </c>
      <c r="BW142" s="9">
        <v>0</v>
      </c>
      <c r="BX142">
        <v>0</v>
      </c>
      <c r="BY142" s="9">
        <v>0</v>
      </c>
      <c r="BZ142">
        <v>0</v>
      </c>
      <c r="CA142" s="9">
        <v>0</v>
      </c>
      <c r="CB142">
        <v>0</v>
      </c>
      <c r="CC142" s="9">
        <v>0</v>
      </c>
      <c r="CD142">
        <v>0</v>
      </c>
      <c r="CE142" s="9">
        <v>0</v>
      </c>
      <c r="CF142">
        <v>0</v>
      </c>
      <c r="CG142" s="9">
        <v>0</v>
      </c>
      <c r="CI142">
        <v>12500</v>
      </c>
      <c r="CJ142">
        <f t="shared" si="370"/>
        <v>688</v>
      </c>
      <c r="CK142" s="9">
        <f t="shared" si="332"/>
        <v>7761.73285198556</v>
      </c>
      <c r="CL142">
        <f t="shared" si="371"/>
        <v>660</v>
      </c>
      <c r="CM142" s="9">
        <f t="shared" si="347"/>
        <v>7638.8888888888896</v>
      </c>
      <c r="CN142">
        <f t="shared" si="378"/>
        <v>634</v>
      </c>
      <c r="CO142" s="9">
        <f t="shared" si="348"/>
        <v>7518.9753320683112</v>
      </c>
      <c r="CP142">
        <f t="shared" si="389"/>
        <v>610</v>
      </c>
      <c r="CQ142" s="9">
        <f t="shared" si="379"/>
        <v>7402.9126213592226</v>
      </c>
      <c r="CR142">
        <f t="shared" si="395"/>
        <v>588</v>
      </c>
      <c r="CS142" s="9">
        <f t="shared" si="390"/>
        <v>7291.6666666666661</v>
      </c>
      <c r="CT142">
        <f t="shared" si="396"/>
        <v>575</v>
      </c>
      <c r="CU142" s="9">
        <f t="shared" si="391"/>
        <v>7223.6180904522616</v>
      </c>
      <c r="CV142">
        <v>0</v>
      </c>
      <c r="CW142">
        <v>0</v>
      </c>
    </row>
    <row r="143" spans="1:101" x14ac:dyDescent="0.25">
      <c r="A143">
        <v>13000</v>
      </c>
      <c r="B143">
        <v>0</v>
      </c>
      <c r="C143" s="9">
        <v>0</v>
      </c>
      <c r="D143">
        <v>0</v>
      </c>
      <c r="E143" s="9">
        <v>0</v>
      </c>
      <c r="F143">
        <v>0</v>
      </c>
      <c r="G143" s="9">
        <v>0</v>
      </c>
      <c r="H143">
        <v>0</v>
      </c>
      <c r="I143" s="9">
        <v>0</v>
      </c>
      <c r="J143">
        <v>0</v>
      </c>
      <c r="K143" s="9">
        <v>0</v>
      </c>
      <c r="M143">
        <v>13000</v>
      </c>
      <c r="N143">
        <v>0</v>
      </c>
      <c r="O143" s="9">
        <v>0</v>
      </c>
      <c r="P143">
        <v>0</v>
      </c>
      <c r="Q143" s="9">
        <v>0</v>
      </c>
      <c r="R143">
        <v>0</v>
      </c>
      <c r="S143" s="9">
        <v>0</v>
      </c>
      <c r="T143">
        <v>0</v>
      </c>
      <c r="U143" s="9">
        <v>0</v>
      </c>
      <c r="V143">
        <v>0</v>
      </c>
      <c r="W143" s="9">
        <v>0</v>
      </c>
      <c r="Y143">
        <v>13000</v>
      </c>
      <c r="Z143">
        <v>0</v>
      </c>
      <c r="AA143" s="9">
        <v>0</v>
      </c>
      <c r="AB143">
        <v>0</v>
      </c>
      <c r="AC143" s="9">
        <v>0</v>
      </c>
      <c r="AD143">
        <v>0</v>
      </c>
      <c r="AE143" s="9">
        <v>0</v>
      </c>
      <c r="AF143">
        <v>0</v>
      </c>
      <c r="AG143" s="9">
        <v>0</v>
      </c>
      <c r="AH143">
        <v>0</v>
      </c>
      <c r="AI143" s="9">
        <v>0</v>
      </c>
      <c r="AK143">
        <v>13000</v>
      </c>
      <c r="AL143">
        <v>0</v>
      </c>
      <c r="AM143" s="9">
        <v>0</v>
      </c>
      <c r="AN143">
        <v>0</v>
      </c>
      <c r="AO143" s="9">
        <v>0</v>
      </c>
      <c r="AP143">
        <v>0</v>
      </c>
      <c r="AQ143" s="9">
        <v>0</v>
      </c>
      <c r="AR143">
        <v>0</v>
      </c>
      <c r="AS143" s="9">
        <v>0</v>
      </c>
      <c r="AT143">
        <v>0</v>
      </c>
      <c r="AU143" s="9">
        <v>0</v>
      </c>
      <c r="AW143">
        <v>13000</v>
      </c>
      <c r="AX143">
        <v>0</v>
      </c>
      <c r="AY143" s="9">
        <v>0</v>
      </c>
      <c r="AZ143">
        <v>0</v>
      </c>
      <c r="BA143" s="9">
        <v>0</v>
      </c>
      <c r="BB143">
        <v>0</v>
      </c>
      <c r="BC143" s="9">
        <v>0</v>
      </c>
      <c r="BD143">
        <v>0</v>
      </c>
      <c r="BE143" s="9">
        <v>0</v>
      </c>
      <c r="BF143">
        <v>0</v>
      </c>
      <c r="BG143" s="9">
        <v>0</v>
      </c>
      <c r="BI143">
        <v>13000</v>
      </c>
      <c r="BJ143">
        <v>0</v>
      </c>
      <c r="BK143" s="9">
        <v>0</v>
      </c>
      <c r="BL143">
        <v>0</v>
      </c>
      <c r="BM143" s="9">
        <v>0</v>
      </c>
      <c r="BN143">
        <v>0</v>
      </c>
      <c r="BO143" s="9">
        <v>0</v>
      </c>
      <c r="BP143">
        <v>0</v>
      </c>
      <c r="BQ143" s="9">
        <v>0</v>
      </c>
      <c r="BR143">
        <v>0</v>
      </c>
      <c r="BS143" s="9">
        <v>0</v>
      </c>
      <c r="BU143">
        <v>13000</v>
      </c>
      <c r="BV143">
        <v>0</v>
      </c>
      <c r="BW143" s="9">
        <v>0</v>
      </c>
      <c r="BX143">
        <v>0</v>
      </c>
      <c r="BY143" s="9">
        <v>0</v>
      </c>
      <c r="BZ143">
        <v>0</v>
      </c>
      <c r="CA143" s="9">
        <v>0</v>
      </c>
      <c r="CB143">
        <v>0</v>
      </c>
      <c r="CC143" s="9">
        <v>0</v>
      </c>
      <c r="CD143">
        <v>0</v>
      </c>
      <c r="CE143" s="9">
        <v>0</v>
      </c>
      <c r="CF143">
        <v>0</v>
      </c>
      <c r="CG143" s="9">
        <v>0</v>
      </c>
      <c r="CI143">
        <v>13000</v>
      </c>
      <c r="CJ143">
        <f t="shared" si="370"/>
        <v>686</v>
      </c>
      <c r="CK143" s="9">
        <f t="shared" si="332"/>
        <v>8063.2911392405058</v>
      </c>
      <c r="CL143">
        <f t="shared" si="371"/>
        <v>657</v>
      </c>
      <c r="CM143" s="9">
        <f t="shared" si="347"/>
        <v>7930.3621169916432</v>
      </c>
      <c r="CN143">
        <f t="shared" si="378"/>
        <v>630</v>
      </c>
      <c r="CO143" s="9">
        <f t="shared" si="348"/>
        <v>7800</v>
      </c>
      <c r="CP143">
        <f t="shared" si="389"/>
        <v>605</v>
      </c>
      <c r="CQ143" s="9">
        <f t="shared" si="379"/>
        <v>7673.1707317073169</v>
      </c>
      <c r="CR143">
        <f t="shared" si="395"/>
        <v>582</v>
      </c>
      <c r="CS143" s="9">
        <f t="shared" si="390"/>
        <v>7550.8982035928138</v>
      </c>
      <c r="CT143">
        <f t="shared" si="396"/>
        <v>568</v>
      </c>
      <c r="CU143" s="9">
        <f t="shared" si="391"/>
        <v>7473.6842105263158</v>
      </c>
      <c r="CV143">
        <v>0</v>
      </c>
      <c r="CW143">
        <v>0</v>
      </c>
    </row>
    <row r="144" spans="1:101" x14ac:dyDescent="0.25">
      <c r="A144">
        <v>13500</v>
      </c>
      <c r="B144">
        <v>0</v>
      </c>
      <c r="C144" s="9">
        <f t="shared" ref="C144:C150" si="449">PRODUCT(A145,B144,1/(B144+300))</f>
        <v>0</v>
      </c>
      <c r="D144">
        <v>0</v>
      </c>
      <c r="E144" s="9">
        <f t="shared" ref="E144:E150" si="450">PRODUCT(C144,D144,1/(D144+300))</f>
        <v>0</v>
      </c>
      <c r="F144">
        <v>0</v>
      </c>
      <c r="G144" s="9">
        <f t="shared" ref="G144:G150" si="451">PRODUCT(E144,F144,1/(F144+300))</f>
        <v>0</v>
      </c>
      <c r="H144">
        <v>0</v>
      </c>
      <c r="I144" s="9">
        <f t="shared" ref="I144:I150" si="452">PRODUCT(G144,H144,1/(H144+300))</f>
        <v>0</v>
      </c>
      <c r="J144">
        <v>0</v>
      </c>
      <c r="K144" s="9">
        <f t="shared" ref="K144:K150" si="453">PRODUCT(I144,J144,1/(J144+300))</f>
        <v>0</v>
      </c>
      <c r="M144">
        <v>13500</v>
      </c>
      <c r="N144">
        <v>0</v>
      </c>
      <c r="O144" s="9">
        <f t="shared" ref="O144:O150" si="454">PRODUCT(M145,N144,1/(N144+300))</f>
        <v>0</v>
      </c>
      <c r="P144">
        <v>0</v>
      </c>
      <c r="Q144" s="9">
        <f t="shared" ref="Q144:Q150" si="455">PRODUCT(O144,P144,1/(P144+300))</f>
        <v>0</v>
      </c>
      <c r="R144">
        <v>0</v>
      </c>
      <c r="S144" s="9">
        <f t="shared" ref="S144:S150" si="456">PRODUCT(Q144,R144,1/(R144+300))</f>
        <v>0</v>
      </c>
      <c r="T144">
        <v>0</v>
      </c>
      <c r="U144" s="9">
        <f t="shared" ref="U144:U150" si="457">PRODUCT(S144,T144,1/(T144+300))</f>
        <v>0</v>
      </c>
      <c r="V144">
        <v>0</v>
      </c>
      <c r="W144" s="9">
        <f t="shared" ref="W144:W150" si="458">PRODUCT(U144,V144,1/(V144+300))</f>
        <v>0</v>
      </c>
      <c r="Y144">
        <v>13500</v>
      </c>
      <c r="Z144">
        <v>0</v>
      </c>
      <c r="AA144" s="9">
        <f t="shared" ref="AA144:AA150" si="459">PRODUCT(Y145,Z144,1/(Z144+300))</f>
        <v>0</v>
      </c>
      <c r="AB144">
        <v>0</v>
      </c>
      <c r="AC144" s="9">
        <f t="shared" ref="AC144:AC150" si="460">PRODUCT(AA144,AB144,1/(AB144+300))</f>
        <v>0</v>
      </c>
      <c r="AD144">
        <v>0</v>
      </c>
      <c r="AE144" s="9">
        <f t="shared" ref="AE144:AE150" si="461">PRODUCT(AC144,AD144,1/(AD144+300))</f>
        <v>0</v>
      </c>
      <c r="AF144">
        <v>0</v>
      </c>
      <c r="AG144" s="9">
        <f t="shared" ref="AG144:AG150" si="462">PRODUCT(AE144,AF144,1/(AF144+300))</f>
        <v>0</v>
      </c>
      <c r="AH144">
        <v>0</v>
      </c>
      <c r="AI144" s="9">
        <f t="shared" ref="AI144:AI150" si="463">PRODUCT(AG144,AH144,1/(AH144+300))</f>
        <v>0</v>
      </c>
      <c r="AK144">
        <v>13500</v>
      </c>
      <c r="AL144">
        <v>0</v>
      </c>
      <c r="AM144" s="9">
        <f t="shared" ref="AM144:AM150" si="464">PRODUCT(AK145,AL144,1/(AL144+300))</f>
        <v>0</v>
      </c>
      <c r="AN144">
        <v>0</v>
      </c>
      <c r="AO144" s="9">
        <f t="shared" ref="AO144:AO150" si="465">PRODUCT(AM144,AN144,1/(AN144+300))</f>
        <v>0</v>
      </c>
      <c r="AP144">
        <v>0</v>
      </c>
      <c r="AQ144" s="9">
        <f t="shared" ref="AQ144:AQ150" si="466">PRODUCT(AO144,AP144,1/(AP144+300))</f>
        <v>0</v>
      </c>
      <c r="AR144">
        <v>0</v>
      </c>
      <c r="AS144" s="9">
        <f t="shared" ref="AS144:AS150" si="467">PRODUCT(AQ144,AR144,1/(AR144+300))</f>
        <v>0</v>
      </c>
      <c r="AT144">
        <v>0</v>
      </c>
      <c r="AU144" s="9">
        <f t="shared" ref="AU144:AU150" si="468">PRODUCT(AS144,AT144,1/(AT144+300))</f>
        <v>0</v>
      </c>
      <c r="AW144">
        <v>13500</v>
      </c>
      <c r="AX144">
        <v>0</v>
      </c>
      <c r="AY144" s="9">
        <f t="shared" ref="AY144:AY150" si="469">PRODUCT(AW145,AX144,1/(AX144+300))</f>
        <v>0</v>
      </c>
      <c r="AZ144">
        <v>0</v>
      </c>
      <c r="BA144" s="9">
        <f t="shared" ref="BA144:BA150" si="470">PRODUCT(AY144,AZ144,1/(AZ144+300))</f>
        <v>0</v>
      </c>
      <c r="BB144">
        <v>0</v>
      </c>
      <c r="BC144" s="9">
        <f t="shared" ref="BC144:BC150" si="471">PRODUCT(BA144,BB144,1/(BB144+300))</f>
        <v>0</v>
      </c>
      <c r="BD144">
        <v>0</v>
      </c>
      <c r="BE144" s="9">
        <f t="shared" ref="BE144:BE150" si="472">PRODUCT(BC144,BD144,1/(BD144+300))</f>
        <v>0</v>
      </c>
      <c r="BF144">
        <v>0</v>
      </c>
      <c r="BG144" s="9">
        <f t="shared" ref="BG144:BG150" si="473">PRODUCT(BE144,BF144,1/(BF144+300))</f>
        <v>0</v>
      </c>
      <c r="BI144">
        <v>13500</v>
      </c>
      <c r="BJ144">
        <v>0</v>
      </c>
      <c r="BK144" s="9">
        <f t="shared" ref="BK144:BK150" si="474">PRODUCT(BI145,BJ144,1/(BJ144+300))</f>
        <v>0</v>
      </c>
      <c r="BL144">
        <v>0</v>
      </c>
      <c r="BM144" s="9">
        <f t="shared" ref="BM144:BM150" si="475">PRODUCT(BK144,BL144,1/(BL144+300))</f>
        <v>0</v>
      </c>
      <c r="BN144">
        <v>0</v>
      </c>
      <c r="BO144" s="9">
        <f t="shared" ref="BO144:BO150" si="476">PRODUCT(BM144,BN144,1/(BN144+300))</f>
        <v>0</v>
      </c>
      <c r="BP144">
        <v>0</v>
      </c>
      <c r="BQ144" s="9">
        <f t="shared" ref="BQ144:BQ150" si="477">PRODUCT(BO144,BP144,1/(BP144+300))</f>
        <v>0</v>
      </c>
      <c r="BR144">
        <v>0</v>
      </c>
      <c r="BS144" s="9">
        <f t="shared" ref="BS144:BS150" si="478">PRODUCT(BQ144,BR144,1/(BR144+300))</f>
        <v>0</v>
      </c>
      <c r="BU144">
        <v>13500</v>
      </c>
      <c r="BV144">
        <v>0</v>
      </c>
      <c r="BW144" s="9">
        <f t="shared" ref="BW144:BW150" si="479">PRODUCT(BU145,BV144,1/(BV144+300))</f>
        <v>0</v>
      </c>
      <c r="BX144">
        <v>0</v>
      </c>
      <c r="BY144" s="9">
        <f t="shared" ref="BY144:BY150" si="480">PRODUCT(BW144,BX144,1/(BX144+300))</f>
        <v>0</v>
      </c>
      <c r="BZ144">
        <v>0</v>
      </c>
      <c r="CA144" s="9">
        <f t="shared" ref="CA144:CA150" si="481">PRODUCT(BY144,BZ144,1/(BZ144+300))</f>
        <v>0</v>
      </c>
      <c r="CB144">
        <v>0</v>
      </c>
      <c r="CC144" s="9">
        <f t="shared" ref="CC144:CC150" si="482">PRODUCT(CA144,CB144,1/(CB144+300))</f>
        <v>0</v>
      </c>
      <c r="CD144">
        <v>0</v>
      </c>
      <c r="CE144" s="9">
        <f t="shared" ref="CE144:CE150" si="483">PRODUCT(CC144,CD144,1/(CD144+300))</f>
        <v>0</v>
      </c>
      <c r="CF144">
        <v>0</v>
      </c>
      <c r="CG144" s="9">
        <v>0</v>
      </c>
      <c r="CI144">
        <v>13500</v>
      </c>
      <c r="CJ144">
        <f t="shared" si="370"/>
        <v>684</v>
      </c>
      <c r="CK144" s="9">
        <f t="shared" si="332"/>
        <v>8364.1304347826081</v>
      </c>
      <c r="CL144">
        <f t="shared" si="371"/>
        <v>654</v>
      </c>
      <c r="CM144" s="9">
        <f t="shared" si="347"/>
        <v>8220.6703910614524</v>
      </c>
      <c r="CN144">
        <f t="shared" si="378"/>
        <v>626</v>
      </c>
      <c r="CO144" s="9">
        <f t="shared" si="348"/>
        <v>8079.3499043977054</v>
      </c>
      <c r="CP144">
        <f t="shared" si="389"/>
        <v>600</v>
      </c>
      <c r="CQ144" s="9">
        <f t="shared" si="379"/>
        <v>7941.1764705882351</v>
      </c>
      <c r="CR144">
        <f t="shared" si="395"/>
        <v>576</v>
      </c>
      <c r="CS144" s="9">
        <f t="shared" si="390"/>
        <v>7807.2289156626503</v>
      </c>
      <c r="CT144">
        <f t="shared" si="396"/>
        <v>561</v>
      </c>
      <c r="CU144" s="9">
        <f t="shared" si="391"/>
        <v>7720.1834862385331</v>
      </c>
      <c r="CV144">
        <v>0</v>
      </c>
      <c r="CW144">
        <v>0</v>
      </c>
    </row>
    <row r="145" spans="1:101" x14ac:dyDescent="0.25">
      <c r="A145">
        <v>14000</v>
      </c>
      <c r="B145">
        <v>0</v>
      </c>
      <c r="C145" s="9">
        <f t="shared" si="449"/>
        <v>0</v>
      </c>
      <c r="D145">
        <v>0</v>
      </c>
      <c r="E145" s="9">
        <f t="shared" si="450"/>
        <v>0</v>
      </c>
      <c r="F145">
        <v>0</v>
      </c>
      <c r="G145" s="9">
        <f t="shared" si="451"/>
        <v>0</v>
      </c>
      <c r="H145">
        <v>0</v>
      </c>
      <c r="I145" s="9">
        <f t="shared" si="452"/>
        <v>0</v>
      </c>
      <c r="J145">
        <v>0</v>
      </c>
      <c r="K145" s="9">
        <f t="shared" si="453"/>
        <v>0</v>
      </c>
      <c r="M145">
        <v>14000</v>
      </c>
      <c r="N145">
        <v>0</v>
      </c>
      <c r="O145" s="9">
        <f t="shared" si="454"/>
        <v>0</v>
      </c>
      <c r="P145">
        <v>0</v>
      </c>
      <c r="Q145" s="9">
        <f t="shared" si="455"/>
        <v>0</v>
      </c>
      <c r="R145">
        <v>0</v>
      </c>
      <c r="S145" s="9">
        <f t="shared" si="456"/>
        <v>0</v>
      </c>
      <c r="T145">
        <v>0</v>
      </c>
      <c r="U145" s="9">
        <f t="shared" si="457"/>
        <v>0</v>
      </c>
      <c r="V145">
        <v>0</v>
      </c>
      <c r="W145" s="9">
        <f t="shared" si="458"/>
        <v>0</v>
      </c>
      <c r="Y145">
        <v>14000</v>
      </c>
      <c r="Z145">
        <v>0</v>
      </c>
      <c r="AA145" s="9">
        <f t="shared" si="459"/>
        <v>0</v>
      </c>
      <c r="AB145">
        <v>0</v>
      </c>
      <c r="AC145" s="9">
        <f t="shared" si="460"/>
        <v>0</v>
      </c>
      <c r="AD145">
        <v>0</v>
      </c>
      <c r="AE145" s="9">
        <f t="shared" si="461"/>
        <v>0</v>
      </c>
      <c r="AF145">
        <v>0</v>
      </c>
      <c r="AG145" s="9">
        <f t="shared" si="462"/>
        <v>0</v>
      </c>
      <c r="AH145">
        <v>0</v>
      </c>
      <c r="AI145" s="9">
        <f t="shared" si="463"/>
        <v>0</v>
      </c>
      <c r="AK145">
        <v>14000</v>
      </c>
      <c r="AL145">
        <v>0</v>
      </c>
      <c r="AM145" s="9">
        <f t="shared" si="464"/>
        <v>0</v>
      </c>
      <c r="AN145">
        <v>0</v>
      </c>
      <c r="AO145" s="9">
        <f t="shared" si="465"/>
        <v>0</v>
      </c>
      <c r="AP145">
        <v>0</v>
      </c>
      <c r="AQ145" s="9">
        <f t="shared" si="466"/>
        <v>0</v>
      </c>
      <c r="AR145">
        <v>0</v>
      </c>
      <c r="AS145" s="9">
        <f t="shared" si="467"/>
        <v>0</v>
      </c>
      <c r="AT145">
        <v>0</v>
      </c>
      <c r="AU145" s="9">
        <f t="shared" si="468"/>
        <v>0</v>
      </c>
      <c r="AW145">
        <v>14000</v>
      </c>
      <c r="AX145">
        <v>0</v>
      </c>
      <c r="AY145" s="9">
        <f t="shared" si="469"/>
        <v>0</v>
      </c>
      <c r="AZ145">
        <v>0</v>
      </c>
      <c r="BA145" s="9">
        <f t="shared" si="470"/>
        <v>0</v>
      </c>
      <c r="BB145">
        <v>0</v>
      </c>
      <c r="BC145" s="9">
        <f t="shared" si="471"/>
        <v>0</v>
      </c>
      <c r="BD145">
        <v>0</v>
      </c>
      <c r="BE145" s="9">
        <f t="shared" si="472"/>
        <v>0</v>
      </c>
      <c r="BF145">
        <v>0</v>
      </c>
      <c r="BG145" s="9">
        <f t="shared" si="473"/>
        <v>0</v>
      </c>
      <c r="BI145">
        <v>14000</v>
      </c>
      <c r="BJ145">
        <v>0</v>
      </c>
      <c r="BK145" s="9">
        <f t="shared" si="474"/>
        <v>0</v>
      </c>
      <c r="BL145">
        <v>0</v>
      </c>
      <c r="BM145" s="9">
        <f t="shared" si="475"/>
        <v>0</v>
      </c>
      <c r="BN145">
        <v>0</v>
      </c>
      <c r="BO145" s="9">
        <f t="shared" si="476"/>
        <v>0</v>
      </c>
      <c r="BP145">
        <v>0</v>
      </c>
      <c r="BQ145" s="9">
        <f t="shared" si="477"/>
        <v>0</v>
      </c>
      <c r="BR145">
        <v>0</v>
      </c>
      <c r="BS145" s="9">
        <f t="shared" si="478"/>
        <v>0</v>
      </c>
      <c r="BU145">
        <v>14000</v>
      </c>
      <c r="BV145">
        <v>0</v>
      </c>
      <c r="BW145" s="9">
        <f t="shared" si="479"/>
        <v>0</v>
      </c>
      <c r="BX145">
        <v>0</v>
      </c>
      <c r="BY145" s="9">
        <f t="shared" si="480"/>
        <v>0</v>
      </c>
      <c r="BZ145">
        <v>0</v>
      </c>
      <c r="CA145" s="9">
        <f t="shared" si="481"/>
        <v>0</v>
      </c>
      <c r="CB145">
        <v>0</v>
      </c>
      <c r="CC145" s="9">
        <f t="shared" si="482"/>
        <v>0</v>
      </c>
      <c r="CD145">
        <v>0</v>
      </c>
      <c r="CE145" s="9">
        <f t="shared" si="483"/>
        <v>0</v>
      </c>
      <c r="CF145">
        <v>0</v>
      </c>
      <c r="CG145" s="9">
        <v>0</v>
      </c>
      <c r="CI145">
        <v>14000</v>
      </c>
      <c r="CJ145">
        <f t="shared" si="370"/>
        <v>682</v>
      </c>
      <c r="CK145" s="9">
        <f t="shared" si="332"/>
        <v>8664.2468239564423</v>
      </c>
      <c r="CL145">
        <f t="shared" si="371"/>
        <v>651</v>
      </c>
      <c r="CM145" s="9">
        <f t="shared" si="347"/>
        <v>8509.8039215686276</v>
      </c>
      <c r="CN145">
        <f t="shared" si="378"/>
        <v>622</v>
      </c>
      <c r="CO145" s="9">
        <f t="shared" si="348"/>
        <v>8357.0057581573892</v>
      </c>
      <c r="CP145">
        <f t="shared" si="389"/>
        <v>595</v>
      </c>
      <c r="CQ145" s="9">
        <f t="shared" si="379"/>
        <v>8206.8965517241377</v>
      </c>
      <c r="CR145">
        <f t="shared" si="395"/>
        <v>570</v>
      </c>
      <c r="CS145" s="9">
        <f t="shared" si="390"/>
        <v>8060.606060606061</v>
      </c>
      <c r="CT145">
        <f t="shared" si="396"/>
        <v>554</v>
      </c>
      <c r="CU145" s="9">
        <f t="shared" si="391"/>
        <v>7963.0390143737168</v>
      </c>
      <c r="CV145">
        <v>0</v>
      </c>
      <c r="CW145">
        <v>0</v>
      </c>
    </row>
    <row r="146" spans="1:101" x14ac:dyDescent="0.25">
      <c r="A146">
        <v>14500</v>
      </c>
      <c r="B146">
        <v>0</v>
      </c>
      <c r="C146" s="9">
        <f t="shared" si="449"/>
        <v>0</v>
      </c>
      <c r="D146">
        <v>0</v>
      </c>
      <c r="E146" s="9">
        <f t="shared" si="450"/>
        <v>0</v>
      </c>
      <c r="F146">
        <v>0</v>
      </c>
      <c r="G146" s="9">
        <f t="shared" si="451"/>
        <v>0</v>
      </c>
      <c r="H146">
        <v>0</v>
      </c>
      <c r="I146" s="9">
        <f t="shared" si="452"/>
        <v>0</v>
      </c>
      <c r="J146">
        <v>0</v>
      </c>
      <c r="K146" s="9">
        <f t="shared" si="453"/>
        <v>0</v>
      </c>
      <c r="M146">
        <v>14500</v>
      </c>
      <c r="N146">
        <v>0</v>
      </c>
      <c r="O146" s="9">
        <f t="shared" si="454"/>
        <v>0</v>
      </c>
      <c r="P146">
        <v>0</v>
      </c>
      <c r="Q146" s="9">
        <f t="shared" si="455"/>
        <v>0</v>
      </c>
      <c r="R146">
        <v>0</v>
      </c>
      <c r="S146" s="9">
        <f t="shared" si="456"/>
        <v>0</v>
      </c>
      <c r="T146">
        <v>0</v>
      </c>
      <c r="U146" s="9">
        <f t="shared" si="457"/>
        <v>0</v>
      </c>
      <c r="V146">
        <v>0</v>
      </c>
      <c r="W146" s="9">
        <f t="shared" si="458"/>
        <v>0</v>
      </c>
      <c r="Y146">
        <v>14500</v>
      </c>
      <c r="Z146">
        <v>0</v>
      </c>
      <c r="AA146" s="9">
        <f t="shared" si="459"/>
        <v>0</v>
      </c>
      <c r="AB146">
        <v>0</v>
      </c>
      <c r="AC146" s="9">
        <f t="shared" si="460"/>
        <v>0</v>
      </c>
      <c r="AD146">
        <v>0</v>
      </c>
      <c r="AE146" s="9">
        <f t="shared" si="461"/>
        <v>0</v>
      </c>
      <c r="AF146">
        <v>0</v>
      </c>
      <c r="AG146" s="9">
        <f t="shared" si="462"/>
        <v>0</v>
      </c>
      <c r="AH146">
        <v>0</v>
      </c>
      <c r="AI146" s="9">
        <f t="shared" si="463"/>
        <v>0</v>
      </c>
      <c r="AK146">
        <v>14500</v>
      </c>
      <c r="AL146">
        <v>0</v>
      </c>
      <c r="AM146" s="9">
        <f t="shared" si="464"/>
        <v>0</v>
      </c>
      <c r="AN146">
        <v>0</v>
      </c>
      <c r="AO146" s="9">
        <f t="shared" si="465"/>
        <v>0</v>
      </c>
      <c r="AP146">
        <v>0</v>
      </c>
      <c r="AQ146" s="9">
        <f t="shared" si="466"/>
        <v>0</v>
      </c>
      <c r="AR146">
        <v>0</v>
      </c>
      <c r="AS146" s="9">
        <f t="shared" si="467"/>
        <v>0</v>
      </c>
      <c r="AT146">
        <v>0</v>
      </c>
      <c r="AU146" s="9">
        <f t="shared" si="468"/>
        <v>0</v>
      </c>
      <c r="AW146">
        <v>14500</v>
      </c>
      <c r="AX146">
        <v>0</v>
      </c>
      <c r="AY146" s="9">
        <f t="shared" si="469"/>
        <v>0</v>
      </c>
      <c r="AZ146">
        <v>0</v>
      </c>
      <c r="BA146" s="9">
        <f t="shared" si="470"/>
        <v>0</v>
      </c>
      <c r="BB146">
        <v>0</v>
      </c>
      <c r="BC146" s="9">
        <f t="shared" si="471"/>
        <v>0</v>
      </c>
      <c r="BD146">
        <v>0</v>
      </c>
      <c r="BE146" s="9">
        <f t="shared" si="472"/>
        <v>0</v>
      </c>
      <c r="BF146">
        <v>0</v>
      </c>
      <c r="BG146" s="9">
        <f t="shared" si="473"/>
        <v>0</v>
      </c>
      <c r="BI146">
        <v>14500</v>
      </c>
      <c r="BJ146">
        <v>0</v>
      </c>
      <c r="BK146" s="9">
        <f t="shared" si="474"/>
        <v>0</v>
      </c>
      <c r="BL146">
        <v>0</v>
      </c>
      <c r="BM146" s="9">
        <f t="shared" si="475"/>
        <v>0</v>
      </c>
      <c r="BN146">
        <v>0</v>
      </c>
      <c r="BO146" s="9">
        <f t="shared" si="476"/>
        <v>0</v>
      </c>
      <c r="BP146">
        <v>0</v>
      </c>
      <c r="BQ146" s="9">
        <f t="shared" si="477"/>
        <v>0</v>
      </c>
      <c r="BR146">
        <v>0</v>
      </c>
      <c r="BS146" s="9">
        <f t="shared" si="478"/>
        <v>0</v>
      </c>
      <c r="BU146">
        <v>14500</v>
      </c>
      <c r="BV146">
        <v>0</v>
      </c>
      <c r="BW146" s="9">
        <f t="shared" si="479"/>
        <v>0</v>
      </c>
      <c r="BX146">
        <v>0</v>
      </c>
      <c r="BY146" s="9">
        <f t="shared" si="480"/>
        <v>0</v>
      </c>
      <c r="BZ146">
        <v>0</v>
      </c>
      <c r="CA146" s="9">
        <f t="shared" si="481"/>
        <v>0</v>
      </c>
      <c r="CB146">
        <v>0</v>
      </c>
      <c r="CC146" s="9">
        <f t="shared" si="482"/>
        <v>0</v>
      </c>
      <c r="CD146">
        <v>0</v>
      </c>
      <c r="CE146" s="9">
        <f t="shared" si="483"/>
        <v>0</v>
      </c>
      <c r="CF146">
        <v>0</v>
      </c>
      <c r="CG146" s="9">
        <v>0</v>
      </c>
      <c r="CI146">
        <v>14500</v>
      </c>
      <c r="CJ146">
        <f t="shared" si="370"/>
        <v>680</v>
      </c>
      <c r="CK146" s="9">
        <f t="shared" si="332"/>
        <v>8963.636363636364</v>
      </c>
      <c r="CL146">
        <f t="shared" si="371"/>
        <v>648</v>
      </c>
      <c r="CM146" s="9">
        <f t="shared" si="347"/>
        <v>8797.7528089887637</v>
      </c>
      <c r="CN146">
        <f t="shared" si="378"/>
        <v>618</v>
      </c>
      <c r="CO146" s="9">
        <f t="shared" si="348"/>
        <v>8632.9479768786132</v>
      </c>
      <c r="CP146">
        <f t="shared" si="389"/>
        <v>590</v>
      </c>
      <c r="CQ146" s="9">
        <f t="shared" si="379"/>
        <v>8470.2970297029697</v>
      </c>
      <c r="CR146">
        <f t="shared" si="395"/>
        <v>564</v>
      </c>
      <c r="CS146" s="9">
        <f t="shared" si="390"/>
        <v>8310.9756097560985</v>
      </c>
      <c r="CT146">
        <f t="shared" si="396"/>
        <v>547</v>
      </c>
      <c r="CU146" s="9">
        <f t="shared" si="391"/>
        <v>8202.1716649431237</v>
      </c>
      <c r="CV146">
        <v>0</v>
      </c>
      <c r="CW146">
        <v>0</v>
      </c>
    </row>
    <row r="147" spans="1:101" x14ac:dyDescent="0.25">
      <c r="A147">
        <v>15000</v>
      </c>
      <c r="B147">
        <v>0</v>
      </c>
      <c r="C147" s="9">
        <f t="shared" si="449"/>
        <v>0</v>
      </c>
      <c r="D147">
        <v>0</v>
      </c>
      <c r="E147" s="9">
        <f t="shared" si="450"/>
        <v>0</v>
      </c>
      <c r="F147">
        <v>0</v>
      </c>
      <c r="G147" s="9">
        <f t="shared" si="451"/>
        <v>0</v>
      </c>
      <c r="H147">
        <v>0</v>
      </c>
      <c r="I147" s="9">
        <f t="shared" si="452"/>
        <v>0</v>
      </c>
      <c r="J147">
        <v>0</v>
      </c>
      <c r="K147" s="9">
        <f t="shared" si="453"/>
        <v>0</v>
      </c>
      <c r="M147">
        <v>15000</v>
      </c>
      <c r="N147">
        <v>0</v>
      </c>
      <c r="O147" s="9">
        <f t="shared" si="454"/>
        <v>0</v>
      </c>
      <c r="P147">
        <v>0</v>
      </c>
      <c r="Q147" s="9">
        <f t="shared" si="455"/>
        <v>0</v>
      </c>
      <c r="R147">
        <v>0</v>
      </c>
      <c r="S147" s="9">
        <f t="shared" si="456"/>
        <v>0</v>
      </c>
      <c r="T147">
        <v>0</v>
      </c>
      <c r="U147" s="9">
        <f t="shared" si="457"/>
        <v>0</v>
      </c>
      <c r="V147">
        <v>0</v>
      </c>
      <c r="W147" s="9">
        <f t="shared" si="458"/>
        <v>0</v>
      </c>
      <c r="Y147">
        <v>15000</v>
      </c>
      <c r="Z147">
        <v>0</v>
      </c>
      <c r="AA147" s="9">
        <f t="shared" si="459"/>
        <v>0</v>
      </c>
      <c r="AB147">
        <v>0</v>
      </c>
      <c r="AC147" s="9">
        <f t="shared" si="460"/>
        <v>0</v>
      </c>
      <c r="AD147">
        <v>0</v>
      </c>
      <c r="AE147" s="9">
        <f t="shared" si="461"/>
        <v>0</v>
      </c>
      <c r="AF147">
        <v>0</v>
      </c>
      <c r="AG147" s="9">
        <f t="shared" si="462"/>
        <v>0</v>
      </c>
      <c r="AH147">
        <v>0</v>
      </c>
      <c r="AI147" s="9">
        <f t="shared" si="463"/>
        <v>0</v>
      </c>
      <c r="AK147">
        <v>15000</v>
      </c>
      <c r="AL147">
        <v>0</v>
      </c>
      <c r="AM147" s="9">
        <f t="shared" si="464"/>
        <v>0</v>
      </c>
      <c r="AN147">
        <v>0</v>
      </c>
      <c r="AO147" s="9">
        <f t="shared" si="465"/>
        <v>0</v>
      </c>
      <c r="AP147">
        <v>0</v>
      </c>
      <c r="AQ147" s="9">
        <f t="shared" si="466"/>
        <v>0</v>
      </c>
      <c r="AR147">
        <v>0</v>
      </c>
      <c r="AS147" s="9">
        <f t="shared" si="467"/>
        <v>0</v>
      </c>
      <c r="AT147">
        <v>0</v>
      </c>
      <c r="AU147" s="9">
        <f t="shared" si="468"/>
        <v>0</v>
      </c>
      <c r="AW147">
        <v>15000</v>
      </c>
      <c r="AX147">
        <v>0</v>
      </c>
      <c r="AY147" s="9">
        <f t="shared" si="469"/>
        <v>0</v>
      </c>
      <c r="AZ147">
        <v>0</v>
      </c>
      <c r="BA147" s="9">
        <f t="shared" si="470"/>
        <v>0</v>
      </c>
      <c r="BB147">
        <v>0</v>
      </c>
      <c r="BC147" s="9">
        <f t="shared" si="471"/>
        <v>0</v>
      </c>
      <c r="BD147">
        <v>0</v>
      </c>
      <c r="BE147" s="9">
        <f t="shared" si="472"/>
        <v>0</v>
      </c>
      <c r="BF147">
        <v>0</v>
      </c>
      <c r="BG147" s="9">
        <f t="shared" si="473"/>
        <v>0</v>
      </c>
      <c r="BI147">
        <v>15000</v>
      </c>
      <c r="BJ147">
        <v>0</v>
      </c>
      <c r="BK147" s="9">
        <f t="shared" si="474"/>
        <v>0</v>
      </c>
      <c r="BL147">
        <v>0</v>
      </c>
      <c r="BM147" s="9">
        <f t="shared" si="475"/>
        <v>0</v>
      </c>
      <c r="BN147">
        <v>0</v>
      </c>
      <c r="BO147" s="9">
        <f t="shared" si="476"/>
        <v>0</v>
      </c>
      <c r="BP147">
        <v>0</v>
      </c>
      <c r="BQ147" s="9">
        <f t="shared" si="477"/>
        <v>0</v>
      </c>
      <c r="BR147">
        <v>0</v>
      </c>
      <c r="BS147" s="9">
        <f t="shared" si="478"/>
        <v>0</v>
      </c>
      <c r="BU147">
        <v>15000</v>
      </c>
      <c r="BV147">
        <v>0</v>
      </c>
      <c r="BW147" s="9">
        <f t="shared" si="479"/>
        <v>0</v>
      </c>
      <c r="BX147">
        <v>0</v>
      </c>
      <c r="BY147" s="9">
        <f t="shared" si="480"/>
        <v>0</v>
      </c>
      <c r="BZ147">
        <v>0</v>
      </c>
      <c r="CA147" s="9">
        <f t="shared" si="481"/>
        <v>0</v>
      </c>
      <c r="CB147">
        <v>0</v>
      </c>
      <c r="CC147" s="9">
        <f t="shared" si="482"/>
        <v>0</v>
      </c>
      <c r="CD147">
        <v>0</v>
      </c>
      <c r="CE147" s="9">
        <f t="shared" si="483"/>
        <v>0</v>
      </c>
      <c r="CF147">
        <v>0</v>
      </c>
      <c r="CG147" s="9">
        <v>0</v>
      </c>
      <c r="CI147">
        <v>15000</v>
      </c>
      <c r="CJ147">
        <f t="shared" si="370"/>
        <v>678</v>
      </c>
      <c r="CK147" s="9">
        <f t="shared" si="332"/>
        <v>9262.2950819672133</v>
      </c>
      <c r="CL147">
        <f t="shared" si="371"/>
        <v>645</v>
      </c>
      <c r="CM147" s="9">
        <f t="shared" si="347"/>
        <v>9084.5070422535209</v>
      </c>
      <c r="CN147">
        <f t="shared" si="378"/>
        <v>614</v>
      </c>
      <c r="CO147" s="9">
        <f t="shared" si="348"/>
        <v>8907.1566731141193</v>
      </c>
      <c r="CP147">
        <f t="shared" si="389"/>
        <v>585</v>
      </c>
      <c r="CQ147" s="9">
        <f t="shared" si="379"/>
        <v>8731.3432835820895</v>
      </c>
      <c r="CR147">
        <f t="shared" si="395"/>
        <v>558</v>
      </c>
      <c r="CS147" s="9">
        <f t="shared" si="390"/>
        <v>8558.2822085889584</v>
      </c>
      <c r="CT147">
        <f t="shared" si="396"/>
        <v>540</v>
      </c>
      <c r="CU147" s="9">
        <f t="shared" si="391"/>
        <v>8437.5</v>
      </c>
      <c r="CV147">
        <v>0</v>
      </c>
      <c r="CW147">
        <v>0</v>
      </c>
    </row>
    <row r="148" spans="1:101" x14ac:dyDescent="0.25">
      <c r="A148">
        <v>15500</v>
      </c>
      <c r="B148">
        <v>0</v>
      </c>
      <c r="C148" s="9">
        <f t="shared" si="449"/>
        <v>0</v>
      </c>
      <c r="D148">
        <v>0</v>
      </c>
      <c r="E148" s="9">
        <f t="shared" si="450"/>
        <v>0</v>
      </c>
      <c r="F148">
        <v>0</v>
      </c>
      <c r="G148" s="9">
        <f t="shared" si="451"/>
        <v>0</v>
      </c>
      <c r="H148">
        <v>0</v>
      </c>
      <c r="I148" s="9">
        <f t="shared" si="452"/>
        <v>0</v>
      </c>
      <c r="J148">
        <v>0</v>
      </c>
      <c r="K148" s="9">
        <f t="shared" si="453"/>
        <v>0</v>
      </c>
      <c r="M148">
        <v>15500</v>
      </c>
      <c r="N148">
        <v>0</v>
      </c>
      <c r="O148" s="9">
        <f t="shared" si="454"/>
        <v>0</v>
      </c>
      <c r="P148">
        <v>0</v>
      </c>
      <c r="Q148" s="9">
        <f t="shared" si="455"/>
        <v>0</v>
      </c>
      <c r="R148">
        <v>0</v>
      </c>
      <c r="S148" s="9">
        <f t="shared" si="456"/>
        <v>0</v>
      </c>
      <c r="T148">
        <v>0</v>
      </c>
      <c r="U148" s="9">
        <f t="shared" si="457"/>
        <v>0</v>
      </c>
      <c r="V148">
        <v>0</v>
      </c>
      <c r="W148" s="9">
        <f t="shared" si="458"/>
        <v>0</v>
      </c>
      <c r="Y148">
        <v>15500</v>
      </c>
      <c r="Z148">
        <v>0</v>
      </c>
      <c r="AA148" s="9">
        <f t="shared" si="459"/>
        <v>0</v>
      </c>
      <c r="AB148">
        <v>0</v>
      </c>
      <c r="AC148" s="9">
        <f t="shared" si="460"/>
        <v>0</v>
      </c>
      <c r="AD148">
        <v>0</v>
      </c>
      <c r="AE148" s="9">
        <f t="shared" si="461"/>
        <v>0</v>
      </c>
      <c r="AF148">
        <v>0</v>
      </c>
      <c r="AG148" s="9">
        <f t="shared" si="462"/>
        <v>0</v>
      </c>
      <c r="AH148">
        <v>0</v>
      </c>
      <c r="AI148" s="9">
        <f t="shared" si="463"/>
        <v>0</v>
      </c>
      <c r="AK148">
        <v>15500</v>
      </c>
      <c r="AL148">
        <v>0</v>
      </c>
      <c r="AM148" s="9">
        <f t="shared" si="464"/>
        <v>0</v>
      </c>
      <c r="AN148">
        <v>0</v>
      </c>
      <c r="AO148" s="9">
        <f t="shared" si="465"/>
        <v>0</v>
      </c>
      <c r="AP148">
        <v>0</v>
      </c>
      <c r="AQ148" s="9">
        <f t="shared" si="466"/>
        <v>0</v>
      </c>
      <c r="AR148">
        <v>0</v>
      </c>
      <c r="AS148" s="9">
        <f t="shared" si="467"/>
        <v>0</v>
      </c>
      <c r="AT148">
        <v>0</v>
      </c>
      <c r="AU148" s="9">
        <f t="shared" si="468"/>
        <v>0</v>
      </c>
      <c r="AW148">
        <v>15500</v>
      </c>
      <c r="AX148">
        <v>0</v>
      </c>
      <c r="AY148" s="9">
        <f t="shared" si="469"/>
        <v>0</v>
      </c>
      <c r="AZ148">
        <v>0</v>
      </c>
      <c r="BA148" s="9">
        <f t="shared" si="470"/>
        <v>0</v>
      </c>
      <c r="BB148">
        <v>0</v>
      </c>
      <c r="BC148" s="9">
        <f t="shared" si="471"/>
        <v>0</v>
      </c>
      <c r="BD148">
        <v>0</v>
      </c>
      <c r="BE148" s="9">
        <f t="shared" si="472"/>
        <v>0</v>
      </c>
      <c r="BF148">
        <v>0</v>
      </c>
      <c r="BG148" s="9">
        <f t="shared" si="473"/>
        <v>0</v>
      </c>
      <c r="BI148">
        <v>15500</v>
      </c>
      <c r="BJ148">
        <v>0</v>
      </c>
      <c r="BK148" s="9">
        <f t="shared" si="474"/>
        <v>0</v>
      </c>
      <c r="BL148">
        <v>0</v>
      </c>
      <c r="BM148" s="9">
        <f t="shared" si="475"/>
        <v>0</v>
      </c>
      <c r="BN148">
        <v>0</v>
      </c>
      <c r="BO148" s="9">
        <f t="shared" si="476"/>
        <v>0</v>
      </c>
      <c r="BP148">
        <v>0</v>
      </c>
      <c r="BQ148" s="9">
        <f t="shared" si="477"/>
        <v>0</v>
      </c>
      <c r="BR148">
        <v>0</v>
      </c>
      <c r="BS148" s="9">
        <f t="shared" si="478"/>
        <v>0</v>
      </c>
      <c r="BU148">
        <v>15500</v>
      </c>
      <c r="BV148">
        <v>0</v>
      </c>
      <c r="BW148" s="9">
        <f t="shared" si="479"/>
        <v>0</v>
      </c>
      <c r="BX148">
        <v>0</v>
      </c>
      <c r="BY148" s="9">
        <f t="shared" si="480"/>
        <v>0</v>
      </c>
      <c r="BZ148">
        <v>0</v>
      </c>
      <c r="CA148" s="9">
        <f t="shared" si="481"/>
        <v>0</v>
      </c>
      <c r="CB148">
        <v>0</v>
      </c>
      <c r="CC148" s="9">
        <f t="shared" si="482"/>
        <v>0</v>
      </c>
      <c r="CD148">
        <v>0</v>
      </c>
      <c r="CE148" s="9">
        <f t="shared" si="483"/>
        <v>0</v>
      </c>
      <c r="CF148">
        <v>0</v>
      </c>
      <c r="CG148" s="9">
        <v>0</v>
      </c>
      <c r="CI148">
        <v>15500</v>
      </c>
      <c r="CJ148">
        <f t="shared" si="370"/>
        <v>676</v>
      </c>
      <c r="CK148" s="9">
        <f t="shared" si="332"/>
        <v>9560.2189781021898</v>
      </c>
      <c r="CL148">
        <f t="shared" si="371"/>
        <v>642</v>
      </c>
      <c r="CM148" s="9">
        <f t="shared" si="347"/>
        <v>9370.056497175141</v>
      </c>
      <c r="CN148">
        <f t="shared" si="378"/>
        <v>610</v>
      </c>
      <c r="CO148" s="9">
        <f t="shared" si="348"/>
        <v>9179.6116504854363</v>
      </c>
      <c r="CP148">
        <f t="shared" si="389"/>
        <v>580</v>
      </c>
      <c r="CQ148" s="9">
        <f t="shared" si="379"/>
        <v>8990</v>
      </c>
      <c r="CR148">
        <f t="shared" si="395"/>
        <v>552</v>
      </c>
      <c r="CS148" s="9">
        <f t="shared" si="390"/>
        <v>8802.4691358024702</v>
      </c>
      <c r="CT148">
        <f t="shared" si="396"/>
        <v>533</v>
      </c>
      <c r="CU148" s="9">
        <f t="shared" si="391"/>
        <v>8668.94018887723</v>
      </c>
      <c r="CV148">
        <v>0</v>
      </c>
      <c r="CW148">
        <v>0</v>
      </c>
    </row>
    <row r="149" spans="1:101" x14ac:dyDescent="0.25">
      <c r="A149">
        <v>16000</v>
      </c>
      <c r="B149">
        <v>0</v>
      </c>
      <c r="C149" s="9">
        <f t="shared" si="449"/>
        <v>0</v>
      </c>
      <c r="D149">
        <v>0</v>
      </c>
      <c r="E149" s="9">
        <f t="shared" si="450"/>
        <v>0</v>
      </c>
      <c r="F149">
        <v>0</v>
      </c>
      <c r="G149" s="9">
        <f t="shared" si="451"/>
        <v>0</v>
      </c>
      <c r="H149">
        <v>0</v>
      </c>
      <c r="I149" s="9">
        <f t="shared" si="452"/>
        <v>0</v>
      </c>
      <c r="J149">
        <v>0</v>
      </c>
      <c r="K149" s="9">
        <f t="shared" si="453"/>
        <v>0</v>
      </c>
      <c r="M149">
        <v>16000</v>
      </c>
      <c r="N149">
        <v>0</v>
      </c>
      <c r="O149" s="9">
        <f t="shared" si="454"/>
        <v>0</v>
      </c>
      <c r="P149">
        <v>0</v>
      </c>
      <c r="Q149" s="9">
        <f t="shared" si="455"/>
        <v>0</v>
      </c>
      <c r="R149">
        <v>0</v>
      </c>
      <c r="S149" s="9">
        <f t="shared" si="456"/>
        <v>0</v>
      </c>
      <c r="T149">
        <v>0</v>
      </c>
      <c r="U149" s="9">
        <f t="shared" si="457"/>
        <v>0</v>
      </c>
      <c r="V149">
        <v>0</v>
      </c>
      <c r="W149" s="9">
        <f t="shared" si="458"/>
        <v>0</v>
      </c>
      <c r="Y149">
        <v>16000</v>
      </c>
      <c r="Z149">
        <v>0</v>
      </c>
      <c r="AA149" s="9">
        <f t="shared" si="459"/>
        <v>0</v>
      </c>
      <c r="AB149">
        <v>0</v>
      </c>
      <c r="AC149" s="9">
        <f t="shared" si="460"/>
        <v>0</v>
      </c>
      <c r="AD149">
        <v>0</v>
      </c>
      <c r="AE149" s="9">
        <f t="shared" si="461"/>
        <v>0</v>
      </c>
      <c r="AF149">
        <v>0</v>
      </c>
      <c r="AG149" s="9">
        <f t="shared" si="462"/>
        <v>0</v>
      </c>
      <c r="AH149">
        <v>0</v>
      </c>
      <c r="AI149" s="9">
        <f t="shared" si="463"/>
        <v>0</v>
      </c>
      <c r="AK149">
        <v>16000</v>
      </c>
      <c r="AL149">
        <v>0</v>
      </c>
      <c r="AM149" s="9">
        <f t="shared" si="464"/>
        <v>0</v>
      </c>
      <c r="AN149">
        <v>0</v>
      </c>
      <c r="AO149" s="9">
        <f t="shared" si="465"/>
        <v>0</v>
      </c>
      <c r="AP149">
        <v>0</v>
      </c>
      <c r="AQ149" s="9">
        <f t="shared" si="466"/>
        <v>0</v>
      </c>
      <c r="AR149">
        <v>0</v>
      </c>
      <c r="AS149" s="9">
        <f t="shared" si="467"/>
        <v>0</v>
      </c>
      <c r="AT149">
        <v>0</v>
      </c>
      <c r="AU149" s="9">
        <f t="shared" si="468"/>
        <v>0</v>
      </c>
      <c r="AW149">
        <v>16000</v>
      </c>
      <c r="AX149">
        <v>0</v>
      </c>
      <c r="AY149" s="9">
        <f t="shared" si="469"/>
        <v>0</v>
      </c>
      <c r="AZ149">
        <v>0</v>
      </c>
      <c r="BA149" s="9">
        <f t="shared" si="470"/>
        <v>0</v>
      </c>
      <c r="BB149">
        <v>0</v>
      </c>
      <c r="BC149" s="9">
        <f t="shared" si="471"/>
        <v>0</v>
      </c>
      <c r="BD149">
        <v>0</v>
      </c>
      <c r="BE149" s="9">
        <f t="shared" si="472"/>
        <v>0</v>
      </c>
      <c r="BF149">
        <v>0</v>
      </c>
      <c r="BG149" s="9">
        <f t="shared" si="473"/>
        <v>0</v>
      </c>
      <c r="BI149">
        <v>16000</v>
      </c>
      <c r="BJ149">
        <v>0</v>
      </c>
      <c r="BK149" s="9">
        <f t="shared" si="474"/>
        <v>0</v>
      </c>
      <c r="BL149">
        <v>0</v>
      </c>
      <c r="BM149" s="9">
        <f t="shared" si="475"/>
        <v>0</v>
      </c>
      <c r="BN149">
        <v>0</v>
      </c>
      <c r="BO149" s="9">
        <f t="shared" si="476"/>
        <v>0</v>
      </c>
      <c r="BP149">
        <v>0</v>
      </c>
      <c r="BQ149" s="9">
        <f t="shared" si="477"/>
        <v>0</v>
      </c>
      <c r="BR149">
        <v>0</v>
      </c>
      <c r="BS149" s="9">
        <f t="shared" si="478"/>
        <v>0</v>
      </c>
      <c r="BU149">
        <v>16000</v>
      </c>
      <c r="BV149">
        <v>0</v>
      </c>
      <c r="BW149" s="9">
        <f t="shared" si="479"/>
        <v>0</v>
      </c>
      <c r="BX149">
        <v>0</v>
      </c>
      <c r="BY149" s="9">
        <f t="shared" si="480"/>
        <v>0</v>
      </c>
      <c r="BZ149">
        <v>0</v>
      </c>
      <c r="CA149" s="9">
        <f t="shared" si="481"/>
        <v>0</v>
      </c>
      <c r="CB149">
        <v>0</v>
      </c>
      <c r="CC149" s="9">
        <f t="shared" si="482"/>
        <v>0</v>
      </c>
      <c r="CD149">
        <v>0</v>
      </c>
      <c r="CE149" s="9">
        <f t="shared" si="483"/>
        <v>0</v>
      </c>
      <c r="CF149">
        <v>0</v>
      </c>
      <c r="CG149" s="9">
        <v>0</v>
      </c>
      <c r="CI149">
        <v>16000</v>
      </c>
      <c r="CJ149">
        <f t="shared" si="370"/>
        <v>674</v>
      </c>
      <c r="CK149" s="9">
        <f t="shared" si="332"/>
        <v>9857.4040219378421</v>
      </c>
      <c r="CL149">
        <f t="shared" si="371"/>
        <v>639</v>
      </c>
      <c r="CM149" s="9">
        <f t="shared" si="347"/>
        <v>9654.3909348441939</v>
      </c>
      <c r="CN149">
        <f t="shared" si="378"/>
        <v>606</v>
      </c>
      <c r="CO149" s="9">
        <f t="shared" si="348"/>
        <v>9450.2923976608181</v>
      </c>
      <c r="CP149">
        <f t="shared" si="389"/>
        <v>575</v>
      </c>
      <c r="CQ149" s="9">
        <f t="shared" si="379"/>
        <v>9246.2311557788962</v>
      </c>
      <c r="CR149">
        <f t="shared" si="395"/>
        <v>546</v>
      </c>
      <c r="CS149" s="9">
        <f t="shared" si="390"/>
        <v>9043.4782608695659</v>
      </c>
      <c r="CT149">
        <f t="shared" si="396"/>
        <v>526</v>
      </c>
      <c r="CU149" s="9">
        <f t="shared" si="391"/>
        <v>8896.4059196617345</v>
      </c>
      <c r="CV149">
        <v>0</v>
      </c>
      <c r="CW149">
        <v>0</v>
      </c>
    </row>
    <row r="150" spans="1:101" x14ac:dyDescent="0.25">
      <c r="A150">
        <v>16500</v>
      </c>
      <c r="B150">
        <v>0</v>
      </c>
      <c r="C150" s="9">
        <f t="shared" si="449"/>
        <v>0</v>
      </c>
      <c r="D150">
        <v>0</v>
      </c>
      <c r="E150" s="9">
        <f t="shared" si="450"/>
        <v>0</v>
      </c>
      <c r="F150">
        <v>0</v>
      </c>
      <c r="G150" s="9">
        <f t="shared" si="451"/>
        <v>0</v>
      </c>
      <c r="H150">
        <v>0</v>
      </c>
      <c r="I150" s="9">
        <f t="shared" si="452"/>
        <v>0</v>
      </c>
      <c r="J150">
        <v>0</v>
      </c>
      <c r="K150" s="9">
        <f t="shared" si="453"/>
        <v>0</v>
      </c>
      <c r="M150">
        <v>16500</v>
      </c>
      <c r="N150">
        <v>0</v>
      </c>
      <c r="O150" s="9">
        <f t="shared" si="454"/>
        <v>0</v>
      </c>
      <c r="P150">
        <v>0</v>
      </c>
      <c r="Q150" s="9">
        <f t="shared" si="455"/>
        <v>0</v>
      </c>
      <c r="R150">
        <v>0</v>
      </c>
      <c r="S150" s="9">
        <f t="shared" si="456"/>
        <v>0</v>
      </c>
      <c r="T150">
        <v>0</v>
      </c>
      <c r="U150" s="9">
        <f t="shared" si="457"/>
        <v>0</v>
      </c>
      <c r="V150">
        <v>0</v>
      </c>
      <c r="W150" s="9">
        <f t="shared" si="458"/>
        <v>0</v>
      </c>
      <c r="Y150">
        <v>16500</v>
      </c>
      <c r="Z150">
        <v>0</v>
      </c>
      <c r="AA150" s="9">
        <f t="shared" si="459"/>
        <v>0</v>
      </c>
      <c r="AB150">
        <v>0</v>
      </c>
      <c r="AC150" s="9">
        <f t="shared" si="460"/>
        <v>0</v>
      </c>
      <c r="AD150">
        <v>0</v>
      </c>
      <c r="AE150" s="9">
        <f t="shared" si="461"/>
        <v>0</v>
      </c>
      <c r="AF150">
        <v>0</v>
      </c>
      <c r="AG150" s="9">
        <f t="shared" si="462"/>
        <v>0</v>
      </c>
      <c r="AH150">
        <v>0</v>
      </c>
      <c r="AI150" s="9">
        <f t="shared" si="463"/>
        <v>0</v>
      </c>
      <c r="AK150">
        <v>16500</v>
      </c>
      <c r="AL150">
        <v>0</v>
      </c>
      <c r="AM150" s="9">
        <f t="shared" si="464"/>
        <v>0</v>
      </c>
      <c r="AN150">
        <v>0</v>
      </c>
      <c r="AO150" s="9">
        <f t="shared" si="465"/>
        <v>0</v>
      </c>
      <c r="AP150">
        <v>0</v>
      </c>
      <c r="AQ150" s="9">
        <f t="shared" si="466"/>
        <v>0</v>
      </c>
      <c r="AR150">
        <v>0</v>
      </c>
      <c r="AS150" s="9">
        <f t="shared" si="467"/>
        <v>0</v>
      </c>
      <c r="AT150">
        <v>0</v>
      </c>
      <c r="AU150" s="9">
        <f t="shared" si="468"/>
        <v>0</v>
      </c>
      <c r="AW150">
        <v>16500</v>
      </c>
      <c r="AX150">
        <v>0</v>
      </c>
      <c r="AY150" s="9">
        <f t="shared" si="469"/>
        <v>0</v>
      </c>
      <c r="AZ150">
        <v>0</v>
      </c>
      <c r="BA150" s="9">
        <f t="shared" si="470"/>
        <v>0</v>
      </c>
      <c r="BB150">
        <v>0</v>
      </c>
      <c r="BC150" s="9">
        <f t="shared" si="471"/>
        <v>0</v>
      </c>
      <c r="BD150">
        <v>0</v>
      </c>
      <c r="BE150" s="9">
        <f t="shared" si="472"/>
        <v>0</v>
      </c>
      <c r="BF150">
        <v>0</v>
      </c>
      <c r="BG150" s="9">
        <f t="shared" si="473"/>
        <v>0</v>
      </c>
      <c r="BI150">
        <v>16500</v>
      </c>
      <c r="BJ150">
        <v>0</v>
      </c>
      <c r="BK150" s="9">
        <f t="shared" si="474"/>
        <v>0</v>
      </c>
      <c r="BL150">
        <v>0</v>
      </c>
      <c r="BM150" s="9">
        <f t="shared" si="475"/>
        <v>0</v>
      </c>
      <c r="BN150">
        <v>0</v>
      </c>
      <c r="BO150" s="9">
        <f t="shared" si="476"/>
        <v>0</v>
      </c>
      <c r="BP150">
        <v>0</v>
      </c>
      <c r="BQ150" s="9">
        <f t="shared" si="477"/>
        <v>0</v>
      </c>
      <c r="BR150">
        <v>0</v>
      </c>
      <c r="BS150" s="9">
        <f t="shared" si="478"/>
        <v>0</v>
      </c>
      <c r="BU150">
        <v>16500</v>
      </c>
      <c r="BV150">
        <v>0</v>
      </c>
      <c r="BW150" s="9">
        <f t="shared" si="479"/>
        <v>0</v>
      </c>
      <c r="BX150">
        <v>0</v>
      </c>
      <c r="BY150" s="9">
        <f t="shared" si="480"/>
        <v>0</v>
      </c>
      <c r="BZ150">
        <v>0</v>
      </c>
      <c r="CA150" s="9">
        <f t="shared" si="481"/>
        <v>0</v>
      </c>
      <c r="CB150">
        <v>0</v>
      </c>
      <c r="CC150" s="9">
        <f t="shared" si="482"/>
        <v>0</v>
      </c>
      <c r="CD150">
        <v>0</v>
      </c>
      <c r="CE150" s="9">
        <f t="shared" si="483"/>
        <v>0</v>
      </c>
      <c r="CF150">
        <v>0</v>
      </c>
      <c r="CG150" s="9">
        <v>0</v>
      </c>
      <c r="CI150">
        <v>16500</v>
      </c>
      <c r="CJ150">
        <f t="shared" si="370"/>
        <v>672</v>
      </c>
      <c r="CK150" s="9">
        <f t="shared" si="332"/>
        <v>10153.846153846154</v>
      </c>
      <c r="CL150">
        <f t="shared" si="371"/>
        <v>636</v>
      </c>
      <c r="CM150" s="9">
        <f t="shared" si="347"/>
        <v>9937.5</v>
      </c>
      <c r="CN150">
        <f t="shared" si="378"/>
        <v>602</v>
      </c>
      <c r="CO150" s="9">
        <f t="shared" si="348"/>
        <v>9719.17808219178</v>
      </c>
      <c r="CP150">
        <f t="shared" si="389"/>
        <v>570</v>
      </c>
      <c r="CQ150" s="9">
        <f t="shared" si="379"/>
        <v>9500</v>
      </c>
      <c r="CR150">
        <f t="shared" si="395"/>
        <v>540</v>
      </c>
      <c r="CS150" s="9">
        <f t="shared" si="390"/>
        <v>9281.25</v>
      </c>
      <c r="CT150">
        <f t="shared" si="396"/>
        <v>519</v>
      </c>
      <c r="CU150" s="9">
        <f t="shared" si="391"/>
        <v>9119.8083067092666</v>
      </c>
      <c r="CV150">
        <v>0</v>
      </c>
      <c r="CW150">
        <v>0</v>
      </c>
    </row>
    <row r="151" spans="1:101" x14ac:dyDescent="0.25">
      <c r="A151">
        <v>17000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M151">
        <v>17000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Y151">
        <v>17000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K151">
        <v>17000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W151">
        <v>17000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I151">
        <v>17000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U151">
        <v>17000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 s="9">
        <v>0</v>
      </c>
      <c r="CI151">
        <v>17000</v>
      </c>
      <c r="CJ151">
        <f t="shared" si="370"/>
        <v>670</v>
      </c>
      <c r="CK151" s="9">
        <f t="shared" si="332"/>
        <v>10449.541284403671</v>
      </c>
      <c r="CL151">
        <f t="shared" si="371"/>
        <v>633</v>
      </c>
      <c r="CM151" s="9">
        <f t="shared" si="347"/>
        <v>10219.373219373219</v>
      </c>
      <c r="CN151">
        <f t="shared" si="378"/>
        <v>598</v>
      </c>
      <c r="CO151" s="9">
        <f t="shared" si="348"/>
        <v>9986.2475442043215</v>
      </c>
      <c r="CP151">
        <f t="shared" si="389"/>
        <v>565</v>
      </c>
      <c r="CQ151" s="9">
        <f t="shared" si="379"/>
        <v>9751.269035532996</v>
      </c>
      <c r="CR151">
        <f t="shared" si="395"/>
        <v>534</v>
      </c>
      <c r="CS151" s="9">
        <f t="shared" si="390"/>
        <v>9515.7232704402522</v>
      </c>
      <c r="CT151">
        <f t="shared" si="396"/>
        <v>512</v>
      </c>
      <c r="CU151" s="9">
        <f t="shared" si="391"/>
        <v>9339.0557939914161</v>
      </c>
      <c r="CV151">
        <v>0</v>
      </c>
      <c r="CW151">
        <v>0</v>
      </c>
    </row>
    <row r="152" spans="1:101" x14ac:dyDescent="0.25">
      <c r="A152">
        <v>17500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M152">
        <v>17500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Y152">
        <v>17500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K152">
        <v>17500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W152">
        <v>17500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I152">
        <v>17500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U152">
        <v>17500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 s="9">
        <v>0</v>
      </c>
      <c r="CI152">
        <v>17500</v>
      </c>
      <c r="CJ152">
        <f t="shared" si="370"/>
        <v>668</v>
      </c>
      <c r="CK152" s="9">
        <f t="shared" si="332"/>
        <v>10744.485294117647</v>
      </c>
      <c r="CL152">
        <f t="shared" si="371"/>
        <v>630</v>
      </c>
      <c r="CM152" s="9">
        <f t="shared" si="347"/>
        <v>10500</v>
      </c>
      <c r="CN152">
        <f t="shared" si="378"/>
        <v>594</v>
      </c>
      <c r="CO152" s="9">
        <f t="shared" si="348"/>
        <v>10251.479289940829</v>
      </c>
      <c r="CP152">
        <f t="shared" si="389"/>
        <v>560</v>
      </c>
      <c r="CQ152" s="9">
        <f t="shared" si="379"/>
        <v>10000</v>
      </c>
      <c r="CR152">
        <f t="shared" si="395"/>
        <v>528</v>
      </c>
      <c r="CS152" s="9">
        <f t="shared" si="390"/>
        <v>9746.8354430379732</v>
      </c>
      <c r="CT152">
        <f t="shared" si="396"/>
        <v>505</v>
      </c>
      <c r="CU152" s="9">
        <f t="shared" si="391"/>
        <v>9554.0540540540551</v>
      </c>
      <c r="CV152">
        <v>0</v>
      </c>
      <c r="CW152">
        <v>0</v>
      </c>
    </row>
    <row r="153" spans="1:101" x14ac:dyDescent="0.25">
      <c r="A153" t="s">
        <v>106</v>
      </c>
      <c r="C153" s="16">
        <v>25</v>
      </c>
      <c r="D153" s="16"/>
      <c r="E153" s="16">
        <v>50</v>
      </c>
      <c r="F153" s="16"/>
      <c r="G153" s="16">
        <v>100</v>
      </c>
      <c r="I153" s="9">
        <v>0</v>
      </c>
      <c r="K153" s="9">
        <v>0</v>
      </c>
      <c r="M153" t="s">
        <v>106</v>
      </c>
      <c r="O153" s="16">
        <v>25</v>
      </c>
      <c r="P153" s="16"/>
      <c r="Q153" s="16">
        <v>50</v>
      </c>
      <c r="R153" s="16"/>
      <c r="S153" s="16">
        <v>100</v>
      </c>
      <c r="U153" s="9">
        <v>200</v>
      </c>
      <c r="W153" s="9">
        <v>0</v>
      </c>
      <c r="Y153" t="s">
        <v>106</v>
      </c>
      <c r="AA153" s="16">
        <v>25</v>
      </c>
      <c r="AB153" s="16"/>
      <c r="AC153" s="16">
        <v>50</v>
      </c>
      <c r="AD153" s="16"/>
      <c r="AE153" s="16">
        <v>100</v>
      </c>
      <c r="AG153" s="9">
        <v>200</v>
      </c>
      <c r="AI153" s="9">
        <v>0</v>
      </c>
      <c r="AK153" t="s">
        <v>106</v>
      </c>
      <c r="AM153" s="16">
        <v>25</v>
      </c>
      <c r="AN153" s="16"/>
      <c r="AO153" s="16">
        <v>50</v>
      </c>
      <c r="AP153" s="16"/>
      <c r="AQ153" s="16">
        <v>100</v>
      </c>
      <c r="AS153" s="9">
        <v>200</v>
      </c>
      <c r="AU153" s="9">
        <v>0</v>
      </c>
      <c r="AW153" t="s">
        <v>106</v>
      </c>
      <c r="AY153" s="16">
        <v>25</v>
      </c>
      <c r="AZ153" s="16"/>
      <c r="BA153" s="16">
        <v>50</v>
      </c>
      <c r="BB153" s="16"/>
      <c r="BC153" s="16">
        <v>100</v>
      </c>
      <c r="BE153" s="9">
        <v>200</v>
      </c>
      <c r="BG153" s="9">
        <v>350</v>
      </c>
      <c r="BI153" t="s">
        <v>106</v>
      </c>
      <c r="BK153" s="16">
        <v>25</v>
      </c>
      <c r="BL153" s="16"/>
      <c r="BM153" s="16">
        <v>50</v>
      </c>
      <c r="BN153" s="16"/>
      <c r="BO153" s="16">
        <v>100</v>
      </c>
      <c r="BQ153" s="9">
        <v>200</v>
      </c>
      <c r="BS153" s="9">
        <v>0</v>
      </c>
      <c r="BU153" t="s">
        <v>106</v>
      </c>
      <c r="BW153" s="16">
        <v>25</v>
      </c>
      <c r="BX153" s="16"/>
      <c r="BY153" s="16">
        <v>50</v>
      </c>
      <c r="BZ153" s="16"/>
      <c r="CA153" s="16">
        <v>100</v>
      </c>
      <c r="CC153" s="9">
        <v>200</v>
      </c>
      <c r="CE153" s="9">
        <v>350</v>
      </c>
      <c r="CG153">
        <v>500</v>
      </c>
      <c r="CI153" t="s">
        <v>106</v>
      </c>
      <c r="CK153" s="16">
        <v>25</v>
      </c>
      <c r="CL153" s="16"/>
      <c r="CM153" s="16">
        <v>80</v>
      </c>
      <c r="CN153" s="16"/>
      <c r="CO153" s="16">
        <v>150</v>
      </c>
      <c r="CQ153" s="9">
        <v>350</v>
      </c>
      <c r="CS153" s="9">
        <v>700</v>
      </c>
      <c r="CU153">
        <v>1100</v>
      </c>
      <c r="CW153">
        <v>2100</v>
      </c>
    </row>
    <row r="154" spans="1:101" x14ac:dyDescent="0.25">
      <c r="A154" t="s">
        <v>107</v>
      </c>
      <c r="C154" s="16">
        <v>2500</v>
      </c>
      <c r="D154" s="16"/>
      <c r="E154" s="16">
        <v>2200</v>
      </c>
      <c r="F154" s="16"/>
      <c r="G154" s="16">
        <v>1800</v>
      </c>
      <c r="I154" s="9">
        <v>0</v>
      </c>
      <c r="K154" s="9">
        <v>0</v>
      </c>
      <c r="M154" t="s">
        <v>107</v>
      </c>
      <c r="O154" s="16">
        <v>4000</v>
      </c>
      <c r="P154" s="16"/>
      <c r="Q154" s="16">
        <v>4000</v>
      </c>
      <c r="R154" s="16"/>
      <c r="S154" s="16">
        <v>3800</v>
      </c>
      <c r="U154" s="9">
        <v>2500</v>
      </c>
      <c r="W154" s="9">
        <v>0</v>
      </c>
      <c r="Y154" t="s">
        <v>107</v>
      </c>
      <c r="AA154" s="16">
        <v>4000</v>
      </c>
      <c r="AB154" s="16"/>
      <c r="AC154" s="16">
        <v>4000</v>
      </c>
      <c r="AD154" s="16"/>
      <c r="AE154" s="16">
        <v>3800</v>
      </c>
      <c r="AG154" s="9">
        <v>2500</v>
      </c>
      <c r="AI154" s="9">
        <v>0</v>
      </c>
      <c r="AK154" t="s">
        <v>107</v>
      </c>
      <c r="AM154" s="16">
        <v>4500</v>
      </c>
      <c r="AN154" s="16"/>
      <c r="AO154" s="16">
        <v>4500</v>
      </c>
      <c r="AP154" s="16"/>
      <c r="AQ154" s="16">
        <v>4500</v>
      </c>
      <c r="AS154" s="9">
        <v>3500</v>
      </c>
      <c r="AU154" s="9">
        <v>0</v>
      </c>
      <c r="AW154" t="s">
        <v>107</v>
      </c>
      <c r="AY154" s="16">
        <v>6500</v>
      </c>
      <c r="AZ154" s="16"/>
      <c r="BA154" s="16">
        <v>6500</v>
      </c>
      <c r="BB154" s="16"/>
      <c r="BC154" s="16">
        <v>6500</v>
      </c>
      <c r="BE154" s="9">
        <v>5800</v>
      </c>
      <c r="BG154" s="9">
        <v>2300</v>
      </c>
      <c r="BI154" t="s">
        <v>107</v>
      </c>
      <c r="BK154" s="16">
        <v>4000</v>
      </c>
      <c r="BL154" s="16"/>
      <c r="BM154" s="16">
        <v>4000</v>
      </c>
      <c r="BN154" s="16"/>
      <c r="BO154" s="16">
        <v>3800</v>
      </c>
      <c r="BQ154" s="9">
        <v>2500</v>
      </c>
      <c r="BS154" s="9">
        <v>0</v>
      </c>
      <c r="BU154" t="s">
        <v>107</v>
      </c>
      <c r="BW154" s="16">
        <v>9700</v>
      </c>
      <c r="BX154" s="16"/>
      <c r="BY154" s="16">
        <v>9600</v>
      </c>
      <c r="BZ154" s="16"/>
      <c r="CA154" s="16">
        <v>9500</v>
      </c>
      <c r="CC154" s="9">
        <v>9500</v>
      </c>
      <c r="CE154" s="9">
        <v>7600</v>
      </c>
      <c r="CG154">
        <v>3700</v>
      </c>
      <c r="CI154" t="s">
        <v>107</v>
      </c>
      <c r="CK154" s="16">
        <v>19500</v>
      </c>
      <c r="CL154" s="16"/>
      <c r="CM154" s="16">
        <v>19500</v>
      </c>
      <c r="CN154" s="16"/>
      <c r="CO154" s="16">
        <v>19500</v>
      </c>
      <c r="CQ154" s="9">
        <v>19500</v>
      </c>
      <c r="CS154" s="9">
        <v>19500</v>
      </c>
      <c r="CU154">
        <v>18500</v>
      </c>
      <c r="CW154">
        <v>11300</v>
      </c>
    </row>
    <row r="155" spans="1:101" x14ac:dyDescent="0.25">
      <c r="A155" t="s">
        <v>108</v>
      </c>
      <c r="C155" s="16">
        <v>5</v>
      </c>
      <c r="D155" s="16"/>
      <c r="E155" s="16">
        <v>25</v>
      </c>
      <c r="F155" s="16"/>
      <c r="G155" s="16">
        <v>50</v>
      </c>
      <c r="I155" s="9">
        <v>0</v>
      </c>
      <c r="K155" s="9">
        <v>0</v>
      </c>
      <c r="M155" t="s">
        <v>108</v>
      </c>
      <c r="O155" s="16">
        <v>5</v>
      </c>
      <c r="P155" s="16"/>
      <c r="Q155" s="16">
        <v>25</v>
      </c>
      <c r="R155" s="16"/>
      <c r="S155" s="16">
        <v>50</v>
      </c>
      <c r="U155" s="9">
        <v>100</v>
      </c>
      <c r="W155" s="9">
        <v>0</v>
      </c>
      <c r="Y155" t="s">
        <v>108</v>
      </c>
      <c r="AA155" s="16">
        <v>5</v>
      </c>
      <c r="AB155" s="16"/>
      <c r="AC155" s="16">
        <v>25</v>
      </c>
      <c r="AD155" s="16"/>
      <c r="AE155" s="16">
        <v>50</v>
      </c>
      <c r="AG155" s="9">
        <v>100</v>
      </c>
      <c r="AI155" s="9">
        <v>0</v>
      </c>
      <c r="AK155" t="s">
        <v>108</v>
      </c>
      <c r="AM155" s="16">
        <v>5</v>
      </c>
      <c r="AN155" s="16"/>
      <c r="AO155" s="16">
        <v>25</v>
      </c>
      <c r="AP155" s="16"/>
      <c r="AQ155" s="16">
        <v>50</v>
      </c>
      <c r="AS155" s="9">
        <v>100</v>
      </c>
      <c r="AU155" s="9">
        <v>0</v>
      </c>
      <c r="AW155" t="s">
        <v>108</v>
      </c>
      <c r="AY155" s="16">
        <v>5</v>
      </c>
      <c r="AZ155" s="16"/>
      <c r="BA155" s="16">
        <v>25</v>
      </c>
      <c r="BB155" s="16"/>
      <c r="BC155" s="16">
        <v>50</v>
      </c>
      <c r="BE155" s="9">
        <v>100</v>
      </c>
      <c r="BG155" s="9">
        <v>200</v>
      </c>
      <c r="BI155" t="s">
        <v>108</v>
      </c>
      <c r="BK155" s="16">
        <v>5</v>
      </c>
      <c r="BL155" s="16"/>
      <c r="BM155" s="16">
        <v>25</v>
      </c>
      <c r="BN155" s="16"/>
      <c r="BO155" s="16">
        <v>50</v>
      </c>
      <c r="BQ155" s="9">
        <v>100</v>
      </c>
      <c r="BS155" s="9">
        <v>0</v>
      </c>
      <c r="BU155" t="s">
        <v>108</v>
      </c>
      <c r="BW155" s="16">
        <v>5</v>
      </c>
      <c r="BX155" s="16"/>
      <c r="BY155" s="16">
        <v>25</v>
      </c>
      <c r="BZ155" s="16"/>
      <c r="CA155" s="16">
        <v>50</v>
      </c>
      <c r="CC155" s="9">
        <v>100</v>
      </c>
      <c r="CE155" s="9">
        <v>200</v>
      </c>
      <c r="CG155">
        <v>340</v>
      </c>
      <c r="CI155" t="s">
        <v>108</v>
      </c>
      <c r="CK155" s="16">
        <v>10</v>
      </c>
      <c r="CL155" s="16"/>
      <c r="CM155" s="16">
        <v>50</v>
      </c>
      <c r="CN155" s="16"/>
      <c r="CO155" s="16">
        <v>100</v>
      </c>
      <c r="CQ155" s="9">
        <v>200</v>
      </c>
      <c r="CS155" s="9">
        <v>340</v>
      </c>
      <c r="CU155">
        <v>680</v>
      </c>
      <c r="CW155">
        <v>1300</v>
      </c>
    </row>
    <row r="156" spans="1:101" x14ac:dyDescent="0.25">
      <c r="A156" t="s">
        <v>109</v>
      </c>
      <c r="C156" s="16">
        <v>1500</v>
      </c>
      <c r="D156" s="16"/>
      <c r="E156" s="16">
        <v>1350</v>
      </c>
      <c r="F156" s="16"/>
      <c r="G156" s="16">
        <v>1100</v>
      </c>
      <c r="I156" s="9">
        <v>0</v>
      </c>
      <c r="K156" s="9">
        <v>0</v>
      </c>
      <c r="M156" t="s">
        <v>109</v>
      </c>
      <c r="O156" s="16">
        <v>2500</v>
      </c>
      <c r="P156" s="16"/>
      <c r="Q156" s="16">
        <v>2450</v>
      </c>
      <c r="R156" s="16"/>
      <c r="S156" s="16">
        <v>2300</v>
      </c>
      <c r="U156" s="9">
        <v>1525</v>
      </c>
      <c r="W156" s="9">
        <v>0</v>
      </c>
      <c r="Y156" t="s">
        <v>109</v>
      </c>
      <c r="AA156" s="16">
        <v>2530</v>
      </c>
      <c r="AB156" s="16"/>
      <c r="AC156" s="16">
        <v>2520</v>
      </c>
      <c r="AD156" s="16"/>
      <c r="AE156" s="16">
        <v>2300</v>
      </c>
      <c r="AG156" s="9">
        <v>1570</v>
      </c>
      <c r="AI156" s="9">
        <v>0</v>
      </c>
      <c r="AK156" t="s">
        <v>109</v>
      </c>
      <c r="AM156" s="16">
        <v>3000</v>
      </c>
      <c r="AN156" s="16"/>
      <c r="AO156" s="16">
        <v>2960</v>
      </c>
      <c r="AP156" s="16"/>
      <c r="AQ156" s="16">
        <v>2880</v>
      </c>
      <c r="AS156" s="9">
        <v>2250</v>
      </c>
      <c r="AU156" s="9">
        <v>0</v>
      </c>
      <c r="AW156" t="s">
        <v>109</v>
      </c>
      <c r="AY156" s="16">
        <v>4100</v>
      </c>
      <c r="AZ156" s="16"/>
      <c r="BA156" s="16">
        <v>3970</v>
      </c>
      <c r="BB156" s="16"/>
      <c r="BC156" s="16">
        <v>3900</v>
      </c>
      <c r="BE156" s="9">
        <v>3470</v>
      </c>
      <c r="BG156" s="9">
        <v>1480</v>
      </c>
      <c r="BI156" t="s">
        <v>109</v>
      </c>
      <c r="BK156" s="16">
        <v>2530</v>
      </c>
      <c r="BL156" s="16"/>
      <c r="BM156" s="16">
        <v>2520</v>
      </c>
      <c r="BN156" s="16"/>
      <c r="BO156" s="16">
        <v>2300</v>
      </c>
      <c r="BQ156" s="9">
        <v>1570</v>
      </c>
      <c r="BS156" s="9">
        <v>0</v>
      </c>
      <c r="BU156" t="s">
        <v>109</v>
      </c>
      <c r="BW156" s="16">
        <v>6270</v>
      </c>
      <c r="BX156" s="16"/>
      <c r="BY156" s="16">
        <v>6100</v>
      </c>
      <c r="BZ156" s="16"/>
      <c r="CA156" s="16">
        <v>5990</v>
      </c>
      <c r="CC156" s="9">
        <v>5890</v>
      </c>
      <c r="CE156" s="9">
        <v>4740</v>
      </c>
      <c r="CG156">
        <v>2250</v>
      </c>
      <c r="CI156" t="s">
        <v>109</v>
      </c>
      <c r="CK156" s="16">
        <v>12100</v>
      </c>
      <c r="CL156" s="16"/>
      <c r="CM156" s="16">
        <v>12000</v>
      </c>
      <c r="CN156" s="16"/>
      <c r="CO156" s="16">
        <v>11950</v>
      </c>
      <c r="CQ156" s="9">
        <v>11850</v>
      </c>
      <c r="CS156" s="9">
        <v>11000</v>
      </c>
      <c r="CU156">
        <v>10400</v>
      </c>
      <c r="CW156">
        <v>6650</v>
      </c>
    </row>
    <row r="157" spans="1:101" ht="30" customHeight="1" x14ac:dyDescent="0.25">
      <c r="A157" s="25" t="s">
        <v>110</v>
      </c>
      <c r="B157" s="26"/>
      <c r="C157" s="16">
        <v>2125</v>
      </c>
      <c r="D157" s="16"/>
      <c r="E157" s="16">
        <v>2150</v>
      </c>
      <c r="F157" s="16"/>
      <c r="G157" s="16">
        <v>2200</v>
      </c>
      <c r="I157" s="9">
        <v>0</v>
      </c>
      <c r="K157" s="9">
        <v>0</v>
      </c>
      <c r="M157" s="25" t="s">
        <v>110</v>
      </c>
      <c r="N157" s="26"/>
      <c r="O157" s="16">
        <v>2125</v>
      </c>
      <c r="P157" s="16"/>
      <c r="Q157" s="16">
        <v>2150</v>
      </c>
      <c r="R157" s="16"/>
      <c r="S157" s="16">
        <v>2200</v>
      </c>
      <c r="U157" s="9">
        <v>2300</v>
      </c>
      <c r="W157" s="9">
        <v>0</v>
      </c>
      <c r="Y157" s="25" t="s">
        <v>110</v>
      </c>
      <c r="Z157" s="26"/>
      <c r="AA157" s="16">
        <v>2125</v>
      </c>
      <c r="AB157" s="16"/>
      <c r="AC157" s="16">
        <v>2150</v>
      </c>
      <c r="AD157" s="16"/>
      <c r="AE157" s="16">
        <v>2200</v>
      </c>
      <c r="AG157" s="9">
        <v>2300</v>
      </c>
      <c r="AI157" s="9">
        <v>0</v>
      </c>
      <c r="AK157" s="25" t="s">
        <v>110</v>
      </c>
      <c r="AL157" s="26"/>
      <c r="AM157" s="16">
        <v>2125</v>
      </c>
      <c r="AN157" s="16"/>
      <c r="AO157" s="16">
        <v>2150</v>
      </c>
      <c r="AP157" s="16"/>
      <c r="AQ157" s="16">
        <v>2200</v>
      </c>
      <c r="AS157" s="9">
        <v>2300</v>
      </c>
      <c r="AU157" s="9">
        <v>0</v>
      </c>
      <c r="AW157" s="25" t="s">
        <v>110</v>
      </c>
      <c r="AX157" s="26"/>
      <c r="AY157" s="16">
        <v>2125</v>
      </c>
      <c r="AZ157" s="16"/>
      <c r="BA157" s="16">
        <v>2150</v>
      </c>
      <c r="BB157" s="16"/>
      <c r="BC157" s="16">
        <v>2200</v>
      </c>
      <c r="BE157" s="9">
        <v>2300</v>
      </c>
      <c r="BG157" s="9">
        <v>2450</v>
      </c>
      <c r="BI157" s="25" t="s">
        <v>126</v>
      </c>
      <c r="BJ157" s="26"/>
      <c r="BK157" s="16">
        <v>4225</v>
      </c>
      <c r="BL157" s="16"/>
      <c r="BM157" s="16">
        <v>4250</v>
      </c>
      <c r="BN157" s="16"/>
      <c r="BO157" s="16">
        <v>4300</v>
      </c>
      <c r="BQ157" s="9">
        <v>4400</v>
      </c>
      <c r="BS157" s="9">
        <v>0</v>
      </c>
      <c r="BU157" s="25" t="s">
        <v>110</v>
      </c>
      <c r="BV157" s="26"/>
      <c r="BW157" s="16">
        <v>2125</v>
      </c>
      <c r="BX157" s="16"/>
      <c r="BY157" s="16">
        <v>2150</v>
      </c>
      <c r="BZ157" s="16"/>
      <c r="CA157" s="16">
        <v>2200</v>
      </c>
      <c r="CC157" s="9">
        <v>2300</v>
      </c>
      <c r="CE157" s="9">
        <v>2450</v>
      </c>
      <c r="CG157">
        <v>2600</v>
      </c>
      <c r="CI157" s="25" t="s">
        <v>110</v>
      </c>
      <c r="CJ157" s="26"/>
      <c r="CK157" s="16">
        <v>4225</v>
      </c>
      <c r="CL157" s="16"/>
      <c r="CM157" s="16">
        <v>4280</v>
      </c>
      <c r="CN157" s="16"/>
      <c r="CO157" s="16">
        <v>4350</v>
      </c>
      <c r="CQ157" s="9">
        <v>4550</v>
      </c>
      <c r="CS157" s="9">
        <v>4900</v>
      </c>
      <c r="CU157">
        <v>5300</v>
      </c>
      <c r="CW157">
        <v>6300</v>
      </c>
    </row>
    <row r="158" spans="1:101" ht="29.25" customHeight="1" x14ac:dyDescent="0.25">
      <c r="A158" s="25" t="s">
        <v>111</v>
      </c>
      <c r="B158" s="26"/>
      <c r="C158" s="16">
        <v>865</v>
      </c>
      <c r="D158" s="16"/>
      <c r="E158" s="16">
        <v>890</v>
      </c>
      <c r="F158" s="16"/>
      <c r="G158" s="16">
        <v>940</v>
      </c>
      <c r="I158" s="9">
        <v>0</v>
      </c>
      <c r="K158" s="9">
        <v>0</v>
      </c>
      <c r="M158" s="25" t="s">
        <v>111</v>
      </c>
      <c r="N158" s="26"/>
      <c r="O158" s="16">
        <v>865</v>
      </c>
      <c r="P158" s="16"/>
      <c r="Q158" s="16">
        <v>890</v>
      </c>
      <c r="R158" s="16"/>
      <c r="S158" s="16">
        <v>940</v>
      </c>
      <c r="U158" s="9">
        <v>1040</v>
      </c>
      <c r="W158" s="9">
        <v>0</v>
      </c>
      <c r="Y158" s="25" t="s">
        <v>111</v>
      </c>
      <c r="Z158" s="26"/>
      <c r="AA158" s="16">
        <v>865</v>
      </c>
      <c r="AB158" s="16"/>
      <c r="AC158" s="16">
        <v>890</v>
      </c>
      <c r="AD158" s="16"/>
      <c r="AE158" s="16">
        <v>940</v>
      </c>
      <c r="AG158" s="9">
        <v>1040</v>
      </c>
      <c r="AI158" s="9">
        <v>0</v>
      </c>
      <c r="AK158" s="25" t="s">
        <v>111</v>
      </c>
      <c r="AL158" s="26"/>
      <c r="AM158" s="16">
        <v>865</v>
      </c>
      <c r="AN158" s="16"/>
      <c r="AO158" s="16">
        <v>890</v>
      </c>
      <c r="AP158" s="16"/>
      <c r="AQ158" s="16">
        <v>940</v>
      </c>
      <c r="AS158" s="9">
        <v>1040</v>
      </c>
      <c r="AU158" s="9">
        <v>0</v>
      </c>
      <c r="AW158" s="25" t="s">
        <v>111</v>
      </c>
      <c r="AX158" s="26"/>
      <c r="AY158" s="16">
        <v>865</v>
      </c>
      <c r="AZ158" s="16"/>
      <c r="BA158" s="16">
        <v>890</v>
      </c>
      <c r="BB158" s="16"/>
      <c r="BC158" s="16">
        <v>940</v>
      </c>
      <c r="BE158" s="9">
        <v>1040</v>
      </c>
      <c r="BG158" s="9">
        <v>1190</v>
      </c>
      <c r="BI158" s="25" t="s">
        <v>111</v>
      </c>
      <c r="BJ158" s="26"/>
      <c r="BK158" s="16">
        <v>865</v>
      </c>
      <c r="BL158" s="16"/>
      <c r="BM158" s="16">
        <v>890</v>
      </c>
      <c r="BN158" s="16"/>
      <c r="BO158" s="16">
        <v>940</v>
      </c>
      <c r="BQ158" s="9">
        <v>1040</v>
      </c>
      <c r="BS158" s="9">
        <v>0</v>
      </c>
      <c r="BU158" s="25" t="s">
        <v>111</v>
      </c>
      <c r="BV158" s="26"/>
      <c r="BW158" s="16">
        <v>865</v>
      </c>
      <c r="BX158" s="16"/>
      <c r="BY158" s="16">
        <v>890</v>
      </c>
      <c r="BZ158" s="16"/>
      <c r="CA158" s="16">
        <v>940</v>
      </c>
      <c r="CC158" s="9">
        <v>1040</v>
      </c>
      <c r="CE158" s="9">
        <v>1190</v>
      </c>
      <c r="CG158">
        <v>1340</v>
      </c>
      <c r="CI158" s="25" t="s">
        <v>111</v>
      </c>
      <c r="CJ158" s="26"/>
      <c r="CK158" s="16">
        <v>865</v>
      </c>
      <c r="CL158" s="16"/>
      <c r="CM158" s="16">
        <v>920</v>
      </c>
      <c r="CN158" s="16"/>
      <c r="CO158" s="16">
        <v>990</v>
      </c>
      <c r="CQ158" s="9">
        <v>1140</v>
      </c>
      <c r="CS158" s="9">
        <v>1540</v>
      </c>
      <c r="CU158">
        <v>1940</v>
      </c>
      <c r="CW158">
        <v>2940</v>
      </c>
    </row>
  </sheetData>
  <mergeCells count="225">
    <mergeCell ref="CI157:CJ157"/>
    <mergeCell ref="CI158:CJ158"/>
    <mergeCell ref="CI1:CW1"/>
    <mergeCell ref="CV2:CW2"/>
    <mergeCell ref="CI54:CW54"/>
    <mergeCell ref="CV55:CW55"/>
    <mergeCell ref="CI107:CW107"/>
    <mergeCell ref="CV108:CW108"/>
    <mergeCell ref="CI104:CJ104"/>
    <mergeCell ref="CI105:CJ105"/>
    <mergeCell ref="CI108:CI109"/>
    <mergeCell ref="CJ108:CK108"/>
    <mergeCell ref="CL108:CM108"/>
    <mergeCell ref="CN108:CO108"/>
    <mergeCell ref="CP108:CQ108"/>
    <mergeCell ref="CR108:CS108"/>
    <mergeCell ref="CT108:CU108"/>
    <mergeCell ref="CI52:CJ52"/>
    <mergeCell ref="CI55:CI56"/>
    <mergeCell ref="CJ55:CK55"/>
    <mergeCell ref="CL55:CM55"/>
    <mergeCell ref="CN55:CO55"/>
    <mergeCell ref="CP55:CQ55"/>
    <mergeCell ref="CR55:CS55"/>
    <mergeCell ref="CT55:CU55"/>
    <mergeCell ref="CI2:CI3"/>
    <mergeCell ref="CJ2:CK2"/>
    <mergeCell ref="CL2:CM2"/>
    <mergeCell ref="CN2:CO2"/>
    <mergeCell ref="CP2:CQ2"/>
    <mergeCell ref="CR2:CS2"/>
    <mergeCell ref="CT2:CU2"/>
    <mergeCell ref="CI51:CJ51"/>
    <mergeCell ref="BU108:BU109"/>
    <mergeCell ref="BV108:BW108"/>
    <mergeCell ref="BX108:BY108"/>
    <mergeCell ref="BZ108:CA108"/>
    <mergeCell ref="CB108:CC108"/>
    <mergeCell ref="CD108:CE108"/>
    <mergeCell ref="BU157:BV157"/>
    <mergeCell ref="BU158:BV158"/>
    <mergeCell ref="BU107:CG107"/>
    <mergeCell ref="CF108:CG108"/>
    <mergeCell ref="BU55:BU56"/>
    <mergeCell ref="BV55:BW55"/>
    <mergeCell ref="BX55:BY55"/>
    <mergeCell ref="BZ55:CA55"/>
    <mergeCell ref="CB55:CC55"/>
    <mergeCell ref="CD55:CE55"/>
    <mergeCell ref="BU104:BV104"/>
    <mergeCell ref="BU105:BV105"/>
    <mergeCell ref="BU54:CG54"/>
    <mergeCell ref="CF55:CG55"/>
    <mergeCell ref="BU2:BU3"/>
    <mergeCell ref="BV2:BW2"/>
    <mergeCell ref="BX2:BY2"/>
    <mergeCell ref="BZ2:CA2"/>
    <mergeCell ref="CB2:CC2"/>
    <mergeCell ref="CD2:CE2"/>
    <mergeCell ref="BU51:BV51"/>
    <mergeCell ref="BU52:BV52"/>
    <mergeCell ref="BU1:CG1"/>
    <mergeCell ref="CF2:CG2"/>
    <mergeCell ref="BI107:BS107"/>
    <mergeCell ref="BI108:BI109"/>
    <mergeCell ref="BJ108:BK108"/>
    <mergeCell ref="BL108:BM108"/>
    <mergeCell ref="BN108:BO108"/>
    <mergeCell ref="BP108:BQ108"/>
    <mergeCell ref="BR108:BS108"/>
    <mergeCell ref="BI157:BJ157"/>
    <mergeCell ref="BI158:BJ158"/>
    <mergeCell ref="BI54:BS54"/>
    <mergeCell ref="BI55:BI56"/>
    <mergeCell ref="BJ55:BK55"/>
    <mergeCell ref="BL55:BM55"/>
    <mergeCell ref="BN55:BO55"/>
    <mergeCell ref="BP55:BQ55"/>
    <mergeCell ref="BR55:BS55"/>
    <mergeCell ref="BI104:BJ104"/>
    <mergeCell ref="BI105:BJ105"/>
    <mergeCell ref="BI1:BS1"/>
    <mergeCell ref="BI2:BI3"/>
    <mergeCell ref="BJ2:BK2"/>
    <mergeCell ref="BL2:BM2"/>
    <mergeCell ref="BN2:BO2"/>
    <mergeCell ref="BP2:BQ2"/>
    <mergeCell ref="BR2:BS2"/>
    <mergeCell ref="BI51:BJ51"/>
    <mergeCell ref="BI52:BJ52"/>
    <mergeCell ref="H108:I108"/>
    <mergeCell ref="J108:K108"/>
    <mergeCell ref="J2:K2"/>
    <mergeCell ref="A1:K1"/>
    <mergeCell ref="A51:B51"/>
    <mergeCell ref="A52:B52"/>
    <mergeCell ref="A54:K54"/>
    <mergeCell ref="A55:A56"/>
    <mergeCell ref="B55:C55"/>
    <mergeCell ref="D55:E55"/>
    <mergeCell ref="F55:G55"/>
    <mergeCell ref="H55:I55"/>
    <mergeCell ref="A2:A3"/>
    <mergeCell ref="B2:C2"/>
    <mergeCell ref="D2:E2"/>
    <mergeCell ref="F2:G2"/>
    <mergeCell ref="H2:I2"/>
    <mergeCell ref="M55:M56"/>
    <mergeCell ref="N55:O55"/>
    <mergeCell ref="P55:Q55"/>
    <mergeCell ref="R55:S55"/>
    <mergeCell ref="T55:U55"/>
    <mergeCell ref="V55:W55"/>
    <mergeCell ref="A157:B157"/>
    <mergeCell ref="A158:B158"/>
    <mergeCell ref="M1:W1"/>
    <mergeCell ref="M2:M3"/>
    <mergeCell ref="N2:O2"/>
    <mergeCell ref="P2:Q2"/>
    <mergeCell ref="R2:S2"/>
    <mergeCell ref="T2:U2"/>
    <mergeCell ref="V2:W2"/>
    <mergeCell ref="M51:N51"/>
    <mergeCell ref="J55:K55"/>
    <mergeCell ref="A104:B104"/>
    <mergeCell ref="A105:B105"/>
    <mergeCell ref="A107:K107"/>
    <mergeCell ref="A108:A109"/>
    <mergeCell ref="B108:C108"/>
    <mergeCell ref="D108:E108"/>
    <mergeCell ref="F108:G108"/>
    <mergeCell ref="AD55:AE55"/>
    <mergeCell ref="AF55:AG55"/>
    <mergeCell ref="AH55:AI55"/>
    <mergeCell ref="M157:N157"/>
    <mergeCell ref="M158:N158"/>
    <mergeCell ref="Y1:AI1"/>
    <mergeCell ref="Y2:Y3"/>
    <mergeCell ref="Z2:AA2"/>
    <mergeCell ref="AB2:AC2"/>
    <mergeCell ref="AD2:AE2"/>
    <mergeCell ref="AF2:AG2"/>
    <mergeCell ref="AH2:AI2"/>
    <mergeCell ref="Y51:Z51"/>
    <mergeCell ref="M104:N104"/>
    <mergeCell ref="M105:N105"/>
    <mergeCell ref="M107:W107"/>
    <mergeCell ref="M108:M109"/>
    <mergeCell ref="N108:O108"/>
    <mergeCell ref="P108:Q108"/>
    <mergeCell ref="R108:S108"/>
    <mergeCell ref="T108:U108"/>
    <mergeCell ref="V108:W108"/>
    <mergeCell ref="M52:N52"/>
    <mergeCell ref="M54:W54"/>
    <mergeCell ref="Y157:Z157"/>
    <mergeCell ref="Y158:Z158"/>
    <mergeCell ref="AK1:AU1"/>
    <mergeCell ref="AK2:AK3"/>
    <mergeCell ref="AL2:AM2"/>
    <mergeCell ref="AN2:AO2"/>
    <mergeCell ref="AP2:AQ2"/>
    <mergeCell ref="AR2:AS2"/>
    <mergeCell ref="AT2:AU2"/>
    <mergeCell ref="AK51:AL51"/>
    <mergeCell ref="Y104:Z104"/>
    <mergeCell ref="Y105:Z105"/>
    <mergeCell ref="Y107:AI107"/>
    <mergeCell ref="Y108:Y109"/>
    <mergeCell ref="Z108:AA108"/>
    <mergeCell ref="AB108:AC108"/>
    <mergeCell ref="AD108:AE108"/>
    <mergeCell ref="AF108:AG108"/>
    <mergeCell ref="AH108:AI108"/>
    <mergeCell ref="Y52:Z52"/>
    <mergeCell ref="Y54:AI54"/>
    <mergeCell ref="Y55:Y56"/>
    <mergeCell ref="Z55:AA55"/>
    <mergeCell ref="AB55:AC55"/>
    <mergeCell ref="AK158:AL158"/>
    <mergeCell ref="AW1:BG1"/>
    <mergeCell ref="AW2:AW3"/>
    <mergeCell ref="AX2:AY2"/>
    <mergeCell ref="AZ2:BA2"/>
    <mergeCell ref="BB2:BC2"/>
    <mergeCell ref="BD2:BE2"/>
    <mergeCell ref="BF2:BG2"/>
    <mergeCell ref="AW51:AX51"/>
    <mergeCell ref="AK104:AL104"/>
    <mergeCell ref="AK105:AL105"/>
    <mergeCell ref="AK107:AU107"/>
    <mergeCell ref="AK108:AK109"/>
    <mergeCell ref="AL108:AM108"/>
    <mergeCell ref="AN108:AO108"/>
    <mergeCell ref="AP108:AQ108"/>
    <mergeCell ref="AR108:AS108"/>
    <mergeCell ref="AT108:AU108"/>
    <mergeCell ref="AK52:AL52"/>
    <mergeCell ref="AK54:AU54"/>
    <mergeCell ref="AK55:AK56"/>
    <mergeCell ref="AL55:AM55"/>
    <mergeCell ref="AN55:AO55"/>
    <mergeCell ref="AP55:AQ55"/>
    <mergeCell ref="AW52:AX52"/>
    <mergeCell ref="AW54:BG54"/>
    <mergeCell ref="AW55:AW56"/>
    <mergeCell ref="AX55:AY55"/>
    <mergeCell ref="AZ55:BA55"/>
    <mergeCell ref="BB55:BC55"/>
    <mergeCell ref="BD55:BE55"/>
    <mergeCell ref="BF55:BG55"/>
    <mergeCell ref="AK157:AL157"/>
    <mergeCell ref="AR55:AS55"/>
    <mergeCell ref="AT55:AU55"/>
    <mergeCell ref="AW157:AX157"/>
    <mergeCell ref="AW158:AX158"/>
    <mergeCell ref="AW104:AX104"/>
    <mergeCell ref="AW105:AX105"/>
    <mergeCell ref="AW107:BG107"/>
    <mergeCell ref="AW108:AW109"/>
    <mergeCell ref="AX108:AY108"/>
    <mergeCell ref="AZ108:BA108"/>
    <mergeCell ref="BB108:BC108"/>
    <mergeCell ref="BD108:BE108"/>
    <mergeCell ref="BF108:BG10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Hoja5</vt:lpstr>
      <vt:lpstr>Hoja6</vt:lpstr>
      <vt:lpstr>Hoja7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carreño</dc:creator>
  <cp:lastModifiedBy>Alberto Feito Guerra</cp:lastModifiedBy>
  <dcterms:created xsi:type="dcterms:W3CDTF">2018-12-04T19:42:00Z</dcterms:created>
  <dcterms:modified xsi:type="dcterms:W3CDTF">2022-10-05T21:24:45Z</dcterms:modified>
</cp:coreProperties>
</file>